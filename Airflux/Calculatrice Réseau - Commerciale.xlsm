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https://airfluxonline-my.sharepoint.com/personal/thomat_airflux_fr/Documents/Documents/Fichier Travaux/"/>
    </mc:Choice>
  </mc:AlternateContent>
  <xr:revisionPtr revIDLastSave="557" documentId="8_{6332A66E-1294-4164-ABED-68BEC6BCEC30}" xr6:coauthVersionLast="47" xr6:coauthVersionMax="47" xr10:uidLastSave="{03F94300-6384-44EF-9E36-13DE4F97878D}"/>
  <bookViews>
    <workbookView xWindow="-120" yWindow="-120" windowWidth="29040" windowHeight="15840" tabRatio="886" activeTab="4" xr2:uid="{00000000-000D-0000-FFFF-FFFF00000000}"/>
  </bookViews>
  <sheets>
    <sheet name="Calculette Réseau" sheetId="52" r:id="rId1"/>
    <sheet name="Equivalence" sheetId="54" r:id="rId2"/>
    <sheet name="Descente" sheetId="60" r:id="rId3"/>
    <sheet name="Base Prix Pratiqués" sheetId="59" r:id="rId4"/>
    <sheet name="info" sheetId="56" r:id="rId5"/>
    <sheet name="ChangeLog" sheetId="30" r:id="rId6"/>
  </sheets>
  <externalReferences>
    <externalReference r:id="rId7"/>
  </externalReferences>
  <definedNames>
    <definedName name="Affaire_Div">[1]Projet!$U$8</definedName>
    <definedName name="ChargéAF">[1]Projet!$G$9</definedName>
    <definedName name="Client">[1]Projet!$U$5</definedName>
    <definedName name="Code_Client_Divalto">[1]Projet!$U$7</definedName>
    <definedName name="Commercial">[1]Projet!$G$7</definedName>
    <definedName name="Condition_de_paiement">[1]Information!$X$2:$X$5</definedName>
    <definedName name="DonnéesExternes_1" localSheetId="3" hidden="1">'Base Prix Pratiqués'!$A$1:$D$2671</definedName>
    <definedName name="Fonc_Interloc">[1]Projet!$F$12</definedName>
    <definedName name="ICA">[1]Projet!$G$8</definedName>
    <definedName name="Interlocuteur">[1]Projet!$F$11</definedName>
    <definedName name="L_Adresses">[1]Information!$V$2:$V$7</definedName>
    <definedName name="L_Agence">[1]Information!$U$2:$U$7</definedName>
    <definedName name="L_Huile">[1]Information!$P$2:$P$6</definedName>
    <definedName name="L_Matière_Cuve">[1]Information!$G$2:$G$5</definedName>
    <definedName name="L_Matière_Réseau">[1]Information!$M$2:$M$5</definedName>
    <definedName name="L_Métrologie">[1]Information!$L$2:$L$7</definedName>
    <definedName name="L_Niveau_filtration">[1]Information!$J$2:$J$7</definedName>
    <definedName name="L_OffreàEnvoyer">[1]Information!$R$3:$R$7</definedName>
    <definedName name="L_Oui_Non">[1]Information!$B$2:$B$5</definedName>
    <definedName name="L_Position_Cuve">[1]Information!$H$2:$H$4</definedName>
    <definedName name="L_RécupCalo">[1]Information!$T$2:$T$5</definedName>
    <definedName name="L_Régulation">[1]Information!$K$2:$K$7</definedName>
    <definedName name="L_Repris">[1]Information!$F$2:$F$5</definedName>
    <definedName name="L_Responsabilité">[1]Information!$D$2:$D$4</definedName>
    <definedName name="L_Status">[1]Information!$A$2:$A$5</definedName>
    <definedName name="L_Suiteà">[1]Information!$Q$3:$Q$5</definedName>
    <definedName name="L_Techno_Comp">[1]Information!$O$2:$O$5</definedName>
    <definedName name="L_Techno_Sécheur">[1]Information!$I$2:$I$5</definedName>
    <definedName name="L_Travaux">[1]Information!$C$2:$C$6</definedName>
    <definedName name="L_Type_Installation">[1]Information!$N$2:$N$7</definedName>
    <definedName name="L_TypedeMurs">[1]Information!$S$2:$S$5</definedName>
    <definedName name="Num_Devis">[1]Projet!$U$6</definedName>
    <definedName name="Projet_SF">[1]Projet!$U$9</definedName>
    <definedName name="Type_PTG">[1]Information!$W$2:$W$4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5" i="52" l="1"/>
  <c r="W24" i="60"/>
  <c r="V24" i="60"/>
  <c r="U24" i="60"/>
  <c r="T24" i="60"/>
  <c r="S24" i="60"/>
  <c r="R24" i="60"/>
  <c r="Q24" i="60"/>
  <c r="P24" i="60"/>
  <c r="U23" i="60"/>
  <c r="T23" i="60"/>
  <c r="S23" i="60"/>
  <c r="R23" i="60"/>
  <c r="Q23" i="60"/>
  <c r="P23" i="60"/>
  <c r="T22" i="60"/>
  <c r="S22" i="60"/>
  <c r="R22" i="60"/>
  <c r="Q22" i="60"/>
  <c r="P22" i="60"/>
  <c r="S21" i="60"/>
  <c r="R21" i="60"/>
  <c r="Q21" i="60"/>
  <c r="P21" i="60"/>
  <c r="O21" i="60"/>
  <c r="R20" i="60"/>
  <c r="Q20" i="60"/>
  <c r="P20" i="60"/>
  <c r="O20" i="60"/>
  <c r="Q19" i="60"/>
  <c r="P19" i="60"/>
  <c r="O19" i="60"/>
  <c r="N19" i="60"/>
  <c r="P18" i="60"/>
  <c r="O18" i="60"/>
  <c r="N18" i="60"/>
  <c r="O17" i="60"/>
  <c r="N17" i="60"/>
  <c r="N16" i="60"/>
  <c r="M14" i="60"/>
  <c r="L14" i="60"/>
  <c r="K14" i="60"/>
  <c r="J14" i="60"/>
  <c r="I14" i="60"/>
  <c r="H14" i="60"/>
  <c r="G14" i="60"/>
  <c r="F14" i="60"/>
  <c r="K13" i="60"/>
  <c r="J13" i="60"/>
  <c r="I13" i="60"/>
  <c r="H13" i="60"/>
  <c r="G13" i="60"/>
  <c r="F13" i="60"/>
  <c r="J12" i="60"/>
  <c r="I12" i="60"/>
  <c r="H12" i="60"/>
  <c r="G12" i="60"/>
  <c r="F12" i="60"/>
  <c r="I11" i="60"/>
  <c r="H11" i="60"/>
  <c r="G11" i="60"/>
  <c r="F11" i="60"/>
  <c r="E11" i="60"/>
  <c r="H10" i="60"/>
  <c r="G10" i="60"/>
  <c r="F10" i="60"/>
  <c r="E10" i="60"/>
  <c r="G9" i="60"/>
  <c r="F9" i="60"/>
  <c r="E9" i="60"/>
  <c r="D9" i="60"/>
  <c r="F8" i="60"/>
  <c r="E8" i="60"/>
  <c r="D8" i="60"/>
  <c r="E7" i="60"/>
  <c r="D7" i="60"/>
  <c r="D6" i="60"/>
  <c r="M3" i="60"/>
  <c r="L3" i="60"/>
  <c r="K3" i="60"/>
  <c r="J3" i="60"/>
  <c r="I3" i="60"/>
  <c r="H3" i="60"/>
  <c r="G3" i="60"/>
  <c r="F3" i="60"/>
  <c r="E3" i="60"/>
  <c r="D3" i="60"/>
  <c r="K4" i="56" l="1"/>
  <c r="K5" i="56"/>
  <c r="K6" i="56"/>
  <c r="K7" i="56"/>
  <c r="K8" i="56"/>
  <c r="K9" i="56"/>
  <c r="K10" i="56"/>
  <c r="K11" i="56"/>
  <c r="K12" i="56"/>
  <c r="K3" i="56"/>
  <c r="C9" i="52"/>
  <c r="C10" i="52" l="1" a="1"/>
  <c r="C10" i="52" s="1"/>
  <c r="F41" i="52" l="1"/>
  <c r="F31" i="52"/>
  <c r="G52" i="52" l="1"/>
  <c r="H52" i="52" s="1"/>
  <c r="G13" i="52"/>
  <c r="F51" i="52"/>
  <c r="F18" i="52"/>
  <c r="I15" i="52"/>
  <c r="G54" i="52"/>
  <c r="H54" i="52" s="1"/>
  <c r="F48" i="52"/>
  <c r="F47" i="52"/>
  <c r="F46" i="52"/>
  <c r="F45" i="52"/>
  <c r="F44" i="52"/>
  <c r="F43" i="52"/>
  <c r="F42" i="52"/>
  <c r="F38" i="52"/>
  <c r="F37" i="52"/>
  <c r="F36" i="52"/>
  <c r="F35" i="52"/>
  <c r="F34" i="52"/>
  <c r="F33" i="52"/>
  <c r="F32" i="52"/>
  <c r="F30" i="52"/>
  <c r="F27" i="52"/>
  <c r="F26" i="52"/>
  <c r="F25" i="52"/>
  <c r="F24" i="52"/>
  <c r="F23" i="52"/>
  <c r="F22" i="52"/>
  <c r="F14" i="52"/>
  <c r="F13" i="52"/>
  <c r="H13" i="52" l="1"/>
  <c r="E13" i="54"/>
  <c r="F13" i="54"/>
  <c r="G13" i="54"/>
  <c r="H13" i="54"/>
  <c r="I13" i="54"/>
  <c r="J13" i="54"/>
  <c r="K13" i="54"/>
  <c r="L13" i="54"/>
  <c r="M13" i="54"/>
  <c r="D13" i="54"/>
  <c r="I16" i="52"/>
  <c r="I17" i="52" s="1"/>
  <c r="E48" i="54"/>
  <c r="F48" i="54"/>
  <c r="G48" i="54"/>
  <c r="H48" i="54"/>
  <c r="I48" i="54"/>
  <c r="J48" i="54"/>
  <c r="K48" i="54"/>
  <c r="L48" i="54"/>
  <c r="M48" i="54"/>
  <c r="E49" i="54"/>
  <c r="F49" i="54"/>
  <c r="G49" i="54"/>
  <c r="H49" i="54"/>
  <c r="I49" i="54"/>
  <c r="J49" i="54"/>
  <c r="K49" i="54"/>
  <c r="L49" i="54"/>
  <c r="M49" i="54"/>
  <c r="E50" i="54"/>
  <c r="F50" i="54"/>
  <c r="G50" i="54"/>
  <c r="H50" i="54"/>
  <c r="I50" i="54"/>
  <c r="J50" i="54"/>
  <c r="K50" i="54"/>
  <c r="L50" i="54"/>
  <c r="M50" i="54"/>
  <c r="D48" i="54"/>
  <c r="D49" i="54"/>
  <c r="D50" i="54"/>
  <c r="E43" i="54"/>
  <c r="F43" i="54"/>
  <c r="G43" i="54"/>
  <c r="H43" i="54"/>
  <c r="I43" i="54"/>
  <c r="J43" i="54"/>
  <c r="K43" i="54"/>
  <c r="L43" i="54"/>
  <c r="M43" i="54"/>
  <c r="E44" i="54"/>
  <c r="F44" i="54"/>
  <c r="G44" i="54"/>
  <c r="H44" i="54"/>
  <c r="I44" i="54"/>
  <c r="J44" i="54"/>
  <c r="K44" i="54"/>
  <c r="L44" i="54"/>
  <c r="M44" i="54"/>
  <c r="E45" i="54"/>
  <c r="F45" i="54"/>
  <c r="G45" i="54"/>
  <c r="H45" i="54"/>
  <c r="I45" i="54"/>
  <c r="J45" i="54"/>
  <c r="K45" i="54"/>
  <c r="L45" i="54"/>
  <c r="M45" i="54"/>
  <c r="E46" i="54"/>
  <c r="F46" i="54"/>
  <c r="G46" i="54"/>
  <c r="H46" i="54"/>
  <c r="I46" i="54"/>
  <c r="J46" i="54"/>
  <c r="K46" i="54"/>
  <c r="L46" i="54"/>
  <c r="M46" i="54"/>
  <c r="E47" i="54"/>
  <c r="F47" i="54"/>
  <c r="G47" i="54"/>
  <c r="H47" i="54"/>
  <c r="I47" i="54"/>
  <c r="J47" i="54"/>
  <c r="K47" i="54"/>
  <c r="L47" i="54"/>
  <c r="M47" i="54"/>
  <c r="D46" i="54"/>
  <c r="D47" i="54"/>
  <c r="D45" i="54"/>
  <c r="D44" i="54"/>
  <c r="D43" i="54"/>
  <c r="E40" i="54"/>
  <c r="F40" i="54"/>
  <c r="G40" i="54"/>
  <c r="H40" i="54"/>
  <c r="I40" i="54"/>
  <c r="J40" i="54"/>
  <c r="K40" i="54"/>
  <c r="L40" i="54"/>
  <c r="M40" i="54"/>
  <c r="E41" i="54"/>
  <c r="F41" i="54"/>
  <c r="G41" i="54"/>
  <c r="H41" i="54"/>
  <c r="I41" i="54"/>
  <c r="J41" i="54"/>
  <c r="K41" i="54"/>
  <c r="L41" i="54"/>
  <c r="M41" i="54"/>
  <c r="E42" i="54"/>
  <c r="F42" i="54"/>
  <c r="G42" i="54"/>
  <c r="H42" i="54"/>
  <c r="I42" i="54"/>
  <c r="J42" i="54"/>
  <c r="K42" i="54"/>
  <c r="L42" i="54"/>
  <c r="M42" i="54"/>
  <c r="D41" i="54"/>
  <c r="D40" i="54"/>
  <c r="D42" i="54"/>
  <c r="E39" i="54"/>
  <c r="F39" i="54"/>
  <c r="G39" i="54"/>
  <c r="H39" i="54"/>
  <c r="I39" i="54"/>
  <c r="J39" i="54"/>
  <c r="K39" i="54"/>
  <c r="L39" i="54"/>
  <c r="M39" i="54"/>
  <c r="D39" i="54"/>
  <c r="E38" i="54"/>
  <c r="F38" i="54"/>
  <c r="G38" i="54"/>
  <c r="H38" i="54"/>
  <c r="I38" i="54"/>
  <c r="J38" i="54"/>
  <c r="K38" i="54"/>
  <c r="L38" i="54"/>
  <c r="M38" i="54"/>
  <c r="D38" i="54"/>
  <c r="E36" i="54"/>
  <c r="F36" i="54"/>
  <c r="G36" i="54"/>
  <c r="H36" i="54"/>
  <c r="I36" i="54"/>
  <c r="J36" i="54"/>
  <c r="K36" i="54"/>
  <c r="L36" i="54"/>
  <c r="M36" i="54"/>
  <c r="D36" i="54"/>
  <c r="D37" i="54"/>
  <c r="E37" i="54"/>
  <c r="F37" i="54"/>
  <c r="G37" i="54"/>
  <c r="H37" i="54"/>
  <c r="I37" i="54"/>
  <c r="J37" i="54"/>
  <c r="K37" i="54"/>
  <c r="L37" i="54"/>
  <c r="M37" i="54"/>
  <c r="E21" i="54"/>
  <c r="F21" i="54"/>
  <c r="G21" i="54"/>
  <c r="H21" i="54"/>
  <c r="I21" i="54"/>
  <c r="J21" i="54"/>
  <c r="K21" i="54"/>
  <c r="L21" i="54"/>
  <c r="E22" i="54"/>
  <c r="F22" i="54"/>
  <c r="G22" i="54"/>
  <c r="H22" i="54"/>
  <c r="I22" i="54"/>
  <c r="J22" i="54"/>
  <c r="K22" i="54"/>
  <c r="L22" i="54"/>
  <c r="D22" i="54"/>
  <c r="D21" i="54"/>
  <c r="G48" i="52" l="1"/>
  <c r="G47" i="52"/>
  <c r="G46" i="52"/>
  <c r="H46" i="52" s="1"/>
  <c r="G45" i="52"/>
  <c r="H45" i="52" s="1"/>
  <c r="G44" i="52"/>
  <c r="H44" i="52" s="1"/>
  <c r="G43" i="52"/>
  <c r="H43" i="52" s="1"/>
  <c r="G42" i="52"/>
  <c r="H42" i="52" s="1"/>
  <c r="G41" i="52"/>
  <c r="G24" i="52"/>
  <c r="H24" i="52" s="1"/>
  <c r="G23" i="52"/>
  <c r="H23" i="52" s="1"/>
  <c r="G34" i="52"/>
  <c r="H34" i="52" s="1"/>
  <c r="G38" i="52"/>
  <c r="G37" i="52"/>
  <c r="G36" i="52"/>
  <c r="H36" i="52" s="1"/>
  <c r="G35" i="52"/>
  <c r="H35" i="52" s="1"/>
  <c r="G33" i="52"/>
  <c r="H33" i="52" s="1"/>
  <c r="G32" i="52"/>
  <c r="H32" i="52" s="1"/>
  <c r="G31" i="52"/>
  <c r="H31" i="52" s="1"/>
  <c r="G29" i="52"/>
  <c r="G28" i="52"/>
  <c r="H28" i="52" s="1"/>
  <c r="G27" i="52"/>
  <c r="H27" i="52" s="1"/>
  <c r="G26" i="52"/>
  <c r="H26" i="52" s="1"/>
  <c r="G25" i="52"/>
  <c r="H25" i="52" s="1"/>
  <c r="G22" i="52"/>
  <c r="H22" i="52" s="1"/>
  <c r="G15" i="52"/>
  <c r="H15" i="52" s="1"/>
  <c r="F29" i="52"/>
  <c r="B3" i="56"/>
  <c r="B2" i="56"/>
  <c r="H29" i="52" l="1"/>
  <c r="G30" i="52"/>
  <c r="H30" i="52" s="1"/>
  <c r="G49" i="52"/>
  <c r="H49" i="52" s="1"/>
  <c r="H48" i="52"/>
  <c r="G40" i="52"/>
  <c r="H40" i="52" s="1"/>
  <c r="H37" i="52"/>
  <c r="G39" i="52"/>
  <c r="H39" i="52" s="1"/>
  <c r="H38" i="52"/>
  <c r="G50" i="52"/>
  <c r="H50" i="52" s="1"/>
  <c r="H47" i="52"/>
  <c r="G14" i="52"/>
  <c r="H14" i="52" s="1"/>
  <c r="G21" i="52"/>
  <c r="H41" i="52"/>
  <c r="I20" i="52"/>
  <c r="I18" i="52"/>
  <c r="G53" i="52" l="1"/>
  <c r="H53" i="52" s="1"/>
  <c r="J50" i="52"/>
  <c r="H21" i="52"/>
  <c r="G20" i="52"/>
  <c r="H20" i="52" s="1"/>
  <c r="G19" i="52"/>
  <c r="H19" i="52" s="1"/>
  <c r="G18" i="52"/>
  <c r="H18" i="52" s="1"/>
  <c r="G16" i="52"/>
  <c r="G17" i="52" l="1"/>
  <c r="H17" i="52" s="1"/>
  <c r="H16" i="52"/>
  <c r="G55" i="52"/>
  <c r="G51" i="52" s="1"/>
  <c r="H51" i="52" s="1"/>
  <c r="C71" i="52" s="1"/>
  <c r="C78" i="52" s="1"/>
  <c r="H55" i="52" l="1"/>
  <c r="G59" i="52"/>
  <c r="H59" i="52" s="1"/>
  <c r="G58" i="52"/>
  <c r="G66" i="52" s="1"/>
  <c r="G57" i="52"/>
  <c r="G65" i="52" s="1"/>
  <c r="J40" i="52"/>
  <c r="H57" i="52" l="1"/>
  <c r="H58" i="52"/>
  <c r="G67" i="52"/>
  <c r="G63" i="52" s="1"/>
  <c r="H63" i="52" s="1"/>
  <c r="G56" i="52"/>
  <c r="G64" i="52" s="1"/>
  <c r="H56" i="52"/>
  <c r="G62" i="52"/>
  <c r="H62" i="52" s="1"/>
  <c r="H66" i="52"/>
  <c r="G61" i="52"/>
  <c r="H61" i="52" s="1"/>
  <c r="H65" i="52"/>
  <c r="H67" i="52" l="1"/>
  <c r="G60" i="52"/>
  <c r="H60" i="52" s="1"/>
  <c r="C69" i="52" s="1"/>
  <c r="H64" i="52"/>
  <c r="C70" i="52" l="1"/>
  <c r="C77" i="52" s="1"/>
  <c r="C76" i="52"/>
  <c r="C72" i="52"/>
  <c r="C79" i="5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B6BB61-39B9-42B9-BFC2-AD2166964CFA}" keepAlive="1" name="Requête - Base Prix Pratiqués" description="Connexion à la requête « Base Prix Pratiqués » dans le classeur." type="5" refreshedVersion="8" background="1" saveData="1">
    <dbPr connection="Provider=Microsoft.Mashup.OleDb.1;Data Source=$Workbook$;Location=&quot;Base Prix Pratiqués&quot;;Extended Properties=&quot;&quot;" command="SELECT * FROM [Base Prix Pratiqué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<sst xmlns="http://schemas.openxmlformats.org/spreadsheetml/2006/main" count="3597" uniqueCount="3000">
  <si>
    <t>2"</t>
  </si>
  <si>
    <t>Désignation</t>
  </si>
  <si>
    <t>1"</t>
  </si>
  <si>
    <t>1"1/4</t>
  </si>
  <si>
    <t>1"1/2</t>
  </si>
  <si>
    <t>3"</t>
  </si>
  <si>
    <t>4"</t>
  </si>
  <si>
    <t>204-38</t>
  </si>
  <si>
    <t>204-12</t>
  </si>
  <si>
    <t>204-34</t>
  </si>
  <si>
    <t>204-1</t>
  </si>
  <si>
    <t>204-114</t>
  </si>
  <si>
    <t>204-112</t>
  </si>
  <si>
    <t>204-2</t>
  </si>
  <si>
    <t>2"1/2</t>
  </si>
  <si>
    <t>KHG0250W.00</t>
  </si>
  <si>
    <t>KHG0500W.00</t>
  </si>
  <si>
    <t>311D-220V</t>
  </si>
  <si>
    <t>BECA2</t>
  </si>
  <si>
    <t>Tube</t>
  </si>
  <si>
    <t>XB4BD21</t>
  </si>
  <si>
    <t>SCHA9F75310</t>
  </si>
  <si>
    <t>SCHA9F77320</t>
  </si>
  <si>
    <t>SCHA9F77332</t>
  </si>
  <si>
    <t>SCHA9F75350</t>
  </si>
  <si>
    <t>SCHA9F75363</t>
  </si>
  <si>
    <t>SCHA9F77432</t>
  </si>
  <si>
    <t>SCHA9F75440</t>
  </si>
  <si>
    <t>SCHA9F75202</t>
  </si>
  <si>
    <t>SCHA9F77206</t>
  </si>
  <si>
    <t>FSA2X</t>
  </si>
  <si>
    <t>RAYCE02</t>
  </si>
  <si>
    <t>RAYCE03</t>
  </si>
  <si>
    <t>RAYPT02</t>
  </si>
  <si>
    <t>CE25</t>
  </si>
  <si>
    <t>CE30</t>
  </si>
  <si>
    <t>CONSCF100</t>
  </si>
  <si>
    <t>CONSCF200</t>
  </si>
  <si>
    <t>CUNU5,5</t>
  </si>
  <si>
    <t>CUNU25</t>
  </si>
  <si>
    <t>CUNU35</t>
  </si>
  <si>
    <t>CUNU50</t>
  </si>
  <si>
    <t>CUNU70</t>
  </si>
  <si>
    <t>CUNU95</t>
  </si>
  <si>
    <t>CUNU120</t>
  </si>
  <si>
    <t>GRIFF4-30CUNU</t>
  </si>
  <si>
    <t>RO2V1X50</t>
  </si>
  <si>
    <t>RO2V1X70</t>
  </si>
  <si>
    <t>RO2V1X95</t>
  </si>
  <si>
    <t>RO2V1X120</t>
  </si>
  <si>
    <t>RO2V1x150</t>
  </si>
  <si>
    <t>RO2V1x185</t>
  </si>
  <si>
    <t>RO2V3G2.5</t>
  </si>
  <si>
    <t>RO2V4G2.5</t>
  </si>
  <si>
    <t>RO2V4G4</t>
  </si>
  <si>
    <t>RO2V4G6</t>
  </si>
  <si>
    <t>RO2V4G10</t>
  </si>
  <si>
    <t>RO2V5G10</t>
  </si>
  <si>
    <t>RO2V4G16</t>
  </si>
  <si>
    <t>RO2V4G25</t>
  </si>
  <si>
    <t>RO2V5G25</t>
  </si>
  <si>
    <t>RO2V4G35</t>
  </si>
  <si>
    <t>RO2V4G50</t>
  </si>
  <si>
    <t>RO2V4G70</t>
  </si>
  <si>
    <t>LYCY5G1</t>
  </si>
  <si>
    <t>LYCY2X0,75</t>
  </si>
  <si>
    <t>LYCY3X0,75</t>
  </si>
  <si>
    <t>LYCY2X1</t>
  </si>
  <si>
    <t>LYFLEX2X0,5</t>
  </si>
  <si>
    <t>LYFLEXNB3G0,75</t>
  </si>
  <si>
    <t>LYFLEXNB3G1</t>
  </si>
  <si>
    <t>LYCY4G1</t>
  </si>
  <si>
    <t>HO5VK0,50</t>
  </si>
  <si>
    <t>LYCY7X1</t>
  </si>
  <si>
    <t>LYCY12X1</t>
  </si>
  <si>
    <t>HO7RNF3G1</t>
  </si>
  <si>
    <t>HO7RNF4G1</t>
  </si>
  <si>
    <t>HO7RNF3G1,5</t>
  </si>
  <si>
    <t>HO7RNF4G1,5</t>
  </si>
  <si>
    <t>HO7RNF3G2,5</t>
  </si>
  <si>
    <t>HO7RNF4G2,5</t>
  </si>
  <si>
    <t>HO7RNF3G4</t>
  </si>
  <si>
    <t>HO7RNF4G4</t>
  </si>
  <si>
    <t>HO7RNF3G6</t>
  </si>
  <si>
    <t>HO7RNF4G6</t>
  </si>
  <si>
    <t>HO7RNF5G6</t>
  </si>
  <si>
    <t>HO7RNF4G10</t>
  </si>
  <si>
    <t>HO7RNF5G10</t>
  </si>
  <si>
    <t>HO7RNF4G16</t>
  </si>
  <si>
    <t>HO7RNF5G16</t>
  </si>
  <si>
    <t>LYCY4X0,75</t>
  </si>
  <si>
    <t>CF5450</t>
  </si>
  <si>
    <t>CF54/100</t>
  </si>
  <si>
    <t>CF54/150</t>
  </si>
  <si>
    <t>CF54/200</t>
  </si>
  <si>
    <t>XCT6-6</t>
  </si>
  <si>
    <t>XCT25-8</t>
  </si>
  <si>
    <t>XCT25-10</t>
  </si>
  <si>
    <t>XCT35-8</t>
  </si>
  <si>
    <t>XCT35-10</t>
  </si>
  <si>
    <t>XCT70-8</t>
  </si>
  <si>
    <t>XCT7010</t>
  </si>
  <si>
    <t>XCT95-8</t>
  </si>
  <si>
    <t>XCT9510</t>
  </si>
  <si>
    <t>XCT95-12</t>
  </si>
  <si>
    <t>XCT120-10</t>
  </si>
  <si>
    <t>XCT120-12</t>
  </si>
  <si>
    <t>IRO30</t>
  </si>
  <si>
    <t>IRO20</t>
  </si>
  <si>
    <t>IRO25</t>
  </si>
  <si>
    <t>AF1EA5</t>
  </si>
  <si>
    <t>TRCCM6X20</t>
  </si>
  <si>
    <t>EQT1</t>
  </si>
  <si>
    <t>EQT4</t>
  </si>
  <si>
    <t>EQT5</t>
  </si>
  <si>
    <t>EQT2</t>
  </si>
  <si>
    <t>EQT6</t>
  </si>
  <si>
    <t>EQT3</t>
  </si>
  <si>
    <t>EQTPAU2000</t>
  </si>
  <si>
    <t>RVPA2000.10G-DN80</t>
  </si>
  <si>
    <t>RVPA1500.10G</t>
  </si>
  <si>
    <t>JT32</t>
  </si>
  <si>
    <t>JT40</t>
  </si>
  <si>
    <t>JT50</t>
  </si>
  <si>
    <t>JT65</t>
  </si>
  <si>
    <t>JT80</t>
  </si>
  <si>
    <t>JT100</t>
  </si>
  <si>
    <t>JT125</t>
  </si>
  <si>
    <t>JT150</t>
  </si>
  <si>
    <t>JT200</t>
  </si>
  <si>
    <t>Fixation</t>
  </si>
  <si>
    <t>M16x70</t>
  </si>
  <si>
    <t>M16x100</t>
  </si>
  <si>
    <t>M16x120</t>
  </si>
  <si>
    <t>M20x50</t>
  </si>
  <si>
    <t>M20X80</t>
  </si>
  <si>
    <t>M20x130</t>
  </si>
  <si>
    <t>10000-M</t>
  </si>
  <si>
    <t>CHAAC.D3</t>
  </si>
  <si>
    <t>CV3/8</t>
  </si>
  <si>
    <t>CV1/2</t>
  </si>
  <si>
    <t>CV3/4</t>
  </si>
  <si>
    <t>CV1</t>
  </si>
  <si>
    <t>CV114</t>
  </si>
  <si>
    <t>CV112</t>
  </si>
  <si>
    <t>CV2</t>
  </si>
  <si>
    <t>CV212</t>
  </si>
  <si>
    <t>CV3</t>
  </si>
  <si>
    <t>CV4</t>
  </si>
  <si>
    <t>CSS15</t>
  </si>
  <si>
    <t>CSS17</t>
  </si>
  <si>
    <t>CSS20</t>
  </si>
  <si>
    <t>CSS29</t>
  </si>
  <si>
    <t>CSS36</t>
  </si>
  <si>
    <t>CSS23</t>
  </si>
  <si>
    <t>CSS38</t>
  </si>
  <si>
    <t>CO0709</t>
  </si>
  <si>
    <t>CO0911</t>
  </si>
  <si>
    <t>CO1113</t>
  </si>
  <si>
    <t>CO1315</t>
  </si>
  <si>
    <t>CO1518</t>
  </si>
  <si>
    <t>CO1720</t>
  </si>
  <si>
    <t>CO1821</t>
  </si>
  <si>
    <t>CO2023</t>
  </si>
  <si>
    <t>CO2327</t>
  </si>
  <si>
    <t>CO2528</t>
  </si>
  <si>
    <t>CO2731</t>
  </si>
  <si>
    <t>CO3034</t>
  </si>
  <si>
    <t>CVI15</t>
  </si>
  <si>
    <t>CVI18</t>
  </si>
  <si>
    <t>CVI22</t>
  </si>
  <si>
    <t>CVI28</t>
  </si>
  <si>
    <t>CVI35</t>
  </si>
  <si>
    <t>CVI42</t>
  </si>
  <si>
    <t>CVI54</t>
  </si>
  <si>
    <t>CVI76</t>
  </si>
  <si>
    <t>CVI88</t>
  </si>
  <si>
    <t>CVI108</t>
  </si>
  <si>
    <t>CV15-ISO</t>
  </si>
  <si>
    <t>CV18-ISO</t>
  </si>
  <si>
    <t>CV22-ISO</t>
  </si>
  <si>
    <t>CV28-ISO</t>
  </si>
  <si>
    <t>CV35-ISO</t>
  </si>
  <si>
    <t>CV42-ISO</t>
  </si>
  <si>
    <t>CV54-ISO</t>
  </si>
  <si>
    <t>CV76-ISO</t>
  </si>
  <si>
    <t>CV88-ISO</t>
  </si>
  <si>
    <t>CV108-ISO</t>
  </si>
  <si>
    <t>CV1016</t>
  </si>
  <si>
    <t>CV1320</t>
  </si>
  <si>
    <t>CV1424</t>
  </si>
  <si>
    <t>CV1828</t>
  </si>
  <si>
    <t>CV2436</t>
  </si>
  <si>
    <t>CV4043</t>
  </si>
  <si>
    <t>CV3252</t>
  </si>
  <si>
    <t>CV44-47</t>
  </si>
  <si>
    <t>ZTOE43</t>
  </si>
  <si>
    <t>CV36-39</t>
  </si>
  <si>
    <t>CV32-35</t>
  </si>
  <si>
    <t>CV60-63</t>
  </si>
  <si>
    <t>CV64-67</t>
  </si>
  <si>
    <t>CONS200</t>
  </si>
  <si>
    <t>LG 240 - 38x40</t>
  </si>
  <si>
    <t>CONS800</t>
  </si>
  <si>
    <t>Ø 8</t>
  </si>
  <si>
    <t>ETR212</t>
  </si>
  <si>
    <t>ETR3</t>
  </si>
  <si>
    <t>ETR4</t>
  </si>
  <si>
    <t>ETR5</t>
  </si>
  <si>
    <t>ETR6</t>
  </si>
  <si>
    <t>0207000815</t>
  </si>
  <si>
    <t xml:space="preserve"> 8/50</t>
  </si>
  <si>
    <t>EQ90-RAIL3824</t>
  </si>
  <si>
    <t>RAIL3840x3</t>
  </si>
  <si>
    <t>RAIL4060X4</t>
  </si>
  <si>
    <t>RM6</t>
  </si>
  <si>
    <t>RM8</t>
  </si>
  <si>
    <t>RM10</t>
  </si>
  <si>
    <t>TF051</t>
  </si>
  <si>
    <t>TF061</t>
  </si>
  <si>
    <t>TF081</t>
  </si>
  <si>
    <t>TF101</t>
  </si>
  <si>
    <t>TF121</t>
  </si>
  <si>
    <t>EC-RAILM10X35</t>
  </si>
  <si>
    <t>THM6x20</t>
  </si>
  <si>
    <t>THM6x30</t>
  </si>
  <si>
    <t>THM10x50</t>
  </si>
  <si>
    <t>M16x40</t>
  </si>
  <si>
    <t>THM16x45</t>
  </si>
  <si>
    <t>K8.0786.00010</t>
  </si>
  <si>
    <t>K8.0787.00010</t>
  </si>
  <si>
    <t>FI12.1000</t>
  </si>
  <si>
    <t>FI12.2000</t>
  </si>
  <si>
    <t>FI12.3000</t>
  </si>
  <si>
    <t>FI34.1000</t>
  </si>
  <si>
    <t>FI34.2000</t>
  </si>
  <si>
    <t>FI34.2800</t>
  </si>
  <si>
    <t>FI1.1000</t>
  </si>
  <si>
    <t>FI1.1250</t>
  </si>
  <si>
    <t>FI114.500</t>
  </si>
  <si>
    <t>FI114.1000</t>
  </si>
  <si>
    <t>FI114.1200</t>
  </si>
  <si>
    <t>FI114.2000</t>
  </si>
  <si>
    <t>FI112.1000</t>
  </si>
  <si>
    <t>FI112.2000</t>
  </si>
  <si>
    <t>FI2.1000</t>
  </si>
  <si>
    <t>FI2.1500</t>
  </si>
  <si>
    <t>FI2.2000</t>
  </si>
  <si>
    <t>FI212.1000</t>
  </si>
  <si>
    <t>FI3.1000</t>
  </si>
  <si>
    <t>FC12.500</t>
  </si>
  <si>
    <t>FC12.1000</t>
  </si>
  <si>
    <t>FC12.1500</t>
  </si>
  <si>
    <t>FC12.2000</t>
  </si>
  <si>
    <t>FC12.3000</t>
  </si>
  <si>
    <t>FC12.4000</t>
  </si>
  <si>
    <t>FC12.5000</t>
  </si>
  <si>
    <t>FC12.6000</t>
  </si>
  <si>
    <t>FC12.8000</t>
  </si>
  <si>
    <t>FC34.500</t>
  </si>
  <si>
    <t>FC34.1000</t>
  </si>
  <si>
    <t>FC34.1500</t>
  </si>
  <si>
    <t>FC34.2000</t>
  </si>
  <si>
    <t>FC34.2500</t>
  </si>
  <si>
    <t>FC34.3000</t>
  </si>
  <si>
    <t>FC34.4000</t>
  </si>
  <si>
    <t>FC34.5000</t>
  </si>
  <si>
    <t>FC34.6000</t>
  </si>
  <si>
    <t>FC1.500</t>
  </si>
  <si>
    <t>FC1.1000</t>
  </si>
  <si>
    <t>FC1.1500</t>
  </si>
  <si>
    <t>FC1.2000</t>
  </si>
  <si>
    <t>FC1.2500</t>
  </si>
  <si>
    <t>FC1.3000</t>
  </si>
  <si>
    <t>FC1.3500</t>
  </si>
  <si>
    <t>FC1.4000</t>
  </si>
  <si>
    <t>FC1.5000</t>
  </si>
  <si>
    <t>FC1.6000</t>
  </si>
  <si>
    <t>FC1.10000</t>
  </si>
  <si>
    <t>FC114.1000</t>
  </si>
  <si>
    <t>FC114.1500</t>
  </si>
  <si>
    <t>FC114.2000</t>
  </si>
  <si>
    <t>FC114.2500</t>
  </si>
  <si>
    <t>FC114.3000</t>
  </si>
  <si>
    <t>FC114.4000</t>
  </si>
  <si>
    <t>FC114.5000</t>
  </si>
  <si>
    <t>FC114.9000</t>
  </si>
  <si>
    <t>FC114.10000</t>
  </si>
  <si>
    <t>FC112.500</t>
  </si>
  <si>
    <t>FC112.1000</t>
  </si>
  <si>
    <t>FC112.1500</t>
  </si>
  <si>
    <t>FC112.2000</t>
  </si>
  <si>
    <t>FC112.2500</t>
  </si>
  <si>
    <t>FC112.3000</t>
  </si>
  <si>
    <t>FC2.500</t>
  </si>
  <si>
    <t>FC2.1000</t>
  </si>
  <si>
    <t>FC2.1500</t>
  </si>
  <si>
    <t>FC2.2000</t>
  </si>
  <si>
    <t>FC2.2500</t>
  </si>
  <si>
    <t>FC2.3000</t>
  </si>
  <si>
    <t>FC2.4000</t>
  </si>
  <si>
    <t>FC2.10000</t>
  </si>
  <si>
    <t>FC2.15000</t>
  </si>
  <si>
    <t>FC212.1000</t>
  </si>
  <si>
    <t>FC212.1500</t>
  </si>
  <si>
    <t>MAXAIR10</t>
  </si>
  <si>
    <t>MAXAIR13</t>
  </si>
  <si>
    <t>MAXAIR16</t>
  </si>
  <si>
    <t>MAXAIR19</t>
  </si>
  <si>
    <t>MAXAIR25</t>
  </si>
  <si>
    <t>MAXAIR32</t>
  </si>
  <si>
    <t>RILSAN-24</t>
  </si>
  <si>
    <t>RILSAN-46</t>
  </si>
  <si>
    <t>RILSAN-68</t>
  </si>
  <si>
    <t>RILSAN-810</t>
  </si>
  <si>
    <t>RILSAN-1012</t>
  </si>
  <si>
    <t>RILSAN-1214</t>
  </si>
  <si>
    <t>TRICO06</t>
  </si>
  <si>
    <t>TRICO08</t>
  </si>
  <si>
    <t>TRICO10</t>
  </si>
  <si>
    <t>TRICO12</t>
  </si>
  <si>
    <t>TRICO13</t>
  </si>
  <si>
    <t>TRICO16</t>
  </si>
  <si>
    <t>TRICO19</t>
  </si>
  <si>
    <t>TRICO25</t>
  </si>
  <si>
    <t>TRICO32</t>
  </si>
  <si>
    <t>530AN4</t>
  </si>
  <si>
    <t>530A212</t>
  </si>
  <si>
    <t>530A3</t>
  </si>
  <si>
    <t>530A2</t>
  </si>
  <si>
    <t>530A1</t>
  </si>
  <si>
    <t>530A12</t>
  </si>
  <si>
    <t>530G4-150</t>
  </si>
  <si>
    <t>530G212-80</t>
  </si>
  <si>
    <t>530G212-300</t>
  </si>
  <si>
    <t>530G2-400</t>
  </si>
  <si>
    <t>530G2-300</t>
  </si>
  <si>
    <t>530G2-200</t>
  </si>
  <si>
    <t>530G2-150</t>
  </si>
  <si>
    <t>530G2-100</t>
  </si>
  <si>
    <t>530G112-200</t>
  </si>
  <si>
    <t>530G112-150</t>
  </si>
  <si>
    <t>530G112-100</t>
  </si>
  <si>
    <t>530G112-80</t>
  </si>
  <si>
    <t>530G114-100</t>
  </si>
  <si>
    <t>530G114</t>
  </si>
  <si>
    <t>530G1-80</t>
  </si>
  <si>
    <t>530G1-150</t>
  </si>
  <si>
    <t>530G1-200</t>
  </si>
  <si>
    <t>530G1-500</t>
  </si>
  <si>
    <t>530G1-700</t>
  </si>
  <si>
    <t>530G1-1000</t>
  </si>
  <si>
    <t>530G1</t>
  </si>
  <si>
    <t>530G34-500</t>
  </si>
  <si>
    <t>530G34-400</t>
  </si>
  <si>
    <t>530G34-300</t>
  </si>
  <si>
    <t>530G34-200</t>
  </si>
  <si>
    <t>530G34-150</t>
  </si>
  <si>
    <t>530G34-100</t>
  </si>
  <si>
    <t>530G34</t>
  </si>
  <si>
    <t>530G12-100</t>
  </si>
  <si>
    <t>530G12-150</t>
  </si>
  <si>
    <t>530G12-200</t>
  </si>
  <si>
    <t>530-300-12</t>
  </si>
  <si>
    <t>530-500-12</t>
  </si>
  <si>
    <t>530-600-12</t>
  </si>
  <si>
    <t>530G12</t>
  </si>
  <si>
    <t>530G38-300</t>
  </si>
  <si>
    <t>530G38-200</t>
  </si>
  <si>
    <t>530G38-150</t>
  </si>
  <si>
    <t>300G4</t>
  </si>
  <si>
    <t>300G3</t>
  </si>
  <si>
    <t>300G212</t>
  </si>
  <si>
    <t>300G2</t>
  </si>
  <si>
    <t>300G112</t>
  </si>
  <si>
    <t>300G114</t>
  </si>
  <si>
    <t>300G1</t>
  </si>
  <si>
    <t>300G34</t>
  </si>
  <si>
    <t>300G12</t>
  </si>
  <si>
    <t>300G38</t>
  </si>
  <si>
    <t>300G14</t>
  </si>
  <si>
    <t>290G3</t>
  </si>
  <si>
    <t>290G212</t>
  </si>
  <si>
    <t>290G2</t>
  </si>
  <si>
    <t>290G112</t>
  </si>
  <si>
    <t>290G114</t>
  </si>
  <si>
    <t>290G1</t>
  </si>
  <si>
    <t>290G34</t>
  </si>
  <si>
    <t>290G12</t>
  </si>
  <si>
    <t>290G38</t>
  </si>
  <si>
    <t>290G14</t>
  </si>
  <si>
    <t>290G18</t>
  </si>
  <si>
    <t>90G3</t>
  </si>
  <si>
    <t>90G212</t>
  </si>
  <si>
    <t>90G2</t>
  </si>
  <si>
    <t>90G112</t>
  </si>
  <si>
    <t>90G114</t>
  </si>
  <si>
    <t>90G1</t>
  </si>
  <si>
    <t>90G34</t>
  </si>
  <si>
    <t>90G12</t>
  </si>
  <si>
    <t>90G38</t>
  </si>
  <si>
    <t>90G14</t>
  </si>
  <si>
    <t>90G18</t>
  </si>
  <si>
    <t>92G114</t>
  </si>
  <si>
    <t>92G3</t>
  </si>
  <si>
    <t>92G212</t>
  </si>
  <si>
    <t>92G2</t>
  </si>
  <si>
    <t>92G112</t>
  </si>
  <si>
    <t>92G1</t>
  </si>
  <si>
    <t>92G34</t>
  </si>
  <si>
    <t>92G12</t>
  </si>
  <si>
    <t>92G38</t>
  </si>
  <si>
    <t>92G14</t>
  </si>
  <si>
    <t>92G18</t>
  </si>
  <si>
    <t>3G3</t>
  </si>
  <si>
    <t>3G212</t>
  </si>
  <si>
    <t>3G2</t>
  </si>
  <si>
    <t>3G112</t>
  </si>
  <si>
    <t>3G1</t>
  </si>
  <si>
    <t>3G34</t>
  </si>
  <si>
    <t>3G12</t>
  </si>
  <si>
    <t>3G38</t>
  </si>
  <si>
    <t>3G14</t>
  </si>
  <si>
    <t>2G3</t>
  </si>
  <si>
    <t>2G212</t>
  </si>
  <si>
    <t>2G2</t>
  </si>
  <si>
    <t>2G112</t>
  </si>
  <si>
    <t>2G114</t>
  </si>
  <si>
    <t>2G1</t>
  </si>
  <si>
    <t>2G34</t>
  </si>
  <si>
    <t>2G12</t>
  </si>
  <si>
    <t>2G38</t>
  </si>
  <si>
    <t>2G14</t>
  </si>
  <si>
    <t>41G212</t>
  </si>
  <si>
    <t>41G2</t>
  </si>
  <si>
    <t>41G112</t>
  </si>
  <si>
    <t>41G114</t>
  </si>
  <si>
    <t>41G1</t>
  </si>
  <si>
    <t>41G14</t>
  </si>
  <si>
    <t>3G114</t>
  </si>
  <si>
    <t>1G3</t>
  </si>
  <si>
    <t>1G212</t>
  </si>
  <si>
    <t>1G2</t>
  </si>
  <si>
    <t>1G112</t>
  </si>
  <si>
    <t>1G114</t>
  </si>
  <si>
    <t>1G1</t>
  </si>
  <si>
    <t>1G34</t>
  </si>
  <si>
    <t>1G12</t>
  </si>
  <si>
    <t>1G38</t>
  </si>
  <si>
    <t>1G14</t>
  </si>
  <si>
    <t>40G3</t>
  </si>
  <si>
    <t>40G212</t>
  </si>
  <si>
    <t>40G2</t>
  </si>
  <si>
    <t>40G112</t>
  </si>
  <si>
    <t>40G114</t>
  </si>
  <si>
    <t>40G1</t>
  </si>
  <si>
    <t>40G34</t>
  </si>
  <si>
    <t>40G12</t>
  </si>
  <si>
    <t>40G38</t>
  </si>
  <si>
    <t>40G14</t>
  </si>
  <si>
    <t>180G2</t>
  </si>
  <si>
    <t>180G112</t>
  </si>
  <si>
    <t>180G114</t>
  </si>
  <si>
    <t>180G1</t>
  </si>
  <si>
    <t>180G34</t>
  </si>
  <si>
    <t>180G12</t>
  </si>
  <si>
    <t>180G38</t>
  </si>
  <si>
    <t>180G14</t>
  </si>
  <si>
    <t>220N12</t>
  </si>
  <si>
    <t>220G1</t>
  </si>
  <si>
    <t>220G34</t>
  </si>
  <si>
    <t>220G38</t>
  </si>
  <si>
    <t>280G4</t>
  </si>
  <si>
    <t>280G3</t>
  </si>
  <si>
    <t>280G212</t>
  </si>
  <si>
    <t>280G2</t>
  </si>
  <si>
    <t>280G112</t>
  </si>
  <si>
    <t>280G114</t>
  </si>
  <si>
    <t>280G1</t>
  </si>
  <si>
    <t>280G34</t>
  </si>
  <si>
    <t>280G12</t>
  </si>
  <si>
    <t>280G38</t>
  </si>
  <si>
    <t>280G14</t>
  </si>
  <si>
    <t>280G18</t>
  </si>
  <si>
    <t>245G3212</t>
  </si>
  <si>
    <t>245G32</t>
  </si>
  <si>
    <t>245G3112</t>
  </si>
  <si>
    <t>245G2122</t>
  </si>
  <si>
    <t>245G212112</t>
  </si>
  <si>
    <t>245G2112</t>
  </si>
  <si>
    <t>245G2114</t>
  </si>
  <si>
    <t>245G21</t>
  </si>
  <si>
    <t>245G112114</t>
  </si>
  <si>
    <t>245G1121</t>
  </si>
  <si>
    <t>245G11234</t>
  </si>
  <si>
    <t>245G11212</t>
  </si>
  <si>
    <t>245G1141</t>
  </si>
  <si>
    <t>245G11434</t>
  </si>
  <si>
    <t>245G11412</t>
  </si>
  <si>
    <t>245G134</t>
  </si>
  <si>
    <t>245G112</t>
  </si>
  <si>
    <t>245G3412</t>
  </si>
  <si>
    <t>245G3438</t>
  </si>
  <si>
    <t>245G3414</t>
  </si>
  <si>
    <t>245G1238</t>
  </si>
  <si>
    <t>245G1214</t>
  </si>
  <si>
    <t>245G1218</t>
  </si>
  <si>
    <t>245G3814</t>
  </si>
  <si>
    <t>245G3818</t>
  </si>
  <si>
    <t>270G3</t>
  </si>
  <si>
    <t>270G212</t>
  </si>
  <si>
    <t>270G2</t>
  </si>
  <si>
    <t>270G112</t>
  </si>
  <si>
    <t>270G114</t>
  </si>
  <si>
    <t>270G1</t>
  </si>
  <si>
    <t>270G34</t>
  </si>
  <si>
    <t>270G12</t>
  </si>
  <si>
    <t>270G38</t>
  </si>
  <si>
    <t>270G14</t>
  </si>
  <si>
    <t>270G18</t>
  </si>
  <si>
    <t>240G4212</t>
  </si>
  <si>
    <t>240G43</t>
  </si>
  <si>
    <t>240G42</t>
  </si>
  <si>
    <t>240G3212</t>
  </si>
  <si>
    <t>240G32</t>
  </si>
  <si>
    <t>240G2122</t>
  </si>
  <si>
    <t>240G212112</t>
  </si>
  <si>
    <t>240G2112</t>
  </si>
  <si>
    <t>240G2114</t>
  </si>
  <si>
    <t>240G21</t>
  </si>
  <si>
    <t>240G212</t>
  </si>
  <si>
    <t>240G112114</t>
  </si>
  <si>
    <t>240G1121</t>
  </si>
  <si>
    <t>240G11234</t>
  </si>
  <si>
    <t>240G11212</t>
  </si>
  <si>
    <t>240G1141</t>
  </si>
  <si>
    <t>240G11434</t>
  </si>
  <si>
    <t>240G11412</t>
  </si>
  <si>
    <t>240G11438</t>
  </si>
  <si>
    <t>240G134</t>
  </si>
  <si>
    <t>240G112</t>
  </si>
  <si>
    <t>240G138</t>
  </si>
  <si>
    <t>240G3412</t>
  </si>
  <si>
    <t>240G3438</t>
  </si>
  <si>
    <t>240G3414</t>
  </si>
  <si>
    <t>240G1238</t>
  </si>
  <si>
    <t>240G1214</t>
  </si>
  <si>
    <t>240G3814</t>
  </si>
  <si>
    <t>240G3818</t>
  </si>
  <si>
    <t>240G1418</t>
  </si>
  <si>
    <t>246G3212</t>
  </si>
  <si>
    <t>246G32</t>
  </si>
  <si>
    <t>246G2122</t>
  </si>
  <si>
    <t>246G212112</t>
  </si>
  <si>
    <t>246G2112</t>
  </si>
  <si>
    <t>246G2114</t>
  </si>
  <si>
    <t>246G21</t>
  </si>
  <si>
    <t>246G212</t>
  </si>
  <si>
    <t>246G112114</t>
  </si>
  <si>
    <t>246G1121</t>
  </si>
  <si>
    <t>246G11234</t>
  </si>
  <si>
    <t>246G1141</t>
  </si>
  <si>
    <t>246G11434</t>
  </si>
  <si>
    <t>246G11412</t>
  </si>
  <si>
    <t>246G134</t>
  </si>
  <si>
    <t>246G112</t>
  </si>
  <si>
    <t>246G138</t>
  </si>
  <si>
    <t>246G3412</t>
  </si>
  <si>
    <t>246G3438</t>
  </si>
  <si>
    <t>246G1238</t>
  </si>
  <si>
    <t>246G1214</t>
  </si>
  <si>
    <t>246G3814</t>
  </si>
  <si>
    <t>246G3818</t>
  </si>
  <si>
    <t>246G1418</t>
  </si>
  <si>
    <t>241G43</t>
  </si>
  <si>
    <t>241G4212</t>
  </si>
  <si>
    <t>241G42</t>
  </si>
  <si>
    <t>241G3212</t>
  </si>
  <si>
    <t>241G32</t>
  </si>
  <si>
    <t>241G2122</t>
  </si>
  <si>
    <t>241G212112</t>
  </si>
  <si>
    <t>241G2112</t>
  </si>
  <si>
    <t>241G2114</t>
  </si>
  <si>
    <t>241G21</t>
  </si>
  <si>
    <t>241G234</t>
  </si>
  <si>
    <t>241G212</t>
  </si>
  <si>
    <t>241G112114</t>
  </si>
  <si>
    <t>241G1121</t>
  </si>
  <si>
    <t>241G11234</t>
  </si>
  <si>
    <t>241G11212</t>
  </si>
  <si>
    <t>241G1141</t>
  </si>
  <si>
    <t>241G11434</t>
  </si>
  <si>
    <t>241G11412</t>
  </si>
  <si>
    <t>241G134</t>
  </si>
  <si>
    <t>241G112</t>
  </si>
  <si>
    <t>241G138</t>
  </si>
  <si>
    <t>241G3412</t>
  </si>
  <si>
    <t>241G3438</t>
  </si>
  <si>
    <t>241G3414</t>
  </si>
  <si>
    <t>241G1238</t>
  </si>
  <si>
    <t>241G1214</t>
  </si>
  <si>
    <t>241G1218</t>
  </si>
  <si>
    <t>241G3814</t>
  </si>
  <si>
    <t>241G3818</t>
  </si>
  <si>
    <t>241G1418</t>
  </si>
  <si>
    <t>Té 130</t>
  </si>
  <si>
    <t>130G3</t>
  </si>
  <si>
    <t>130G212</t>
  </si>
  <si>
    <t>130G2</t>
  </si>
  <si>
    <t>130G112</t>
  </si>
  <si>
    <t>130G114</t>
  </si>
  <si>
    <t>130G1</t>
  </si>
  <si>
    <t>130G34</t>
  </si>
  <si>
    <t>130G12</t>
  </si>
  <si>
    <t>130G38</t>
  </si>
  <si>
    <t>130G14</t>
  </si>
  <si>
    <t>131G212</t>
  </si>
  <si>
    <t>131G2</t>
  </si>
  <si>
    <t>131G112</t>
  </si>
  <si>
    <t>131G114</t>
  </si>
  <si>
    <t>131G1</t>
  </si>
  <si>
    <t>131G34</t>
  </si>
  <si>
    <t>131G12</t>
  </si>
  <si>
    <t>131G38</t>
  </si>
  <si>
    <t>132G2</t>
  </si>
  <si>
    <t>132G112</t>
  </si>
  <si>
    <t>132G114</t>
  </si>
  <si>
    <t>132G1</t>
  </si>
  <si>
    <t>132G34</t>
  </si>
  <si>
    <t>132G12</t>
  </si>
  <si>
    <t>130RG2122212</t>
  </si>
  <si>
    <t>130RG21122</t>
  </si>
  <si>
    <t>130RG21142</t>
  </si>
  <si>
    <t>130RG212</t>
  </si>
  <si>
    <t>130RG2342</t>
  </si>
  <si>
    <t>130RG2122</t>
  </si>
  <si>
    <t>130RG1121112</t>
  </si>
  <si>
    <t>130RG11234112</t>
  </si>
  <si>
    <t>130RG1141114</t>
  </si>
  <si>
    <t>130RG11434114</t>
  </si>
  <si>
    <t>130RG11412114</t>
  </si>
  <si>
    <t>130RG1341</t>
  </si>
  <si>
    <t>130RG1121</t>
  </si>
  <si>
    <t>130RG341234</t>
  </si>
  <si>
    <t>130RG343834</t>
  </si>
  <si>
    <t>130RG123812</t>
  </si>
  <si>
    <t>T3GM4</t>
  </si>
  <si>
    <t>T3GM2</t>
  </si>
  <si>
    <t>T3GM112</t>
  </si>
  <si>
    <t>T3GM114</t>
  </si>
  <si>
    <t>T3GM1</t>
  </si>
  <si>
    <t>T3GM34</t>
  </si>
  <si>
    <t>T3GM12</t>
  </si>
  <si>
    <t>Union MM 344</t>
  </si>
  <si>
    <t>344G14</t>
  </si>
  <si>
    <t>344G2</t>
  </si>
  <si>
    <t>344G112</t>
  </si>
  <si>
    <t>344G114</t>
  </si>
  <si>
    <t>344G1</t>
  </si>
  <si>
    <t>344G34</t>
  </si>
  <si>
    <t>344G12</t>
  </si>
  <si>
    <t>344G38</t>
  </si>
  <si>
    <t>340G3</t>
  </si>
  <si>
    <t>340G212</t>
  </si>
  <si>
    <t>340G2</t>
  </si>
  <si>
    <t>340G112</t>
  </si>
  <si>
    <t>340G114</t>
  </si>
  <si>
    <t>340G1</t>
  </si>
  <si>
    <t>340G34</t>
  </si>
  <si>
    <t>340G12</t>
  </si>
  <si>
    <t>340G38</t>
  </si>
  <si>
    <t>340G14</t>
  </si>
  <si>
    <t>96G3</t>
  </si>
  <si>
    <t>96G212</t>
  </si>
  <si>
    <t>96G2</t>
  </si>
  <si>
    <t>96G112</t>
  </si>
  <si>
    <t>96G114</t>
  </si>
  <si>
    <t>96G1</t>
  </si>
  <si>
    <t>96G34</t>
  </si>
  <si>
    <t>96G12</t>
  </si>
  <si>
    <t>341G4</t>
  </si>
  <si>
    <t>341G3</t>
  </si>
  <si>
    <t>341G212</t>
  </si>
  <si>
    <t>341G2</t>
  </si>
  <si>
    <t>341G112</t>
  </si>
  <si>
    <t>341G114</t>
  </si>
  <si>
    <t>341G1</t>
  </si>
  <si>
    <t>341G34</t>
  </si>
  <si>
    <t>341G12</t>
  </si>
  <si>
    <t>341G38</t>
  </si>
  <si>
    <t>341G14</t>
  </si>
  <si>
    <t>98G3</t>
  </si>
  <si>
    <t>98G212</t>
  </si>
  <si>
    <t>98G2</t>
  </si>
  <si>
    <t>98G112</t>
  </si>
  <si>
    <t>98G114</t>
  </si>
  <si>
    <t>98G1</t>
  </si>
  <si>
    <t>98G34</t>
  </si>
  <si>
    <t>98G12</t>
  </si>
  <si>
    <t>Bouchon</t>
  </si>
  <si>
    <t>F50160</t>
  </si>
  <si>
    <t>F50220</t>
  </si>
  <si>
    <t>F50280</t>
  </si>
  <si>
    <t>F50340</t>
  </si>
  <si>
    <t>F50420</t>
  </si>
  <si>
    <t>F50480</t>
  </si>
  <si>
    <t>F50600</t>
  </si>
  <si>
    <t>F50800</t>
  </si>
  <si>
    <t>F25160</t>
  </si>
  <si>
    <t>F25220</t>
  </si>
  <si>
    <t>F25280</t>
  </si>
  <si>
    <t>F45160</t>
  </si>
  <si>
    <t>F45220</t>
  </si>
  <si>
    <t>F45228</t>
  </si>
  <si>
    <t>F45340</t>
  </si>
  <si>
    <t>F45420</t>
  </si>
  <si>
    <t>F45480</t>
  </si>
  <si>
    <t>F45600</t>
  </si>
  <si>
    <t>F45800</t>
  </si>
  <si>
    <t>F90160</t>
  </si>
  <si>
    <t>F90220</t>
  </si>
  <si>
    <t>F90280</t>
  </si>
  <si>
    <t>F90340</t>
  </si>
  <si>
    <t>F90420</t>
  </si>
  <si>
    <t>F90480</t>
  </si>
  <si>
    <t>F90600</t>
  </si>
  <si>
    <t>F90800</t>
  </si>
  <si>
    <t>F90160S</t>
  </si>
  <si>
    <t>F90220S</t>
  </si>
  <si>
    <t>F90280S</t>
  </si>
  <si>
    <t>F90340S</t>
  </si>
  <si>
    <t>F90420S</t>
  </si>
  <si>
    <t>F90480S</t>
  </si>
  <si>
    <t>F90600S</t>
  </si>
  <si>
    <t>F40160</t>
  </si>
  <si>
    <t>F4016S</t>
  </si>
  <si>
    <t>F40221</t>
  </si>
  <si>
    <t>F4022S</t>
  </si>
  <si>
    <t>F40280</t>
  </si>
  <si>
    <t>F41160</t>
  </si>
  <si>
    <t>F41220</t>
  </si>
  <si>
    <t>F41280</t>
  </si>
  <si>
    <t>F41340</t>
  </si>
  <si>
    <t>F41420</t>
  </si>
  <si>
    <t>F41480</t>
  </si>
  <si>
    <t>F41600</t>
  </si>
  <si>
    <t>F41601</t>
  </si>
  <si>
    <t>F42160</t>
  </si>
  <si>
    <t>F42220</t>
  </si>
  <si>
    <t>F42280</t>
  </si>
  <si>
    <t>F42340</t>
  </si>
  <si>
    <t>F42420</t>
  </si>
  <si>
    <t>F42480</t>
  </si>
  <si>
    <t>F42600</t>
  </si>
  <si>
    <t>F42601</t>
  </si>
  <si>
    <t>F45160S</t>
  </si>
  <si>
    <t>F45220S</t>
  </si>
  <si>
    <t>F45280S</t>
  </si>
  <si>
    <t>F45340S</t>
  </si>
  <si>
    <t>F45420S</t>
  </si>
  <si>
    <t>F45480S</t>
  </si>
  <si>
    <t>F45600S</t>
  </si>
  <si>
    <t>F33160</t>
  </si>
  <si>
    <t>F33220</t>
  </si>
  <si>
    <t>F33280</t>
  </si>
  <si>
    <t>F33340</t>
  </si>
  <si>
    <t>F33420</t>
  </si>
  <si>
    <t>F33480</t>
  </si>
  <si>
    <t>F33600</t>
  </si>
  <si>
    <t>Manchon court</t>
  </si>
  <si>
    <t>F20160</t>
  </si>
  <si>
    <t>F20220</t>
  </si>
  <si>
    <t>F20280</t>
  </si>
  <si>
    <t>F20340</t>
  </si>
  <si>
    <t>F20420</t>
  </si>
  <si>
    <t>F20480</t>
  </si>
  <si>
    <t>F20600</t>
  </si>
  <si>
    <t>F20800</t>
  </si>
  <si>
    <t>EQF800</t>
  </si>
  <si>
    <t>F21160</t>
  </si>
  <si>
    <t>F21220</t>
  </si>
  <si>
    <t>F21280</t>
  </si>
  <si>
    <t>F21340</t>
  </si>
  <si>
    <t>F21420</t>
  </si>
  <si>
    <t>F21480</t>
  </si>
  <si>
    <t>F21600</t>
  </si>
  <si>
    <t>F25221</t>
  </si>
  <si>
    <t>F25281</t>
  </si>
  <si>
    <t>F25282</t>
  </si>
  <si>
    <t>F25341</t>
  </si>
  <si>
    <t>F25342</t>
  </si>
  <si>
    <t>F25348</t>
  </si>
  <si>
    <t>F25421</t>
  </si>
  <si>
    <t>F25422</t>
  </si>
  <si>
    <t>F25423</t>
  </si>
  <si>
    <t>F25428</t>
  </si>
  <si>
    <t>F25481</t>
  </si>
  <si>
    <t>F25482</t>
  </si>
  <si>
    <t>F25483</t>
  </si>
  <si>
    <t>F25484</t>
  </si>
  <si>
    <t>F25488</t>
  </si>
  <si>
    <t>F25622</t>
  </si>
  <si>
    <t>F25628</t>
  </si>
  <si>
    <t>F25634</t>
  </si>
  <si>
    <t>F25642</t>
  </si>
  <si>
    <t>F25648</t>
  </si>
  <si>
    <t>F25842</t>
  </si>
  <si>
    <t>F25848</t>
  </si>
  <si>
    <t>F25860</t>
  </si>
  <si>
    <t>F22160</t>
  </si>
  <si>
    <t>F22221</t>
  </si>
  <si>
    <t>F22223</t>
  </si>
  <si>
    <t>F22280</t>
  </si>
  <si>
    <t>F22281</t>
  </si>
  <si>
    <t>F22283</t>
  </si>
  <si>
    <t>F23340</t>
  </si>
  <si>
    <t>F23420</t>
  </si>
  <si>
    <t>F23480</t>
  </si>
  <si>
    <t>F23600</t>
  </si>
  <si>
    <t>F23601</t>
  </si>
  <si>
    <t>F24160</t>
  </si>
  <si>
    <t>F24220</t>
  </si>
  <si>
    <t>F24280</t>
  </si>
  <si>
    <t>F24340</t>
  </si>
  <si>
    <t>F24420</t>
  </si>
  <si>
    <t>F24480</t>
  </si>
  <si>
    <t>F24600</t>
  </si>
  <si>
    <t>F24601</t>
  </si>
  <si>
    <t>F15160</t>
  </si>
  <si>
    <t>F15220</t>
  </si>
  <si>
    <t>F15280</t>
  </si>
  <si>
    <t>F15340</t>
  </si>
  <si>
    <t>F15420</t>
  </si>
  <si>
    <t>F15480</t>
  </si>
  <si>
    <t>F15600</t>
  </si>
  <si>
    <t>F15800</t>
  </si>
  <si>
    <t>F13160</t>
  </si>
  <si>
    <t>F13221</t>
  </si>
  <si>
    <t>F13223</t>
  </si>
  <si>
    <t>F13283</t>
  </si>
  <si>
    <t>F13281</t>
  </si>
  <si>
    <t>F13280</t>
  </si>
  <si>
    <t>F13341</t>
  </si>
  <si>
    <t>F13343</t>
  </si>
  <si>
    <t>F13340</t>
  </si>
  <si>
    <t>F13421</t>
  </si>
  <si>
    <t>F13423</t>
  </si>
  <si>
    <t>F13420</t>
  </si>
  <si>
    <t>F13481</t>
  </si>
  <si>
    <t>F13483</t>
  </si>
  <si>
    <t>F13480</t>
  </si>
  <si>
    <t>F13601</t>
  </si>
  <si>
    <t>F13603</t>
  </si>
  <si>
    <t>F13600</t>
  </si>
  <si>
    <t>F13801</t>
  </si>
  <si>
    <t>F13803</t>
  </si>
  <si>
    <t>F13800</t>
  </si>
  <si>
    <t>Té réduit</t>
  </si>
  <si>
    <t>F14221</t>
  </si>
  <si>
    <t>F14281</t>
  </si>
  <si>
    <t>F14282</t>
  </si>
  <si>
    <t>F14341</t>
  </si>
  <si>
    <t>F14342</t>
  </si>
  <si>
    <t>F14348</t>
  </si>
  <si>
    <t>F14421</t>
  </si>
  <si>
    <t>F14422</t>
  </si>
  <si>
    <t>F14423</t>
  </si>
  <si>
    <t>F14428</t>
  </si>
  <si>
    <t>F14481</t>
  </si>
  <si>
    <t>F14482</t>
  </si>
  <si>
    <t>F14483</t>
  </si>
  <si>
    <t>F14484</t>
  </si>
  <si>
    <t>F14488</t>
  </si>
  <si>
    <t>F14601</t>
  </si>
  <si>
    <t>F14603</t>
  </si>
  <si>
    <t>F14622</t>
  </si>
  <si>
    <t>F14628</t>
  </si>
  <si>
    <t>F14642</t>
  </si>
  <si>
    <t>F14648</t>
  </si>
  <si>
    <t>F14842</t>
  </si>
  <si>
    <t>F14848</t>
  </si>
  <si>
    <t>F14860</t>
  </si>
  <si>
    <t>TXS16</t>
  </si>
  <si>
    <t>TXS22</t>
  </si>
  <si>
    <t>TXS28</t>
  </si>
  <si>
    <t>TXS34</t>
  </si>
  <si>
    <t>TXS42</t>
  </si>
  <si>
    <t>TXS48</t>
  </si>
  <si>
    <t>TXS60</t>
  </si>
  <si>
    <t>TXS80</t>
  </si>
  <si>
    <t>R50150</t>
  </si>
  <si>
    <t>R50180</t>
  </si>
  <si>
    <t>R50220</t>
  </si>
  <si>
    <t>R50280</t>
  </si>
  <si>
    <t>R50350</t>
  </si>
  <si>
    <t>R50420</t>
  </si>
  <si>
    <t>R50540</t>
  </si>
  <si>
    <t>R50076</t>
  </si>
  <si>
    <t>R50080</t>
  </si>
  <si>
    <t>R50108</t>
  </si>
  <si>
    <t>REQF015-PN16</t>
  </si>
  <si>
    <t>REQF018-PN16</t>
  </si>
  <si>
    <t>REQF022-PN16</t>
  </si>
  <si>
    <t>REQF028-PN16</t>
  </si>
  <si>
    <t>REQF035-PN16</t>
  </si>
  <si>
    <t>REQF042-PN16</t>
  </si>
  <si>
    <t>REQF054-PN16</t>
  </si>
  <si>
    <t>REQF076-PN16</t>
  </si>
  <si>
    <t>REQF088-PN16</t>
  </si>
  <si>
    <t>REQF108-PN16</t>
  </si>
  <si>
    <t>REQF054</t>
  </si>
  <si>
    <t>REQF076</t>
  </si>
  <si>
    <t>REQF080</t>
  </si>
  <si>
    <t>REQF108</t>
  </si>
  <si>
    <t>REQF080FIXE</t>
  </si>
  <si>
    <t>R30150</t>
  </si>
  <si>
    <t>R30180</t>
  </si>
  <si>
    <t>R30220</t>
  </si>
  <si>
    <t>R30280</t>
  </si>
  <si>
    <t>R30350</t>
  </si>
  <si>
    <t>R30420</t>
  </si>
  <si>
    <t>R30540</t>
  </si>
  <si>
    <t>R30760</t>
  </si>
  <si>
    <t>R30800</t>
  </si>
  <si>
    <t>R30108</t>
  </si>
  <si>
    <t>R30150S</t>
  </si>
  <si>
    <t>R30220S</t>
  </si>
  <si>
    <t>R30280S</t>
  </si>
  <si>
    <t>R30350S</t>
  </si>
  <si>
    <t>R30420S</t>
  </si>
  <si>
    <t>R30540S</t>
  </si>
  <si>
    <t>R30760S</t>
  </si>
  <si>
    <t>R30800S</t>
  </si>
  <si>
    <t>R30108S</t>
  </si>
  <si>
    <t>R60150</t>
  </si>
  <si>
    <t>R60180</t>
  </si>
  <si>
    <t>R60220</t>
  </si>
  <si>
    <t>R60280</t>
  </si>
  <si>
    <t>R60350</t>
  </si>
  <si>
    <t>R60420</t>
  </si>
  <si>
    <t>R60540</t>
  </si>
  <si>
    <t>R60760</t>
  </si>
  <si>
    <t>R60800</t>
  </si>
  <si>
    <t>R60108</t>
  </si>
  <si>
    <t>R60150S</t>
  </si>
  <si>
    <t>R60220S</t>
  </si>
  <si>
    <t>R60280S</t>
  </si>
  <si>
    <t>R60350S</t>
  </si>
  <si>
    <t>R60420S</t>
  </si>
  <si>
    <t>R60540S</t>
  </si>
  <si>
    <t>R60760S</t>
  </si>
  <si>
    <t>R60800S</t>
  </si>
  <si>
    <t>R60108S</t>
  </si>
  <si>
    <t>R45150</t>
  </si>
  <si>
    <t>R45180</t>
  </si>
  <si>
    <t>R45220</t>
  </si>
  <si>
    <t>R45280</t>
  </si>
  <si>
    <t>R45350</t>
  </si>
  <si>
    <t>R45420</t>
  </si>
  <si>
    <t>R45540</t>
  </si>
  <si>
    <t>R45760</t>
  </si>
  <si>
    <t>R45800</t>
  </si>
  <si>
    <t>R45108</t>
  </si>
  <si>
    <t>R90150</t>
  </si>
  <si>
    <t>R90220</t>
  </si>
  <si>
    <t>R90280</t>
  </si>
  <si>
    <t>R90350</t>
  </si>
  <si>
    <t>R90420</t>
  </si>
  <si>
    <t>R90540</t>
  </si>
  <si>
    <t>R90760</t>
  </si>
  <si>
    <t>R90800</t>
  </si>
  <si>
    <t>R90108</t>
  </si>
  <si>
    <t>R90150S</t>
  </si>
  <si>
    <t>R90180S</t>
  </si>
  <si>
    <t>R90220S</t>
  </si>
  <si>
    <t>R90280S</t>
  </si>
  <si>
    <t>R90350S</t>
  </si>
  <si>
    <t>R90420S</t>
  </si>
  <si>
    <t>R90540S</t>
  </si>
  <si>
    <t>R90760S</t>
  </si>
  <si>
    <t>R90800S</t>
  </si>
  <si>
    <t>R90108S</t>
  </si>
  <si>
    <t>R421512</t>
  </si>
  <si>
    <t>R421812</t>
  </si>
  <si>
    <t>R422234</t>
  </si>
  <si>
    <t>R42281</t>
  </si>
  <si>
    <t>R42351</t>
  </si>
  <si>
    <t>R4235114</t>
  </si>
  <si>
    <t>R4242114</t>
  </si>
  <si>
    <t>R4242112</t>
  </si>
  <si>
    <t>R42542</t>
  </si>
  <si>
    <t>R45150S</t>
  </si>
  <si>
    <t>R45180S</t>
  </si>
  <si>
    <t>R45220S</t>
  </si>
  <si>
    <t>R45280S</t>
  </si>
  <si>
    <t>R45350S</t>
  </si>
  <si>
    <t>R45420S</t>
  </si>
  <si>
    <t>R45540S</t>
  </si>
  <si>
    <t>R45760S</t>
  </si>
  <si>
    <t>R45800S</t>
  </si>
  <si>
    <t>R45108S</t>
  </si>
  <si>
    <t>R331512</t>
  </si>
  <si>
    <t>R331534</t>
  </si>
  <si>
    <t>R331812</t>
  </si>
  <si>
    <t>R331834</t>
  </si>
  <si>
    <t>R332212</t>
  </si>
  <si>
    <t>R332234</t>
  </si>
  <si>
    <t>R33221</t>
  </si>
  <si>
    <t>R255428</t>
  </si>
  <si>
    <t>R3335114</t>
  </si>
  <si>
    <t>R3342112</t>
  </si>
  <si>
    <t>R33542</t>
  </si>
  <si>
    <t>R20150</t>
  </si>
  <si>
    <t>R20180</t>
  </si>
  <si>
    <t>R20220</t>
  </si>
  <si>
    <t>R20280</t>
  </si>
  <si>
    <t>R20350</t>
  </si>
  <si>
    <t>R20420</t>
  </si>
  <si>
    <t>R20540</t>
  </si>
  <si>
    <t>R20760</t>
  </si>
  <si>
    <t>R20800</t>
  </si>
  <si>
    <t>R20108</t>
  </si>
  <si>
    <t>R21150</t>
  </si>
  <si>
    <t>R21180</t>
  </si>
  <si>
    <t>R21220</t>
  </si>
  <si>
    <t>R21280</t>
  </si>
  <si>
    <t>R21350</t>
  </si>
  <si>
    <t>R21420</t>
  </si>
  <si>
    <t>R21540</t>
  </si>
  <si>
    <t>R21760</t>
  </si>
  <si>
    <t>R21800</t>
  </si>
  <si>
    <t>R21108</t>
  </si>
  <si>
    <t>R251815</t>
  </si>
  <si>
    <t>R252215</t>
  </si>
  <si>
    <t>R252218</t>
  </si>
  <si>
    <t>R252815</t>
  </si>
  <si>
    <t>R252818</t>
  </si>
  <si>
    <t>R252822</t>
  </si>
  <si>
    <t>R253515</t>
  </si>
  <si>
    <t>R253518</t>
  </si>
  <si>
    <t>R253522</t>
  </si>
  <si>
    <t>R253528</t>
  </si>
  <si>
    <t>R254215</t>
  </si>
  <si>
    <t>R254218</t>
  </si>
  <si>
    <t>R254228</t>
  </si>
  <si>
    <t>R254235</t>
  </si>
  <si>
    <t>R255418</t>
  </si>
  <si>
    <t>R255422</t>
  </si>
  <si>
    <t>R255435</t>
  </si>
  <si>
    <t>R255442</t>
  </si>
  <si>
    <t>R257642</t>
  </si>
  <si>
    <t>R257654</t>
  </si>
  <si>
    <t>R258854</t>
  </si>
  <si>
    <t>R258876</t>
  </si>
  <si>
    <t>R2510854</t>
  </si>
  <si>
    <t>R2510876</t>
  </si>
  <si>
    <t>R2510888</t>
  </si>
  <si>
    <t>R221512</t>
  </si>
  <si>
    <t>R221534</t>
  </si>
  <si>
    <t>R221812</t>
  </si>
  <si>
    <t>R221834</t>
  </si>
  <si>
    <t>R222212</t>
  </si>
  <si>
    <t>R222234</t>
  </si>
  <si>
    <t>R22221</t>
  </si>
  <si>
    <t>R222812</t>
  </si>
  <si>
    <t>R222834</t>
  </si>
  <si>
    <t>R22281</t>
  </si>
  <si>
    <t>R2228114</t>
  </si>
  <si>
    <t>R22351</t>
  </si>
  <si>
    <t>R2235114</t>
  </si>
  <si>
    <t>R2235112</t>
  </si>
  <si>
    <t>R2242114</t>
  </si>
  <si>
    <t>R2242112</t>
  </si>
  <si>
    <t>R2254112</t>
  </si>
  <si>
    <t>R22542</t>
  </si>
  <si>
    <t>R241538</t>
  </si>
  <si>
    <t>R241512</t>
  </si>
  <si>
    <t>R241534</t>
  </si>
  <si>
    <t>R241812</t>
  </si>
  <si>
    <t>R241834</t>
  </si>
  <si>
    <t>R242212</t>
  </si>
  <si>
    <t>R242234</t>
  </si>
  <si>
    <t>R24221</t>
  </si>
  <si>
    <t>R242812</t>
  </si>
  <si>
    <t>R242834</t>
  </si>
  <si>
    <t>R24281</t>
  </si>
  <si>
    <t>R2428114</t>
  </si>
  <si>
    <t>R24351</t>
  </si>
  <si>
    <t>R2435114</t>
  </si>
  <si>
    <t>R2435112</t>
  </si>
  <si>
    <t>R2442114</t>
  </si>
  <si>
    <t>R2442112</t>
  </si>
  <si>
    <t>R2454112</t>
  </si>
  <si>
    <t>R24542</t>
  </si>
  <si>
    <t>R2476212</t>
  </si>
  <si>
    <t>R24883</t>
  </si>
  <si>
    <t>R241084</t>
  </si>
  <si>
    <t>R15150</t>
  </si>
  <si>
    <t>Té Egal</t>
  </si>
  <si>
    <t>R15180</t>
  </si>
  <si>
    <t>R15220</t>
  </si>
  <si>
    <t>R15280</t>
  </si>
  <si>
    <t>R15350</t>
  </si>
  <si>
    <t>R15420</t>
  </si>
  <si>
    <t>R15540</t>
  </si>
  <si>
    <t>R15760</t>
  </si>
  <si>
    <t>R15800</t>
  </si>
  <si>
    <t>R15108</t>
  </si>
  <si>
    <t>R131512</t>
  </si>
  <si>
    <t>1/2"</t>
  </si>
  <si>
    <t>R131812</t>
  </si>
  <si>
    <t>R131834</t>
  </si>
  <si>
    <t>R132212</t>
  </si>
  <si>
    <t>R132234</t>
  </si>
  <si>
    <t>R132812</t>
  </si>
  <si>
    <t>R132834</t>
  </si>
  <si>
    <t>R13281</t>
  </si>
  <si>
    <t>R133512</t>
  </si>
  <si>
    <t>R133534</t>
  </si>
  <si>
    <t>R13351</t>
  </si>
  <si>
    <t>R134212</t>
  </si>
  <si>
    <t>R134234</t>
  </si>
  <si>
    <t>R13421</t>
  </si>
  <si>
    <t>R135412</t>
  </si>
  <si>
    <t>R135434</t>
  </si>
  <si>
    <t>R13542</t>
  </si>
  <si>
    <t>R137634</t>
  </si>
  <si>
    <t>R13761</t>
  </si>
  <si>
    <t>R13762</t>
  </si>
  <si>
    <t>R138834</t>
  </si>
  <si>
    <t>R13882</t>
  </si>
  <si>
    <t>R1310834</t>
  </si>
  <si>
    <t>R131082</t>
  </si>
  <si>
    <t>R141815</t>
  </si>
  <si>
    <t>R142215</t>
  </si>
  <si>
    <t>R142218</t>
  </si>
  <si>
    <t>R142815</t>
  </si>
  <si>
    <t>R142818</t>
  </si>
  <si>
    <t>R142822</t>
  </si>
  <si>
    <t>R143515</t>
  </si>
  <si>
    <t>R143518</t>
  </si>
  <si>
    <t>R143522</t>
  </si>
  <si>
    <t>R143528</t>
  </si>
  <si>
    <t>R144218</t>
  </si>
  <si>
    <t>R144222</t>
  </si>
  <si>
    <t>R144228</t>
  </si>
  <si>
    <t>R144235</t>
  </si>
  <si>
    <t>R145418</t>
  </si>
  <si>
    <t>R145422</t>
  </si>
  <si>
    <t>R145428</t>
  </si>
  <si>
    <t>R145435</t>
  </si>
  <si>
    <t>R145442</t>
  </si>
  <si>
    <t>R147622</t>
  </si>
  <si>
    <t>R147628</t>
  </si>
  <si>
    <t>R147635</t>
  </si>
  <si>
    <t>R147642</t>
  </si>
  <si>
    <t>R147654</t>
  </si>
  <si>
    <t>R148822</t>
  </si>
  <si>
    <t>R148828</t>
  </si>
  <si>
    <t>R148835</t>
  </si>
  <si>
    <t>R148842</t>
  </si>
  <si>
    <t>R148854</t>
  </si>
  <si>
    <t>R148876</t>
  </si>
  <si>
    <t>R1410822</t>
  </si>
  <si>
    <t>R1410828</t>
  </si>
  <si>
    <t>R1410835</t>
  </si>
  <si>
    <t>R1410842</t>
  </si>
  <si>
    <t>R1410854</t>
  </si>
  <si>
    <t>R1410876</t>
  </si>
  <si>
    <t>R1410888</t>
  </si>
  <si>
    <t>RXS15</t>
  </si>
  <si>
    <t>RXS18</t>
  </si>
  <si>
    <t>RXS22</t>
  </si>
  <si>
    <t>RXS28</t>
  </si>
  <si>
    <t>RXS42</t>
  </si>
  <si>
    <t>RXS54</t>
  </si>
  <si>
    <t>RXS76</t>
  </si>
  <si>
    <t>RXS88</t>
  </si>
  <si>
    <t>RXS108</t>
  </si>
  <si>
    <t>RXS15-316</t>
  </si>
  <si>
    <t>RXS18-316</t>
  </si>
  <si>
    <t>RXS22-316</t>
  </si>
  <si>
    <t>RXS28-316</t>
  </si>
  <si>
    <t>RXS35-316</t>
  </si>
  <si>
    <t>RXS42-316</t>
  </si>
  <si>
    <t>RXS54-316</t>
  </si>
  <si>
    <t>RXS108-316</t>
  </si>
  <si>
    <t>290I2</t>
  </si>
  <si>
    <t>290I112</t>
  </si>
  <si>
    <t>290I114</t>
  </si>
  <si>
    <t>3/4"</t>
  </si>
  <si>
    <t>290I12</t>
  </si>
  <si>
    <t>BFI14</t>
  </si>
  <si>
    <t>3/8"</t>
  </si>
  <si>
    <t>BFI38</t>
  </si>
  <si>
    <t>BFI12</t>
  </si>
  <si>
    <t>BFI34</t>
  </si>
  <si>
    <t>BFI114</t>
  </si>
  <si>
    <t>BFI112</t>
  </si>
  <si>
    <t>BFI2</t>
  </si>
  <si>
    <t>BFI212</t>
  </si>
  <si>
    <t>BFI3</t>
  </si>
  <si>
    <t>BCSI50</t>
  </si>
  <si>
    <t>BCSI80</t>
  </si>
  <si>
    <t>BCSI100</t>
  </si>
  <si>
    <t>BPB40</t>
  </si>
  <si>
    <t>BPB50</t>
  </si>
  <si>
    <t>BPB65</t>
  </si>
  <si>
    <t>BPB80</t>
  </si>
  <si>
    <t>BPB100</t>
  </si>
  <si>
    <t>BPB125</t>
  </si>
  <si>
    <t>BPB150</t>
  </si>
  <si>
    <t>BPB200</t>
  </si>
  <si>
    <t>CLAPET2-316L</t>
  </si>
  <si>
    <t>COLI304114</t>
  </si>
  <si>
    <t>COLI40</t>
  </si>
  <si>
    <t>COLI65</t>
  </si>
  <si>
    <t>COLI80</t>
  </si>
  <si>
    <t>COLI100</t>
  </si>
  <si>
    <t>COLI125</t>
  </si>
  <si>
    <t>COLI150</t>
  </si>
  <si>
    <t>COLI200</t>
  </si>
  <si>
    <t>90I2</t>
  </si>
  <si>
    <t>90I112</t>
  </si>
  <si>
    <t>90I114</t>
  </si>
  <si>
    <t>90I1</t>
  </si>
  <si>
    <t>90I34</t>
  </si>
  <si>
    <t>90I12</t>
  </si>
  <si>
    <t>CASI30412</t>
  </si>
  <si>
    <t>CASI30434</t>
  </si>
  <si>
    <t>CASI3041</t>
  </si>
  <si>
    <t>CASI304114</t>
  </si>
  <si>
    <t>CAS3DI40</t>
  </si>
  <si>
    <t>CAS3DI50</t>
  </si>
  <si>
    <t>CAS3DI65</t>
  </si>
  <si>
    <t>CAS3DI80</t>
  </si>
  <si>
    <t>CAS3DI100</t>
  </si>
  <si>
    <t>CAS3DI125</t>
  </si>
  <si>
    <t>CAS3DI150</t>
  </si>
  <si>
    <t>CAS3DI200</t>
  </si>
  <si>
    <t>92I2</t>
  </si>
  <si>
    <t>92I112</t>
  </si>
  <si>
    <t>92I114</t>
  </si>
  <si>
    <t>92I1</t>
  </si>
  <si>
    <t>92I34</t>
  </si>
  <si>
    <t>92I12</t>
  </si>
  <si>
    <t>FASI304112</t>
  </si>
  <si>
    <t>FBI65</t>
  </si>
  <si>
    <t>FBI80</t>
  </si>
  <si>
    <t>280I3</t>
  </si>
  <si>
    <t>280I212</t>
  </si>
  <si>
    <t>280I2</t>
  </si>
  <si>
    <t>280I112</t>
  </si>
  <si>
    <t>280I114</t>
  </si>
  <si>
    <t>280I1</t>
  </si>
  <si>
    <t>280I34</t>
  </si>
  <si>
    <t>280I12</t>
  </si>
  <si>
    <t>280I38</t>
  </si>
  <si>
    <t>245I112114</t>
  </si>
  <si>
    <t>245I134</t>
  </si>
  <si>
    <t>245I3412</t>
  </si>
  <si>
    <t>245I3814</t>
  </si>
  <si>
    <t>270I3</t>
  </si>
  <si>
    <t>270I212</t>
  </si>
  <si>
    <t>MFI.2</t>
  </si>
  <si>
    <t>270I316112</t>
  </si>
  <si>
    <t>270I316114</t>
  </si>
  <si>
    <t>270I3161</t>
  </si>
  <si>
    <t>MFI34</t>
  </si>
  <si>
    <t>270I31612</t>
  </si>
  <si>
    <t>270I31638</t>
  </si>
  <si>
    <t>270I31614</t>
  </si>
  <si>
    <t>RCI200-150</t>
  </si>
  <si>
    <t>RCI200-125</t>
  </si>
  <si>
    <t>RCI200-100</t>
  </si>
  <si>
    <t>RCI150-125</t>
  </si>
  <si>
    <t>RCI150-100</t>
  </si>
  <si>
    <t>RCI150-80</t>
  </si>
  <si>
    <t>RCI125-100</t>
  </si>
  <si>
    <t>RCI125-80</t>
  </si>
  <si>
    <t>RCI125-65</t>
  </si>
  <si>
    <t>RCI100-80</t>
  </si>
  <si>
    <t>RCI100-65</t>
  </si>
  <si>
    <t>RCI100-50</t>
  </si>
  <si>
    <t>RCI80-65</t>
  </si>
  <si>
    <t>RCI80-50</t>
  </si>
  <si>
    <t>RCI80-40</t>
  </si>
  <si>
    <t>RCI65-50</t>
  </si>
  <si>
    <t>RCI65-40</t>
  </si>
  <si>
    <t>RASI3042114</t>
  </si>
  <si>
    <t>RASI304112114</t>
  </si>
  <si>
    <t>RASI3041121</t>
  </si>
  <si>
    <t>RASI3041141</t>
  </si>
  <si>
    <t>RASI30411434</t>
  </si>
  <si>
    <t>RASI30411412</t>
  </si>
  <si>
    <t>RASI304134</t>
  </si>
  <si>
    <t>241I2122</t>
  </si>
  <si>
    <t>241I2112</t>
  </si>
  <si>
    <t>241I2114</t>
  </si>
  <si>
    <t>241I21</t>
  </si>
  <si>
    <t>241I112114</t>
  </si>
  <si>
    <t>241I1121</t>
  </si>
  <si>
    <t>241I11234</t>
  </si>
  <si>
    <t>241I1141</t>
  </si>
  <si>
    <t>241I11434</t>
  </si>
  <si>
    <t>241I134</t>
  </si>
  <si>
    <t>241I114</t>
  </si>
  <si>
    <t>241I3412</t>
  </si>
  <si>
    <t>241I3438</t>
  </si>
  <si>
    <t>241I1238</t>
  </si>
  <si>
    <t>241I1214</t>
  </si>
  <si>
    <t>130I2</t>
  </si>
  <si>
    <t>130I112</t>
  </si>
  <si>
    <t>130I114</t>
  </si>
  <si>
    <t>130I1</t>
  </si>
  <si>
    <t>130I34</t>
  </si>
  <si>
    <t>130I12</t>
  </si>
  <si>
    <t>TASI60</t>
  </si>
  <si>
    <t>TASI65</t>
  </si>
  <si>
    <t>TASI80</t>
  </si>
  <si>
    <t>TASI100</t>
  </si>
  <si>
    <t>TASI125</t>
  </si>
  <si>
    <t>TASI150</t>
  </si>
  <si>
    <t>TASI200</t>
  </si>
  <si>
    <t>T3IL40</t>
  </si>
  <si>
    <t>T3IL50</t>
  </si>
  <si>
    <t>T3IL65</t>
  </si>
  <si>
    <t>T3IL80</t>
  </si>
  <si>
    <t>T3IL100</t>
  </si>
  <si>
    <t>T3IL125</t>
  </si>
  <si>
    <t>T3IL150</t>
  </si>
  <si>
    <t>T3IL200</t>
  </si>
  <si>
    <t>340I114</t>
  </si>
  <si>
    <t>340I34</t>
  </si>
  <si>
    <t>340I12</t>
  </si>
  <si>
    <t>341I2</t>
  </si>
  <si>
    <t>341I112</t>
  </si>
  <si>
    <t>341I114</t>
  </si>
  <si>
    <t>341I1</t>
  </si>
  <si>
    <t>341I34</t>
  </si>
  <si>
    <t>341I12</t>
  </si>
  <si>
    <t>TCL34</t>
  </si>
  <si>
    <t>TCL12</t>
  </si>
  <si>
    <t>ECL34</t>
  </si>
  <si>
    <t>ECL12</t>
  </si>
  <si>
    <t>300L112</t>
  </si>
  <si>
    <t>300L114</t>
  </si>
  <si>
    <t>300L1</t>
  </si>
  <si>
    <t>290L2</t>
  </si>
  <si>
    <t>290L1</t>
  </si>
  <si>
    <t>290L34</t>
  </si>
  <si>
    <t>290L12</t>
  </si>
  <si>
    <t>290L38</t>
  </si>
  <si>
    <t>290L14</t>
  </si>
  <si>
    <t>290L18</t>
  </si>
  <si>
    <t>CL1-2X1/2</t>
  </si>
  <si>
    <t>CL1-3X1/2</t>
  </si>
  <si>
    <t>CL1-4X1/2</t>
  </si>
  <si>
    <t>CL1-5X1/2</t>
  </si>
  <si>
    <t>90L2</t>
  </si>
  <si>
    <t>90L112</t>
  </si>
  <si>
    <t>90L114</t>
  </si>
  <si>
    <t>90L1</t>
  </si>
  <si>
    <t>90L34</t>
  </si>
  <si>
    <t>90L12</t>
  </si>
  <si>
    <t>90L14</t>
  </si>
  <si>
    <t>90L18</t>
  </si>
  <si>
    <t>92L2</t>
  </si>
  <si>
    <t>92L112</t>
  </si>
  <si>
    <t>92L114</t>
  </si>
  <si>
    <t>92L1</t>
  </si>
  <si>
    <t>92L34</t>
  </si>
  <si>
    <t>92L12</t>
  </si>
  <si>
    <t>92L38</t>
  </si>
  <si>
    <t>92L14</t>
  </si>
  <si>
    <t>92L18</t>
  </si>
  <si>
    <t>280L2</t>
  </si>
  <si>
    <t>280L112</t>
  </si>
  <si>
    <t>280L114</t>
  </si>
  <si>
    <t>280L1</t>
  </si>
  <si>
    <t>280L34</t>
  </si>
  <si>
    <t>280L12</t>
  </si>
  <si>
    <t>280L38</t>
  </si>
  <si>
    <t>280L14</t>
  </si>
  <si>
    <t>280L18</t>
  </si>
  <si>
    <t>245L2112</t>
  </si>
  <si>
    <t>245L2114</t>
  </si>
  <si>
    <t>245L21</t>
  </si>
  <si>
    <t>245L112114</t>
  </si>
  <si>
    <t>245L1121</t>
  </si>
  <si>
    <t>245L1141</t>
  </si>
  <si>
    <t>245L11434</t>
  </si>
  <si>
    <t>245L134</t>
  </si>
  <si>
    <t>245L112</t>
  </si>
  <si>
    <t>245L3412</t>
  </si>
  <si>
    <t>245L3438</t>
  </si>
  <si>
    <t>245L1238</t>
  </si>
  <si>
    <t>245L1214</t>
  </si>
  <si>
    <t>245L3814</t>
  </si>
  <si>
    <t>245L1418</t>
  </si>
  <si>
    <t>240L134</t>
  </si>
  <si>
    <t>240L3412</t>
  </si>
  <si>
    <t>240L1238</t>
  </si>
  <si>
    <t>240L1214</t>
  </si>
  <si>
    <t>246L2112</t>
  </si>
  <si>
    <t>246L2114</t>
  </si>
  <si>
    <t>246L112114</t>
  </si>
  <si>
    <t>246L1121</t>
  </si>
  <si>
    <t>246L1141</t>
  </si>
  <si>
    <t>246L11434</t>
  </si>
  <si>
    <t>246L134</t>
  </si>
  <si>
    <t>246L112</t>
  </si>
  <si>
    <t>246L3412</t>
  </si>
  <si>
    <t>246L3438</t>
  </si>
  <si>
    <t>246L1238</t>
  </si>
  <si>
    <t>246L1214</t>
  </si>
  <si>
    <t>246L3814</t>
  </si>
  <si>
    <t>241L2112</t>
  </si>
  <si>
    <t>241L2114</t>
  </si>
  <si>
    <t>241L21</t>
  </si>
  <si>
    <t>241L112114</t>
  </si>
  <si>
    <t>241L1121</t>
  </si>
  <si>
    <t>241L11234</t>
  </si>
  <si>
    <t>241L1141</t>
  </si>
  <si>
    <t>241L11434</t>
  </si>
  <si>
    <t>241L134</t>
  </si>
  <si>
    <t>241L112</t>
  </si>
  <si>
    <t>241L138</t>
  </si>
  <si>
    <t>241L3412</t>
  </si>
  <si>
    <t>241L3438</t>
  </si>
  <si>
    <t>241L3414</t>
  </si>
  <si>
    <t>241L1238</t>
  </si>
  <si>
    <t>241L1214</t>
  </si>
  <si>
    <t>241L1218</t>
  </si>
  <si>
    <t>241L3814</t>
  </si>
  <si>
    <t>241L3818</t>
  </si>
  <si>
    <t>130L2</t>
  </si>
  <si>
    <t>130L112</t>
  </si>
  <si>
    <t>130L114</t>
  </si>
  <si>
    <t>130L1</t>
  </si>
  <si>
    <t>130L34</t>
  </si>
  <si>
    <t>130L12</t>
  </si>
  <si>
    <t>130L38</t>
  </si>
  <si>
    <t>340B2</t>
  </si>
  <si>
    <t>340B112</t>
  </si>
  <si>
    <t>340B114</t>
  </si>
  <si>
    <t>340B1</t>
  </si>
  <si>
    <t>340B34</t>
  </si>
  <si>
    <t>340B12</t>
  </si>
  <si>
    <t>340B38</t>
  </si>
  <si>
    <t>341B2</t>
  </si>
  <si>
    <t>341B112</t>
  </si>
  <si>
    <t>341B114</t>
  </si>
  <si>
    <t>341B1</t>
  </si>
  <si>
    <t>341B34</t>
  </si>
  <si>
    <t>341B12</t>
  </si>
  <si>
    <t>341B38</t>
  </si>
  <si>
    <t>341L2</t>
  </si>
  <si>
    <t>341L112</t>
  </si>
  <si>
    <t>341L114</t>
  </si>
  <si>
    <t>341L1</t>
  </si>
  <si>
    <t>341L34</t>
  </si>
  <si>
    <t>98L34</t>
  </si>
  <si>
    <t>530AN1</t>
  </si>
  <si>
    <t>530AN114</t>
  </si>
  <si>
    <t>530AN112</t>
  </si>
  <si>
    <t>530AN2</t>
  </si>
  <si>
    <t>530AN3</t>
  </si>
  <si>
    <t>BCS50</t>
  </si>
  <si>
    <t>BCS65</t>
  </si>
  <si>
    <t>BCS80</t>
  </si>
  <si>
    <t>BCS100</t>
  </si>
  <si>
    <t>BCS125</t>
  </si>
  <si>
    <t>BCS150</t>
  </si>
  <si>
    <t>BCV112</t>
  </si>
  <si>
    <t>BCV2</t>
  </si>
  <si>
    <t>BCV212</t>
  </si>
  <si>
    <t>BCV3</t>
  </si>
  <si>
    <t>BCV4</t>
  </si>
  <si>
    <t>BPS50</t>
  </si>
  <si>
    <t>BPS65</t>
  </si>
  <si>
    <t>BPS80</t>
  </si>
  <si>
    <t>BPS100</t>
  </si>
  <si>
    <t>BPS125</t>
  </si>
  <si>
    <t>BPS150</t>
  </si>
  <si>
    <t>CAS3DG2</t>
  </si>
  <si>
    <t>CAS3DG212</t>
  </si>
  <si>
    <t>CAS3DG3</t>
  </si>
  <si>
    <t>CAS3DG4</t>
  </si>
  <si>
    <t>CAS3DN2</t>
  </si>
  <si>
    <t>CAS3DN212</t>
  </si>
  <si>
    <t>CAS3DN3</t>
  </si>
  <si>
    <t>CAS3DN4</t>
  </si>
  <si>
    <t>CAS3DN5</t>
  </si>
  <si>
    <t>CAS5DN212</t>
  </si>
  <si>
    <t>CAS5DN3</t>
  </si>
  <si>
    <t>BP50</t>
  </si>
  <si>
    <t>BP65</t>
  </si>
  <si>
    <t>BP80</t>
  </si>
  <si>
    <t>BP100</t>
  </si>
  <si>
    <t>BP125</t>
  </si>
  <si>
    <t>BP150</t>
  </si>
  <si>
    <t>RAS65</t>
  </si>
  <si>
    <t>RAS64</t>
  </si>
  <si>
    <t>RAS63</t>
  </si>
  <si>
    <t>RAS6212</t>
  </si>
  <si>
    <t>RAS54</t>
  </si>
  <si>
    <t>RAS53</t>
  </si>
  <si>
    <t>RAS43</t>
  </si>
  <si>
    <t>RAS4212</t>
  </si>
  <si>
    <t>RAS3212</t>
  </si>
  <si>
    <t>RAS3112</t>
  </si>
  <si>
    <t>RAS2114</t>
  </si>
  <si>
    <t>RAS1121</t>
  </si>
  <si>
    <t>RAS134</t>
  </si>
  <si>
    <t>G110-06-06</t>
  </si>
  <si>
    <t>G110-06-08</t>
  </si>
  <si>
    <t>ROCM18D06</t>
  </si>
  <si>
    <t>ROCM18D08</t>
  </si>
  <si>
    <t>ROCM14D06</t>
  </si>
  <si>
    <t>ROCM14D08</t>
  </si>
  <si>
    <t>ROCM14D10</t>
  </si>
  <si>
    <t>ROCM38D08</t>
  </si>
  <si>
    <t>ROCM38D10</t>
  </si>
  <si>
    <t>ROCM12D12</t>
  </si>
  <si>
    <t>ROUD06</t>
  </si>
  <si>
    <t>ROUD08</t>
  </si>
  <si>
    <t>ROUD10</t>
  </si>
  <si>
    <t>ROUD12</t>
  </si>
  <si>
    <t>RODM18D08</t>
  </si>
  <si>
    <t>RODM14D06</t>
  </si>
  <si>
    <t>RODM14D08</t>
  </si>
  <si>
    <t>RODM14D10</t>
  </si>
  <si>
    <t>RODM38D08</t>
  </si>
  <si>
    <t>RODM38D10</t>
  </si>
  <si>
    <t>RODM38D12</t>
  </si>
  <si>
    <t>RODM12D10</t>
  </si>
  <si>
    <t>RODM12D12</t>
  </si>
  <si>
    <t>900-0223</t>
  </si>
  <si>
    <t>900-0224</t>
  </si>
  <si>
    <t>900-0225</t>
  </si>
  <si>
    <t>900-0233</t>
  </si>
  <si>
    <t>900-0234</t>
  </si>
  <si>
    <t>900-0235</t>
  </si>
  <si>
    <t>900-0244</t>
  </si>
  <si>
    <t>900-0245</t>
  </si>
  <si>
    <t>900-0246</t>
  </si>
  <si>
    <t>900-0247</t>
  </si>
  <si>
    <t>900-0257</t>
  </si>
  <si>
    <t>900-0258B</t>
  </si>
  <si>
    <t>900-0258</t>
  </si>
  <si>
    <t>CSS26</t>
  </si>
  <si>
    <t>M2F</t>
  </si>
  <si>
    <t>CF88</t>
  </si>
  <si>
    <t>BF144</t>
  </si>
  <si>
    <t>FF</t>
  </si>
  <si>
    <t>T32</t>
  </si>
  <si>
    <t>CF44</t>
  </si>
  <si>
    <t>C8F4</t>
  </si>
  <si>
    <t>TFFF40PVC</t>
  </si>
  <si>
    <t>T40</t>
  </si>
  <si>
    <t>cff90-40jk</t>
  </si>
  <si>
    <t>EXPD8</t>
  </si>
  <si>
    <t>EXPF12</t>
  </si>
  <si>
    <t>EXPF1</t>
  </si>
  <si>
    <t>EXPF38</t>
  </si>
  <si>
    <t>EXPF34</t>
  </si>
  <si>
    <t>EXPF114</t>
  </si>
  <si>
    <t>EXPM12</t>
  </si>
  <si>
    <t>EXPM1</t>
  </si>
  <si>
    <t>EXPM38</t>
  </si>
  <si>
    <t>EXPM34</t>
  </si>
  <si>
    <t>EXPM114</t>
  </si>
  <si>
    <t>RICM18D04</t>
  </si>
  <si>
    <t>RICM18D06</t>
  </si>
  <si>
    <t>RICM18D08</t>
  </si>
  <si>
    <t>RICM14D06</t>
  </si>
  <si>
    <t>RICM14D08</t>
  </si>
  <si>
    <t>RICM14D10</t>
  </si>
  <si>
    <t>RICM38D08</t>
  </si>
  <si>
    <t>RICM38D10</t>
  </si>
  <si>
    <t>RICM38D12</t>
  </si>
  <si>
    <t>RICM12D12</t>
  </si>
  <si>
    <t>RIDM18D04</t>
  </si>
  <si>
    <t>RIDM18D06</t>
  </si>
  <si>
    <t>RIDM18D08</t>
  </si>
  <si>
    <t>RIDM14D04</t>
  </si>
  <si>
    <t>RIDM14D06</t>
  </si>
  <si>
    <t>RIDM14D08</t>
  </si>
  <si>
    <t>RIDM14D10</t>
  </si>
  <si>
    <t>RIDM14D12</t>
  </si>
  <si>
    <t>RIDM38D08</t>
  </si>
  <si>
    <t>RIDM38D10</t>
  </si>
  <si>
    <t>RIDM38D12</t>
  </si>
  <si>
    <t>RIDM38D14</t>
  </si>
  <si>
    <t>RIDM12D10</t>
  </si>
  <si>
    <t>RIDM12D12</t>
  </si>
  <si>
    <t>RIDM12D14</t>
  </si>
  <si>
    <t>RIDF18D06</t>
  </si>
  <si>
    <t>RIDF14D06</t>
  </si>
  <si>
    <t>RIDF18D08</t>
  </si>
  <si>
    <t>RIDF14D08</t>
  </si>
  <si>
    <t>RIDF38D08</t>
  </si>
  <si>
    <t>RIDF14D10</t>
  </si>
  <si>
    <t>RIDF38D10</t>
  </si>
  <si>
    <t>RIDF38D12</t>
  </si>
  <si>
    <t>RIDF12D12</t>
  </si>
  <si>
    <t xml:space="preserve"> 12-8</t>
  </si>
  <si>
    <t>RIT18D04</t>
  </si>
  <si>
    <t>RIT18D06</t>
  </si>
  <si>
    <t>RIT18D08</t>
  </si>
  <si>
    <t>RIT14D06</t>
  </si>
  <si>
    <t>RIT14D08</t>
  </si>
  <si>
    <t>RIT14D10</t>
  </si>
  <si>
    <t>RIT38D08</t>
  </si>
  <si>
    <t>RIT38D10</t>
  </si>
  <si>
    <t>RIT38D12</t>
  </si>
  <si>
    <t>RITD04</t>
  </si>
  <si>
    <t>RITD06</t>
  </si>
  <si>
    <t>RITD08</t>
  </si>
  <si>
    <t>RITD10</t>
  </si>
  <si>
    <t>RITD12</t>
  </si>
  <si>
    <t>RIUD04</t>
  </si>
  <si>
    <t>RIUD06</t>
  </si>
  <si>
    <t>RIUD08</t>
  </si>
  <si>
    <t>RIUD10</t>
  </si>
  <si>
    <t>RIUD12</t>
  </si>
  <si>
    <t>RITC06</t>
  </si>
  <si>
    <t>TH0-120CAD1/2</t>
  </si>
  <si>
    <t>MANO-04B</t>
  </si>
  <si>
    <t>AQA</t>
  </si>
  <si>
    <t>AQA-1</t>
  </si>
  <si>
    <t>ECS112-1</t>
  </si>
  <si>
    <t>ECR2-46</t>
  </si>
  <si>
    <t>PR38</t>
  </si>
  <si>
    <t>TH0-120EQ1/2</t>
  </si>
  <si>
    <t>FT2</t>
  </si>
  <si>
    <t>MIR22x13</t>
  </si>
  <si>
    <t>MIR28x13</t>
  </si>
  <si>
    <t>MIR34x13</t>
  </si>
  <si>
    <t>MIR42x13</t>
  </si>
  <si>
    <t>MIR48x13</t>
  </si>
  <si>
    <t>MIR54X13</t>
  </si>
  <si>
    <t>MIR60x13</t>
  </si>
  <si>
    <t>RAPVC50</t>
  </si>
  <si>
    <t>MIR22x19</t>
  </si>
  <si>
    <t>MIR28x19</t>
  </si>
  <si>
    <t>MIR34x19</t>
  </si>
  <si>
    <t>MIR42x19</t>
  </si>
  <si>
    <t>MIR48x19</t>
  </si>
  <si>
    <t>MIR60x19</t>
  </si>
  <si>
    <t>MPROGLYCOL-1000L</t>
  </si>
  <si>
    <t>ECOV3V34-KIT</t>
  </si>
  <si>
    <t>ECOV3V1-KIT</t>
  </si>
  <si>
    <t>ECOV3V114-KIT</t>
  </si>
  <si>
    <t>ECOV3V112-KIT</t>
  </si>
  <si>
    <t>ECOV3V2-KIT</t>
  </si>
  <si>
    <t>ECOV3V34-24VAC-KIT</t>
  </si>
  <si>
    <t>ECOV3V1-24VAC-KIT</t>
  </si>
  <si>
    <t>ECOV3V114-24VAC-KIT</t>
  </si>
  <si>
    <t>ECOV3V112-24VAC-KIT</t>
  </si>
  <si>
    <t>ECOV3V2-24VAC-KIT</t>
  </si>
  <si>
    <t>UA22CL,LNU</t>
  </si>
  <si>
    <t>UA15L</t>
  </si>
  <si>
    <t>UA18L</t>
  </si>
  <si>
    <t>UA28L</t>
  </si>
  <si>
    <t>ARA42x35L</t>
  </si>
  <si>
    <t>ARA35x28L</t>
  </si>
  <si>
    <t>AA28JEX1L</t>
  </si>
  <si>
    <t>AA35JEX11/4L</t>
  </si>
  <si>
    <t>TELA35L</t>
  </si>
  <si>
    <t>TELA22EL22L</t>
  </si>
  <si>
    <t>TELA28L</t>
  </si>
  <si>
    <t>TELA35EL35L</t>
  </si>
  <si>
    <t>TELA42EL42L</t>
  </si>
  <si>
    <t>UMA22L</t>
  </si>
  <si>
    <t>UMA22LX1"</t>
  </si>
  <si>
    <t>UMA28L</t>
  </si>
  <si>
    <t>UMA28LX1"1/4</t>
  </si>
  <si>
    <t>UMA35LX114</t>
  </si>
  <si>
    <t>UMA42L</t>
  </si>
  <si>
    <t>UMA18JEX3/4LNU</t>
  </si>
  <si>
    <t>UMA22LX1"NU</t>
  </si>
  <si>
    <t>UMA35JEX11/4LNU</t>
  </si>
  <si>
    <t>SSCH34-03</t>
  </si>
  <si>
    <t>SSCH1-04</t>
  </si>
  <si>
    <t>SSSA34-07</t>
  </si>
  <si>
    <t>SSSA1-07</t>
  </si>
  <si>
    <t>V3V34</t>
  </si>
  <si>
    <t>V3V1</t>
  </si>
  <si>
    <t>V3V114</t>
  </si>
  <si>
    <t>V3V112</t>
  </si>
  <si>
    <t>V3V2</t>
  </si>
  <si>
    <t>VAE220-1</t>
  </si>
  <si>
    <t>VAE220-114</t>
  </si>
  <si>
    <t>VASEXP80L-2,5B</t>
  </si>
  <si>
    <t>VASEXP50L-0,5B</t>
  </si>
  <si>
    <t>VASEXP18L-1B</t>
  </si>
  <si>
    <t>VASEXP12L-0,5B</t>
  </si>
  <si>
    <t>VASECONS-NEQ</t>
  </si>
  <si>
    <t>VASECONS</t>
  </si>
  <si>
    <t>A-2416-3T</t>
  </si>
  <si>
    <t>PR-21</t>
  </si>
  <si>
    <t>CP16.1</t>
  </si>
  <si>
    <t>5006-PO</t>
  </si>
  <si>
    <t>490-677</t>
  </si>
  <si>
    <t>COFMIL</t>
  </si>
  <si>
    <t>VBP14FF</t>
  </si>
  <si>
    <t>VBP38FF</t>
  </si>
  <si>
    <t>VBP12FF</t>
  </si>
  <si>
    <t>VBP34FF</t>
  </si>
  <si>
    <t>VBP1FF</t>
  </si>
  <si>
    <t>VBP114FF</t>
  </si>
  <si>
    <t>VBP112FF</t>
  </si>
  <si>
    <t>VBP2FF</t>
  </si>
  <si>
    <t>VBP212FF</t>
  </si>
  <si>
    <t>VBP3FF</t>
  </si>
  <si>
    <t>VBP12FF.CAD.I</t>
  </si>
  <si>
    <t>VBP34FF.CAD.I</t>
  </si>
  <si>
    <t>VBP114FF.CAD.I</t>
  </si>
  <si>
    <t>VBP112FF.CAD.I</t>
  </si>
  <si>
    <t>VBP2FF.CAD.I</t>
  </si>
  <si>
    <t>VBP212FF.CAD.I</t>
  </si>
  <si>
    <t>VBP3FF.CAD.I</t>
  </si>
  <si>
    <t>VBP14MF</t>
  </si>
  <si>
    <t>VBP38MF</t>
  </si>
  <si>
    <t>VBP12MF</t>
  </si>
  <si>
    <t>VBP34MF</t>
  </si>
  <si>
    <t>VBP1MF</t>
  </si>
  <si>
    <t>VBP114MF</t>
  </si>
  <si>
    <t>VBP112MF</t>
  </si>
  <si>
    <t>VBP2MF</t>
  </si>
  <si>
    <t>VBP212MF</t>
  </si>
  <si>
    <t>VBP12MF.CAD.I</t>
  </si>
  <si>
    <t>VBP34MF.CAD.I</t>
  </si>
  <si>
    <t>VBP1MF.CAD.I</t>
  </si>
  <si>
    <t>VBP114MF.CAD.I</t>
  </si>
  <si>
    <t>VBP112MF.CAD.I</t>
  </si>
  <si>
    <t>VBP2MF.CAD.I</t>
  </si>
  <si>
    <t>VEQ34FF</t>
  </si>
  <si>
    <t>VEQ1FF</t>
  </si>
  <si>
    <t>VEQ114FF</t>
  </si>
  <si>
    <t>VEQ112FF</t>
  </si>
  <si>
    <t>VEQ2FF</t>
  </si>
  <si>
    <t>VPI065OTEPDM</t>
  </si>
  <si>
    <t>VP50OT</t>
  </si>
  <si>
    <t>VP65OT</t>
  </si>
  <si>
    <t>VP80OT</t>
  </si>
  <si>
    <t>VP100OT</t>
  </si>
  <si>
    <t>VP125OT</t>
  </si>
  <si>
    <t>VP150OT</t>
  </si>
  <si>
    <t>VP200OT</t>
  </si>
  <si>
    <t>VP80OT-MET/MET</t>
  </si>
  <si>
    <t>FT114</t>
  </si>
  <si>
    <t>FT112</t>
  </si>
  <si>
    <t>FTI100-C</t>
  </si>
  <si>
    <t>DO-TABQ8919-9-B</t>
  </si>
  <si>
    <t>DO-TABQ896-CLIP</t>
  </si>
  <si>
    <t>TH-30/+50DLG100</t>
  </si>
  <si>
    <t>TH-30/+50ELG100</t>
  </si>
  <si>
    <t>004156</t>
  </si>
  <si>
    <t>004154</t>
  </si>
  <si>
    <t>004390</t>
  </si>
  <si>
    <t>SF1615005</t>
  </si>
  <si>
    <t>VAEI220-1</t>
  </si>
  <si>
    <t>VAEI220-114</t>
  </si>
  <si>
    <t>VASEGROUPE1</t>
  </si>
  <si>
    <t>Date</t>
  </si>
  <si>
    <t>Auteur</t>
  </si>
  <si>
    <t>Commentaires</t>
  </si>
  <si>
    <t>TM</t>
  </si>
  <si>
    <t>Mise en forme sous liste
Ajouts des colonnes poste avec quantité totale
Ajout des colonnes avec les dimension standard sur l'italien et le soudé avec filtres
Recherche de prix dans "Base Prix"
Calcul du temps total de soudure : ATTENTION MANQUE TEMPS SUR CERTAIN ARTICLES</t>
  </si>
  <si>
    <t>Ajout d'une colone pour le conditionement et le calcul de la quantité à commander basé sur la quantité totale (P1 à P5)</t>
  </si>
  <si>
    <t>940005</t>
  </si>
  <si>
    <t>Ajout base taifaire, prioritaire sur la base de prix pratiqués</t>
  </si>
  <si>
    <t>RR05L120</t>
  </si>
  <si>
    <t>RX25L100</t>
  </si>
  <si>
    <t>RX30L10001</t>
  </si>
  <si>
    <t>RA31L800</t>
  </si>
  <si>
    <t>EW05L100</t>
  </si>
  <si>
    <t>RA692517</t>
  </si>
  <si>
    <t>RA694025</t>
  </si>
  <si>
    <t>RR61L108</t>
  </si>
  <si>
    <t>RR61L308</t>
  </si>
  <si>
    <t>RX12L100</t>
  </si>
  <si>
    <t>RX02L100</t>
  </si>
  <si>
    <t>RX02L300</t>
  </si>
  <si>
    <t>RA02L800</t>
  </si>
  <si>
    <t>ER01L100</t>
  </si>
  <si>
    <t>ER01L300</t>
  </si>
  <si>
    <t>ER01L800</t>
  </si>
  <si>
    <t>RR01L100</t>
  </si>
  <si>
    <t>RR01L300</t>
  </si>
  <si>
    <t>RR01L800</t>
  </si>
  <si>
    <t>RX64L163</t>
  </si>
  <si>
    <t>RX64L363</t>
  </si>
  <si>
    <t>RX66L3L1</t>
  </si>
  <si>
    <t>RA66L8L3</t>
  </si>
  <si>
    <t>RX23L104</t>
  </si>
  <si>
    <t>RA652504</t>
  </si>
  <si>
    <t>RA654004</t>
  </si>
  <si>
    <t>666025U2</t>
  </si>
  <si>
    <t>666040U1</t>
  </si>
  <si>
    <t>667725U1</t>
  </si>
  <si>
    <t>667725U2</t>
  </si>
  <si>
    <t>667117U1</t>
  </si>
  <si>
    <t>667125U1</t>
  </si>
  <si>
    <t>667125U2</t>
  </si>
  <si>
    <t>669217U1</t>
  </si>
  <si>
    <t>669225A1</t>
  </si>
  <si>
    <t>669225U1</t>
  </si>
  <si>
    <t>VR02L100</t>
  </si>
  <si>
    <t>VR02L300</t>
  </si>
  <si>
    <t>VR02L800</t>
  </si>
  <si>
    <t>VR030004</t>
  </si>
  <si>
    <t>VR030006</t>
  </si>
  <si>
    <t>VR030008</t>
  </si>
  <si>
    <t>VR030012</t>
  </si>
  <si>
    <t>VR030016</t>
  </si>
  <si>
    <t>VR030020</t>
  </si>
  <si>
    <t>VR040004</t>
  </si>
  <si>
    <t>VR040006</t>
  </si>
  <si>
    <t>VR040008</t>
  </si>
  <si>
    <t>VR040012</t>
  </si>
  <si>
    <t>VR040016</t>
  </si>
  <si>
    <t>49811021TR</t>
  </si>
  <si>
    <t>RX04L100</t>
  </si>
  <si>
    <t>RX04L300</t>
  </si>
  <si>
    <t>RA04L800</t>
  </si>
  <si>
    <t>RX24L140</t>
  </si>
  <si>
    <t>RX24L163</t>
  </si>
  <si>
    <t>RX04L3L1</t>
  </si>
  <si>
    <t>RA04L8L1</t>
  </si>
  <si>
    <t>1003A170400</t>
  </si>
  <si>
    <t>1004A1704</t>
  </si>
  <si>
    <t>1003A250400</t>
  </si>
  <si>
    <t>1006A250400</t>
  </si>
  <si>
    <t>1003A400400</t>
  </si>
  <si>
    <t>1006A400400</t>
  </si>
  <si>
    <t>1003A6304</t>
  </si>
  <si>
    <t>1006A6304</t>
  </si>
  <si>
    <t>TA06L104</t>
  </si>
  <si>
    <t>TA03L304</t>
  </si>
  <si>
    <t>TA06L304</t>
  </si>
  <si>
    <t>TA06L804</t>
  </si>
  <si>
    <t>1003A250600</t>
  </si>
  <si>
    <t>1006A250600</t>
  </si>
  <si>
    <t>1006A400600</t>
  </si>
  <si>
    <t>1006A6306</t>
  </si>
  <si>
    <t>1004A1702</t>
  </si>
  <si>
    <t>1006A250200</t>
  </si>
  <si>
    <t>1001E250001</t>
  </si>
  <si>
    <t>1001E250003</t>
  </si>
  <si>
    <t>1001E250004</t>
  </si>
  <si>
    <t>1001E400002</t>
  </si>
  <si>
    <t>1001E400004</t>
  </si>
  <si>
    <t>1001E400005</t>
  </si>
  <si>
    <t>1001E630008</t>
  </si>
  <si>
    <t>1001E630005</t>
  </si>
  <si>
    <t>008930</t>
  </si>
  <si>
    <t>008929</t>
  </si>
  <si>
    <t>008935</t>
  </si>
  <si>
    <t>009019</t>
  </si>
  <si>
    <t>Ajout du calcul des postes</t>
  </si>
  <si>
    <t>Externalisation du fichier de base prix, pour modification plus simple.</t>
  </si>
  <si>
    <t>Ajout du calcul des postes MO et % de MO via TCD</t>
  </si>
  <si>
    <t>BFI1</t>
  </si>
  <si>
    <t>RXS35</t>
  </si>
  <si>
    <t>TASI20</t>
  </si>
  <si>
    <t>TASI25</t>
  </si>
  <si>
    <t>VBP1FF.CAD.I</t>
  </si>
  <si>
    <t>TR66251700</t>
  </si>
  <si>
    <t>TR66096347</t>
  </si>
  <si>
    <t>R2235114S</t>
  </si>
  <si>
    <t>BFI12-100</t>
  </si>
  <si>
    <t>JT35FKM-RIM</t>
  </si>
  <si>
    <t>BCV114</t>
  </si>
  <si>
    <t>Italien D108</t>
  </si>
  <si>
    <t>Italien 88</t>
  </si>
  <si>
    <t>Italien D76</t>
  </si>
  <si>
    <t>Italien D54</t>
  </si>
  <si>
    <t>Italien D42</t>
  </si>
  <si>
    <t>Italien D28</t>
  </si>
  <si>
    <t>Italien D18</t>
  </si>
  <si>
    <t>Coude FF</t>
  </si>
  <si>
    <t>Coude MF</t>
  </si>
  <si>
    <t>Manchon réduit MF DN vers DN utilisé inférieur</t>
  </si>
  <si>
    <t>Té Réduit vers DN utilisé inférieur</t>
  </si>
  <si>
    <t>Vanne</t>
  </si>
  <si>
    <t>Carte modbus TCP</t>
  </si>
  <si>
    <t xml:space="preserve">Jeu de conecteur SIGMA2  RJ45 </t>
  </si>
  <si>
    <t>Kit rattrapage RJ45-sigma2</t>
  </si>
  <si>
    <t>carte interface IO supplementaire</t>
  </si>
  <si>
    <t>044746</t>
  </si>
  <si>
    <t>DN</t>
  </si>
  <si>
    <t>Diam Tube</t>
  </si>
  <si>
    <t>G en "</t>
  </si>
  <si>
    <t>R258076</t>
  </si>
  <si>
    <t>R148076</t>
  </si>
  <si>
    <t>Italien D15</t>
  </si>
  <si>
    <t>Italien D22</t>
  </si>
  <si>
    <t>Italien D35</t>
  </si>
  <si>
    <t>R253225</t>
  </si>
  <si>
    <t>Collier ISO M8 / M10 à partir de D76</t>
  </si>
  <si>
    <t>Collier M8 / M10 à partir de D76</t>
  </si>
  <si>
    <t>Bride PN16</t>
  </si>
  <si>
    <t>Bride Tournantes</t>
  </si>
  <si>
    <t>Té mixte petit =&gt; outillage 1/2" ou à partir de D76 3/4"</t>
  </si>
  <si>
    <t>Té mixte grand =&gt; autre</t>
  </si>
  <si>
    <t>CP10.1</t>
  </si>
  <si>
    <t>IPLDEC400</t>
  </si>
  <si>
    <t>ANT310</t>
  </si>
  <si>
    <t>136-3015</t>
  </si>
  <si>
    <t>ETR1</t>
  </si>
  <si>
    <t>ETR114</t>
  </si>
  <si>
    <t>ETR112</t>
  </si>
  <si>
    <t>ETR2</t>
  </si>
  <si>
    <t>Vis</t>
  </si>
  <si>
    <t>CF801-DN50</t>
  </si>
  <si>
    <t>CF801-DN40</t>
  </si>
  <si>
    <t>CF801-DN32</t>
  </si>
  <si>
    <t>Com-AnaCF800</t>
  </si>
  <si>
    <t>VASEXP200L-1,5B</t>
  </si>
  <si>
    <t>VASEXP250L-2,5B</t>
  </si>
  <si>
    <t>MANO-06B</t>
  </si>
  <si>
    <t>K7.9679.0</t>
  </si>
  <si>
    <t>DGL1/2LG60</t>
  </si>
  <si>
    <t>DGL1/2LG100</t>
  </si>
  <si>
    <t>RCI50-40</t>
  </si>
  <si>
    <t>MIR89x13</t>
  </si>
  <si>
    <t>DMT1</t>
  </si>
  <si>
    <t>DMT10</t>
  </si>
  <si>
    <t>DMT2</t>
  </si>
  <si>
    <t>DMT20</t>
  </si>
  <si>
    <t>DMT3</t>
  </si>
  <si>
    <t>DMT30</t>
  </si>
  <si>
    <t>ECR112-34</t>
  </si>
  <si>
    <t>ECR112-1</t>
  </si>
  <si>
    <t>ECR112-114</t>
  </si>
  <si>
    <t>ECS112-12</t>
  </si>
  <si>
    <t>ECS112-34</t>
  </si>
  <si>
    <t>ANTIBEL-0,16L</t>
  </si>
  <si>
    <t>ANTIBEL-0,5L</t>
  </si>
  <si>
    <t>ANTIBEL-2L</t>
  </si>
  <si>
    <t>SSSA114-07</t>
  </si>
  <si>
    <t>CABRJ45CAT6-0,5M</t>
  </si>
  <si>
    <t>CABRJ45CAT6-3M</t>
  </si>
  <si>
    <t>556-998</t>
  </si>
  <si>
    <t>TWA-V1.3</t>
  </si>
  <si>
    <t>TWA/GSM-V1.3</t>
  </si>
  <si>
    <t>BA276040</t>
  </si>
  <si>
    <t>BA476080</t>
  </si>
  <si>
    <t>052725</t>
  </si>
  <si>
    <t>052726</t>
  </si>
  <si>
    <t>TH-08-VA-50MM</t>
  </si>
  <si>
    <t>TH-08-VA-100MM</t>
  </si>
  <si>
    <t>MIR15x13</t>
  </si>
  <si>
    <t>MIR15x19</t>
  </si>
  <si>
    <t>MIR54X19</t>
  </si>
  <si>
    <t>MIR89x19</t>
  </si>
  <si>
    <t>DMT1SONDE</t>
  </si>
  <si>
    <t>DMT10SONDE</t>
  </si>
  <si>
    <t>DMT2SONDE</t>
  </si>
  <si>
    <t>DMT20SONDE</t>
  </si>
  <si>
    <t>DMT3SONDE</t>
  </si>
  <si>
    <t>DMT30SONDE</t>
  </si>
  <si>
    <t>HYGAD</t>
  </si>
  <si>
    <t>HYGAFFAD</t>
  </si>
  <si>
    <t>HYGEE35AD</t>
  </si>
  <si>
    <t>HYGEE35FR</t>
  </si>
  <si>
    <t>HYGFR</t>
  </si>
  <si>
    <t>HA010818</t>
  </si>
  <si>
    <t>HA010821</t>
  </si>
  <si>
    <t>VAB3V34X12</t>
  </si>
  <si>
    <t>SDP</t>
  </si>
  <si>
    <t>DMT132</t>
  </si>
  <si>
    <t>DMT142-CXD33X</t>
  </si>
  <si>
    <t>DMT143</t>
  </si>
  <si>
    <t>DMT143-CXD33X</t>
  </si>
  <si>
    <t>DMT152-A1DX1</t>
  </si>
  <si>
    <t>DMT242</t>
  </si>
  <si>
    <t>DMT348</t>
  </si>
  <si>
    <t>DMT347</t>
  </si>
  <si>
    <t>DMT348-AFF</t>
  </si>
  <si>
    <t>DMT348-W0B1A-BV-A</t>
  </si>
  <si>
    <t>DMT348-W0B1A-BV-F</t>
  </si>
  <si>
    <t>CE-1</t>
  </si>
  <si>
    <t>PT100</t>
  </si>
  <si>
    <t>CCTRL142</t>
  </si>
  <si>
    <t>CCTRL152</t>
  </si>
  <si>
    <t>VA400</t>
  </si>
  <si>
    <t>CPV-1</t>
  </si>
  <si>
    <t>CIM.VV</t>
  </si>
  <si>
    <t>CIM.1</t>
  </si>
  <si>
    <t>CIM.485</t>
  </si>
  <si>
    <t>META.EX</t>
  </si>
  <si>
    <t>META.IX</t>
  </si>
  <si>
    <t>META.P4</t>
  </si>
  <si>
    <t>META.P4-KIT</t>
  </si>
  <si>
    <t>META.RCB</t>
  </si>
  <si>
    <t>META.S2</t>
  </si>
  <si>
    <t>META.S2-KIT</t>
  </si>
  <si>
    <t>META.S3</t>
  </si>
  <si>
    <t>META.S3-KIT</t>
  </si>
  <si>
    <t>META.SX</t>
  </si>
  <si>
    <t>META.SX-KIT</t>
  </si>
  <si>
    <t>META.VSD</t>
  </si>
  <si>
    <t>META.VSD-VO</t>
  </si>
  <si>
    <t>META.XC</t>
  </si>
  <si>
    <t>VSDMON100</t>
  </si>
  <si>
    <t>VSDMON600</t>
  </si>
  <si>
    <t>CPTENER-25</t>
  </si>
  <si>
    <t>CPTENER-32</t>
  </si>
  <si>
    <t>CPTENER-40</t>
  </si>
  <si>
    <t>A-2403-MS</t>
  </si>
  <si>
    <t>DTH-S</t>
  </si>
  <si>
    <t>SAM4.0-4</t>
  </si>
  <si>
    <t>CP60</t>
  </si>
  <si>
    <t>KQ6001</t>
  </si>
  <si>
    <t>EQT2-16B</t>
  </si>
  <si>
    <t>EQTPAU0050</t>
  </si>
  <si>
    <t>EQTPAU0100</t>
  </si>
  <si>
    <t>EQTPAU0200</t>
  </si>
  <si>
    <t>EQTPAU0300</t>
  </si>
  <si>
    <t>EQTPAU0500</t>
  </si>
  <si>
    <t>EQTPAU0500.16G</t>
  </si>
  <si>
    <t>EQTPAU0750</t>
  </si>
  <si>
    <t>EQTPAU0900</t>
  </si>
  <si>
    <t>EQTPAU1000</t>
  </si>
  <si>
    <t>EQTPAU10000</t>
  </si>
  <si>
    <t>EQTPAU10000I</t>
  </si>
  <si>
    <t>EQTPAU1500</t>
  </si>
  <si>
    <t>EQTPAU1500.16G</t>
  </si>
  <si>
    <t>EQTPAU20000</t>
  </si>
  <si>
    <t>EQTPAU3000</t>
  </si>
  <si>
    <t>EQTPAU4000</t>
  </si>
  <si>
    <t>EQTPAU5000</t>
  </si>
  <si>
    <t>EQTPAU5000-2"</t>
  </si>
  <si>
    <t>EQTPAU7000</t>
  </si>
  <si>
    <t>EQTPAU8000</t>
  </si>
  <si>
    <t>EQTPAU8000-2"</t>
  </si>
  <si>
    <t>RVPA0050.10G</t>
  </si>
  <si>
    <t>RVPA1000.11G</t>
  </si>
  <si>
    <t>RVPA1000.16G</t>
  </si>
  <si>
    <t>RVPA1500.16G</t>
  </si>
  <si>
    <t>RVPA2000.11G</t>
  </si>
  <si>
    <t>RVPA3000.11G</t>
  </si>
  <si>
    <t>RVPA4000.11G</t>
  </si>
  <si>
    <t>RVPA5000.10G</t>
  </si>
  <si>
    <t>RVPA5000.10G-DN150</t>
  </si>
  <si>
    <t>RVPA5000.10I</t>
  </si>
  <si>
    <t>RVPA8000.10-DN150</t>
  </si>
  <si>
    <t>RVPA8000.10-DN200</t>
  </si>
  <si>
    <t>RVPA8000.10G</t>
  </si>
  <si>
    <t>RVPA10000.13G</t>
  </si>
  <si>
    <t>RVPA10000.13I</t>
  </si>
  <si>
    <t>RVPA10000.15I</t>
  </si>
  <si>
    <t>VBP18FF</t>
  </si>
  <si>
    <t>VBP2FF.CAD</t>
  </si>
  <si>
    <t>VBP34FF.CAD.INOX</t>
  </si>
  <si>
    <t>VBP112FF.CAD.INOX</t>
  </si>
  <si>
    <t>VBP38MM</t>
  </si>
  <si>
    <t>VBP12MM</t>
  </si>
  <si>
    <t>VBP34MM</t>
  </si>
  <si>
    <t>VBP1MM</t>
  </si>
  <si>
    <t>VBP114MM</t>
  </si>
  <si>
    <t>VBP112MM</t>
  </si>
  <si>
    <t>VBP2MM</t>
  </si>
  <si>
    <t>VBSP12FF</t>
  </si>
  <si>
    <t>012363</t>
  </si>
  <si>
    <t>VBSP12MF</t>
  </si>
  <si>
    <t>VBSP1FF</t>
  </si>
  <si>
    <t>VBSP34FF</t>
  </si>
  <si>
    <t>VBSP34MF</t>
  </si>
  <si>
    <t>VBSP38FF</t>
  </si>
  <si>
    <t>VBSP38MF</t>
  </si>
  <si>
    <t>VEQ12FF</t>
  </si>
  <si>
    <t>072696</t>
  </si>
  <si>
    <t>Bride</t>
  </si>
  <si>
    <t>VEQ80</t>
  </si>
  <si>
    <t>VEQ100</t>
  </si>
  <si>
    <t>009847</t>
  </si>
  <si>
    <t>Vanne Papillon</t>
  </si>
  <si>
    <t>VP50OC-EPDM</t>
  </si>
  <si>
    <t>VP65OT-EPDM</t>
  </si>
  <si>
    <t>VPI65OT-EPDM</t>
  </si>
  <si>
    <t>VPI100OT-EPDM</t>
  </si>
  <si>
    <t>VP50OT-EPDM</t>
  </si>
  <si>
    <t>VP200OTPN16</t>
  </si>
  <si>
    <t>VP100OC</t>
  </si>
  <si>
    <t>VP125OC</t>
  </si>
  <si>
    <t>VP150OC</t>
  </si>
  <si>
    <t>VP65OC</t>
  </si>
  <si>
    <t>VP80OC</t>
  </si>
  <si>
    <t>VP80OC-APSE</t>
  </si>
  <si>
    <t>VPI080OT</t>
  </si>
  <si>
    <t>VPI125OT</t>
  </si>
  <si>
    <t>3/8"M - Flexible Dint 14</t>
  </si>
  <si>
    <t>180R150</t>
  </si>
  <si>
    <t>180R180</t>
  </si>
  <si>
    <t>180R220</t>
  </si>
  <si>
    <t>180R280</t>
  </si>
  <si>
    <t>RASI304112</t>
  </si>
  <si>
    <t>RVPA0900.10G</t>
  </si>
  <si>
    <t>FASI3041</t>
  </si>
  <si>
    <t>FASI304114</t>
  </si>
  <si>
    <t>TASI42</t>
  </si>
  <si>
    <t>290I212</t>
  </si>
  <si>
    <t>DGI1/2LG160</t>
  </si>
  <si>
    <t>MANO-010B</t>
  </si>
  <si>
    <t>TH0-120CAD1/2LG160</t>
  </si>
  <si>
    <t>K7.0630.00010</t>
  </si>
  <si>
    <t>K7.2679.0</t>
  </si>
  <si>
    <t>K7.5250.01870</t>
  </si>
  <si>
    <t>K7.7280.00060</t>
  </si>
  <si>
    <t>K7.7628.1</t>
  </si>
  <si>
    <t>K7.9681.2</t>
  </si>
  <si>
    <t>K9.5022.0</t>
  </si>
  <si>
    <t>SAM4.0-8</t>
  </si>
  <si>
    <t>SAM4.0-16</t>
  </si>
  <si>
    <t>k8.0484.10050</t>
  </si>
  <si>
    <t>SCHA9P22601</t>
  </si>
  <si>
    <t>SCHA9P22602</t>
  </si>
  <si>
    <t>SCHA9P22604</t>
  </si>
  <si>
    <t>SCHA9P22606</t>
  </si>
  <si>
    <t>SCHA9P22610</t>
  </si>
  <si>
    <t>SCHA9P22616</t>
  </si>
  <si>
    <t>SCHA9P22620</t>
  </si>
  <si>
    <t>SCHA9P22625</t>
  </si>
  <si>
    <t>SCHA9P22632</t>
  </si>
  <si>
    <t>SCHA9P22640</t>
  </si>
  <si>
    <t>SCHA9P24601</t>
  </si>
  <si>
    <t>SCHA9P24602</t>
  </si>
  <si>
    <t>SCHA9P24604</t>
  </si>
  <si>
    <t>SCHA9P24606</t>
  </si>
  <si>
    <t>SCHA9P24610</t>
  </si>
  <si>
    <t>SCHA9P24616</t>
  </si>
  <si>
    <t>SCHA9P24620</t>
  </si>
  <si>
    <t>SCHA9P24625</t>
  </si>
  <si>
    <t>SCHA9P24632</t>
  </si>
  <si>
    <t>SCHA9P24640</t>
  </si>
  <si>
    <t>SCHA9N18387</t>
  </si>
  <si>
    <t>SCHA9P32306</t>
  </si>
  <si>
    <t>SCHA9P32310</t>
  </si>
  <si>
    <t>SCHA9P32316</t>
  </si>
  <si>
    <t>SCHA9P32320</t>
  </si>
  <si>
    <t>SCHA9P32325</t>
  </si>
  <si>
    <t>SCHA9P32332</t>
  </si>
  <si>
    <t>SCHA9P32340</t>
  </si>
  <si>
    <t>SCHA9P34306</t>
  </si>
  <si>
    <t>SCHA9P34310</t>
  </si>
  <si>
    <t>SCHA9P34316</t>
  </si>
  <si>
    <t>SCHA9P34320</t>
  </si>
  <si>
    <t>SCHA9P34325</t>
  </si>
  <si>
    <t>SCHA9P34332</t>
  </si>
  <si>
    <t>06646</t>
  </si>
  <si>
    <t>06649</t>
  </si>
  <si>
    <t>06653</t>
  </si>
  <si>
    <t>06656</t>
  </si>
  <si>
    <t>06659</t>
  </si>
  <si>
    <t>06662</t>
  </si>
  <si>
    <t>SCHA9P22306</t>
  </si>
  <si>
    <t>SCHA9P22310</t>
  </si>
  <si>
    <t>SCHA9P22316</t>
  </si>
  <si>
    <t>SCHA9P22320</t>
  </si>
  <si>
    <t>SCHA9P22325</t>
  </si>
  <si>
    <t>SCHA9P22332</t>
  </si>
  <si>
    <t>SCHA9P22340</t>
  </si>
  <si>
    <t>SCHA9P24306</t>
  </si>
  <si>
    <t>SCHA9P24310</t>
  </si>
  <si>
    <t>SCHA9P24316</t>
  </si>
  <si>
    <t>SCHA9P24320</t>
  </si>
  <si>
    <t>SCHA9P24325</t>
  </si>
  <si>
    <t>SCHA9P24332</t>
  </si>
  <si>
    <t>SCHA9P24340</t>
  </si>
  <si>
    <t>06464</t>
  </si>
  <si>
    <t>SCH18632</t>
  </si>
  <si>
    <t>SCH18633</t>
  </si>
  <si>
    <t>SCH18634</t>
  </si>
  <si>
    <t>SCH18635</t>
  </si>
  <si>
    <t>SCH18636</t>
  </si>
  <si>
    <t>SCH18637</t>
  </si>
  <si>
    <t>SCH18638</t>
  </si>
  <si>
    <t>SCH18639</t>
  </si>
  <si>
    <t>SCH18641</t>
  </si>
  <si>
    <t>SCH18643</t>
  </si>
  <si>
    <t>SCH18645</t>
  </si>
  <si>
    <t>SCH18669</t>
  </si>
  <si>
    <t>SCH18670</t>
  </si>
  <si>
    <t>SCH18671</t>
  </si>
  <si>
    <t>SCHLV429770</t>
  </si>
  <si>
    <t>SCHLV430770</t>
  </si>
  <si>
    <t>SCHLV431630</t>
  </si>
  <si>
    <t>SCHLV432676</t>
  </si>
  <si>
    <t>RXN41G11BD</t>
  </si>
  <si>
    <t>RXN41G11B7</t>
  </si>
  <si>
    <t>RXN41G11P7</t>
  </si>
  <si>
    <t>CUB-230V</t>
  </si>
  <si>
    <t>RO2V1X35</t>
  </si>
  <si>
    <t>RO2V3G1.5</t>
  </si>
  <si>
    <t>RO2V3G6</t>
  </si>
  <si>
    <t>RO2V4g1.5</t>
  </si>
  <si>
    <t>NO5VVF7G0,75</t>
  </si>
  <si>
    <t>HO5VVF4G0,75</t>
  </si>
  <si>
    <t>HO5VV5F7G0,75</t>
  </si>
  <si>
    <t>HO5VVF2X0,75</t>
  </si>
  <si>
    <t>HO5VVF3G0,75</t>
  </si>
  <si>
    <t>HO5VVF3G1</t>
  </si>
  <si>
    <t>HO5VVF3G1.5</t>
  </si>
  <si>
    <t>HO5VVF4G1</t>
  </si>
  <si>
    <t>HO5VVF4X1,5</t>
  </si>
  <si>
    <t>HO5VVF5G0,75</t>
  </si>
  <si>
    <t>HO5VVF5G1</t>
  </si>
  <si>
    <t>HO5VK0,75</t>
  </si>
  <si>
    <t>HO5VK0,75 B</t>
  </si>
  <si>
    <t>HO5VK0,75 OR</t>
  </si>
  <si>
    <t>HO5VK0,75-RO</t>
  </si>
  <si>
    <t>HO7VK1,5</t>
  </si>
  <si>
    <t>HO7VK1,5-R</t>
  </si>
  <si>
    <t>HO7VK2,5VERT/JAUN</t>
  </si>
  <si>
    <t>HO7VK4-N</t>
  </si>
  <si>
    <t>HO7VK4B</t>
  </si>
  <si>
    <t>HO7VK6-N</t>
  </si>
  <si>
    <t>HO7VK10</t>
  </si>
  <si>
    <t>HO7VK16</t>
  </si>
  <si>
    <t>HO7VK25-N</t>
  </si>
  <si>
    <t>HO7VK25-R</t>
  </si>
  <si>
    <t>HO7VK35</t>
  </si>
  <si>
    <t>HO7VK50-N</t>
  </si>
  <si>
    <t>HO7VK70VERT/JAUN</t>
  </si>
  <si>
    <t>HO7RNF2X1</t>
  </si>
  <si>
    <t>HO7RNF4G50</t>
  </si>
  <si>
    <t>HO7RNF4G70</t>
  </si>
  <si>
    <t>HO7RNF4G95</t>
  </si>
  <si>
    <t>HO7RNF5G1</t>
  </si>
  <si>
    <t>HO7RNF5G1,5</t>
  </si>
  <si>
    <t>HO7RNF5G2.5</t>
  </si>
  <si>
    <t>HO7RNF5G70</t>
  </si>
  <si>
    <t>HO7RNF7G2,5</t>
  </si>
  <si>
    <t>LYCY2X0.5</t>
  </si>
  <si>
    <t>LYCY2X1.5</t>
  </si>
  <si>
    <t>LYCY4X0,5</t>
  </si>
  <si>
    <t>LYCY5G0.75</t>
  </si>
  <si>
    <t>LYCY7X0,75</t>
  </si>
  <si>
    <t>LYCY7X1,5</t>
  </si>
  <si>
    <t>BIZ200240</t>
  </si>
  <si>
    <t>XCT6-8</t>
  </si>
  <si>
    <t>XCT106</t>
  </si>
  <si>
    <t>XCT108</t>
  </si>
  <si>
    <t>XCT166</t>
  </si>
  <si>
    <t>XCT168</t>
  </si>
  <si>
    <t>XCT1610</t>
  </si>
  <si>
    <t>XCT25-6</t>
  </si>
  <si>
    <t>XCT508</t>
  </si>
  <si>
    <t>XCT5010</t>
  </si>
  <si>
    <t>XCT5012</t>
  </si>
  <si>
    <t>XCT70-12</t>
  </si>
  <si>
    <t>XCT150-10</t>
  </si>
  <si>
    <t>XCT150</t>
  </si>
  <si>
    <t>XCT18512</t>
  </si>
  <si>
    <t>IBO00964</t>
  </si>
  <si>
    <t>Collier</t>
  </si>
  <si>
    <t>JTVI 16X2,5</t>
  </si>
  <si>
    <t>JTVI 22X3</t>
  </si>
  <si>
    <t>JTVI 28X3</t>
  </si>
  <si>
    <t>JTVI 28X3,5</t>
  </si>
  <si>
    <t>JTVI 35X4</t>
  </si>
  <si>
    <t>JTVI 43X5</t>
  </si>
  <si>
    <t>JTVI 48X6</t>
  </si>
  <si>
    <t>K8.0794.00010</t>
  </si>
  <si>
    <t>FC38.1000</t>
  </si>
  <si>
    <t>EQTSI0500</t>
  </si>
  <si>
    <t>EQTSI0800</t>
  </si>
  <si>
    <t>EQTSI0900</t>
  </si>
  <si>
    <t>EQTMT0900</t>
  </si>
  <si>
    <t>EQTSI1000</t>
  </si>
  <si>
    <t>EQTSI2000</t>
  </si>
  <si>
    <t>EQTRO10000</t>
  </si>
  <si>
    <t>EQTKS0090</t>
  </si>
  <si>
    <t>EQTKS0150.16B</t>
  </si>
  <si>
    <t>EQTKS0250</t>
  </si>
  <si>
    <t>EQTKS0350</t>
  </si>
  <si>
    <t>EQTKS0350.16B</t>
  </si>
  <si>
    <t>EQTKS0500</t>
  </si>
  <si>
    <t>EQTKS0500.16B</t>
  </si>
  <si>
    <t>EQTKS0500.45B</t>
  </si>
  <si>
    <t>EQTKS0900</t>
  </si>
  <si>
    <t>EQTKS1000</t>
  </si>
  <si>
    <t>EQTKS1000.16B</t>
  </si>
  <si>
    <t>EQTKS1000.45B</t>
  </si>
  <si>
    <t>EQTKS2000</t>
  </si>
  <si>
    <t>EQTKS2000-16B</t>
  </si>
  <si>
    <t>EQTKS2000-50B</t>
  </si>
  <si>
    <t>EQTKS3000</t>
  </si>
  <si>
    <t>EQTKS3000.16B</t>
  </si>
  <si>
    <t>EQTKS5000</t>
  </si>
  <si>
    <t>EQTKS5000-H</t>
  </si>
  <si>
    <t>EQTKS8000</t>
  </si>
  <si>
    <t>EQTKS8000-16B</t>
  </si>
  <si>
    <t>EQTKS8000-H</t>
  </si>
  <si>
    <t>EQTKS10000</t>
  </si>
  <si>
    <t>RV0200-PS10-01</t>
  </si>
  <si>
    <t>RV0200-PS10-G</t>
  </si>
  <si>
    <t>RV0250-PS10-G</t>
  </si>
  <si>
    <t>RV0270-PS11-G</t>
  </si>
  <si>
    <t>RV0500-PS10-01</t>
  </si>
  <si>
    <t>RV0500-PS10-G</t>
  </si>
  <si>
    <t>RVCO0500.10G</t>
  </si>
  <si>
    <t>RV0500-PS16-01</t>
  </si>
  <si>
    <t>RV0800-PS10</t>
  </si>
  <si>
    <t>RV0900-PS10-01</t>
  </si>
  <si>
    <t>RVCO0900.10G</t>
  </si>
  <si>
    <t>RV0901-PS10-G</t>
  </si>
  <si>
    <t>RV0901-PS11-G</t>
  </si>
  <si>
    <t>RV1000-PS12</t>
  </si>
  <si>
    <t>RV1000PS14</t>
  </si>
  <si>
    <t>RV2000-PS10</t>
  </si>
  <si>
    <t>RVKS0090.11G</t>
  </si>
  <si>
    <t>RVKS0090.45G</t>
  </si>
  <si>
    <t>RVKS0150.11G</t>
  </si>
  <si>
    <t>RVKS0150.16G</t>
  </si>
  <si>
    <t>RVKS0250.11G</t>
  </si>
  <si>
    <t>RVKS0250.16G</t>
  </si>
  <si>
    <t>RVKS0250.45G</t>
  </si>
  <si>
    <t>RVKS0350.11G</t>
  </si>
  <si>
    <t>RVKS0350.16G</t>
  </si>
  <si>
    <t>RVKS0500.11G</t>
  </si>
  <si>
    <t>RVKS0500.16G</t>
  </si>
  <si>
    <t>RVKS0500.45G</t>
  </si>
  <si>
    <t>RVKS0900.11G</t>
  </si>
  <si>
    <t>RVKS1000.11G</t>
  </si>
  <si>
    <t>RVKS1000.16G</t>
  </si>
  <si>
    <t>RVKS1000.45G</t>
  </si>
  <si>
    <t>RVKS2000-50G</t>
  </si>
  <si>
    <t>RVKS2000.11G</t>
  </si>
  <si>
    <t>RVKS2000.16G</t>
  </si>
  <si>
    <t>RVKS3000.11G</t>
  </si>
  <si>
    <t>RVKS3000.16G</t>
  </si>
  <si>
    <t>RVKS5000.11G</t>
  </si>
  <si>
    <t>RVKS5000.16G</t>
  </si>
  <si>
    <t>RVKS8000.11G</t>
  </si>
  <si>
    <t>RVKS8000.16G</t>
  </si>
  <si>
    <t>RVKS10000.11G</t>
  </si>
  <si>
    <t>RVKS10000.16G</t>
  </si>
  <si>
    <t>RVPA0100.10G</t>
  </si>
  <si>
    <t>RVPA0200.10G</t>
  </si>
  <si>
    <t>RVPA0300.10G</t>
  </si>
  <si>
    <t>RVPA0300.16G</t>
  </si>
  <si>
    <t>RVPA0500.11G</t>
  </si>
  <si>
    <t>RVPA0500.16G</t>
  </si>
  <si>
    <t>RVPA0750.11G</t>
  </si>
  <si>
    <t>RVPA0900-11G</t>
  </si>
  <si>
    <t>RVPA5000.11G-DN150</t>
  </si>
  <si>
    <t>RVPA5000.11G-DN200</t>
  </si>
  <si>
    <t>RVSE0015.11P</t>
  </si>
  <si>
    <t>RVSE0050.11P</t>
  </si>
  <si>
    <t>RVGU0050.11P</t>
  </si>
  <si>
    <t>RVSE0100.11G</t>
  </si>
  <si>
    <t>RVSE0100.11P</t>
  </si>
  <si>
    <t>RVMA0120.11G</t>
  </si>
  <si>
    <t>RVSE0200.11G</t>
  </si>
  <si>
    <t>RVMA0250.11G</t>
  </si>
  <si>
    <t>RVSI0250.10G</t>
  </si>
  <si>
    <t>RVSI0270.11P</t>
  </si>
  <si>
    <t>RVNU0270.11G</t>
  </si>
  <si>
    <t>RVMA0270.11P</t>
  </si>
  <si>
    <t>RVSE0270.11G</t>
  </si>
  <si>
    <t>RVSE0270.11P</t>
  </si>
  <si>
    <t>RVSE0500.11G</t>
  </si>
  <si>
    <t>RV500P11</t>
  </si>
  <si>
    <t>RVCS0500.11G</t>
  </si>
  <si>
    <t>RVMA0500.10G</t>
  </si>
  <si>
    <t>RVMA0500.10P</t>
  </si>
  <si>
    <t>RVMA0500.11G</t>
  </si>
  <si>
    <t>RVMA0500.11P</t>
  </si>
  <si>
    <t>RVMAT0500.11G</t>
  </si>
  <si>
    <t>RVMAT0500.11P</t>
  </si>
  <si>
    <t>RVSE710.11G</t>
  </si>
  <si>
    <t>RVSE0900.11G</t>
  </si>
  <si>
    <t>RVMAT0900.11G</t>
  </si>
  <si>
    <t>RVNU0900.11G</t>
  </si>
  <si>
    <t>RVMA0900.11G</t>
  </si>
  <si>
    <t>RVMA1000.10.7G</t>
  </si>
  <si>
    <t>RVIN1000.12G</t>
  </si>
  <si>
    <t>RVSE1000.10,67G</t>
  </si>
  <si>
    <t>RVSE1500.15G</t>
  </si>
  <si>
    <t>RVSE2000.10G</t>
  </si>
  <si>
    <t>RVRO10000.16G</t>
  </si>
  <si>
    <t>RVCH0300.10D</t>
  </si>
  <si>
    <t>RVSA0500.10B</t>
  </si>
  <si>
    <t>RVMAS0500.10G</t>
  </si>
  <si>
    <t>RVES1000.E</t>
  </si>
  <si>
    <t>RVECS1000</t>
  </si>
  <si>
    <t>RVECS1500</t>
  </si>
  <si>
    <t>RVES1500</t>
  </si>
  <si>
    <t>RVES2000</t>
  </si>
  <si>
    <t>RVES2000.E</t>
  </si>
  <si>
    <t>RVEC6000</t>
  </si>
  <si>
    <t>RVES8000</t>
  </si>
  <si>
    <t>RVEC10000.04I</t>
  </si>
  <si>
    <t>RVPA0500E.11G</t>
  </si>
  <si>
    <t>RHKS0150.16G</t>
  </si>
  <si>
    <t>RHKS5000.11G</t>
  </si>
  <si>
    <t>RHKS8000.11G</t>
  </si>
  <si>
    <t>RHPA0100.10G</t>
  </si>
  <si>
    <t>RHPA0200.11G</t>
  </si>
  <si>
    <t>RHPA0300.10G</t>
  </si>
  <si>
    <t>RHPA0500.10G</t>
  </si>
  <si>
    <t>RHPA1000.10G</t>
  </si>
  <si>
    <t>RHPA1500.10G</t>
  </si>
  <si>
    <t>RHPA2000.10G</t>
  </si>
  <si>
    <t>RHPA3000.11G</t>
  </si>
  <si>
    <t>RHPA5000.10G</t>
  </si>
  <si>
    <t>RHPA5000.11G</t>
  </si>
  <si>
    <t>RHSI0010.11HP</t>
  </si>
  <si>
    <t>RHSE0015.11P</t>
  </si>
  <si>
    <t>RHSI0024.11P</t>
  </si>
  <si>
    <t>RHNU0050.11P</t>
  </si>
  <si>
    <t>RHSE0050.11P</t>
  </si>
  <si>
    <t>RHSI0050.11B</t>
  </si>
  <si>
    <t>RHSI0050.11G</t>
  </si>
  <si>
    <t>RHMAT0090.10P</t>
  </si>
  <si>
    <t>RHSE0100.11G</t>
  </si>
  <si>
    <t>RHSE0100.11GP</t>
  </si>
  <si>
    <t>RHSI0100.11P</t>
  </si>
  <si>
    <t>RHSI0200.10G</t>
  </si>
  <si>
    <t>RHSE0200.11G</t>
  </si>
  <si>
    <t>RHMA0250.11G</t>
  </si>
  <si>
    <t>RHRE0250.10GPL</t>
  </si>
  <si>
    <t>RHRE0270.10GPL</t>
  </si>
  <si>
    <t>RHSE0270.11G</t>
  </si>
  <si>
    <t>RHMA0300.10P</t>
  </si>
  <si>
    <t>RHSI0500.11P</t>
  </si>
  <si>
    <t>RHSI0500P.10G</t>
  </si>
  <si>
    <t>RHSI0900P.10G</t>
  </si>
  <si>
    <t>RHFL5000.08G</t>
  </si>
  <si>
    <t>CHC8x20</t>
  </si>
  <si>
    <t>EW090030</t>
  </si>
  <si>
    <t>EW090051</t>
  </si>
  <si>
    <t>RX64L150</t>
  </si>
  <si>
    <t>RR61L116</t>
  </si>
  <si>
    <t>RR61L316</t>
  </si>
  <si>
    <t>RA0463L1</t>
  </si>
  <si>
    <t>RX24L150</t>
  </si>
  <si>
    <t>1006A50 06</t>
  </si>
  <si>
    <t>1006A5002</t>
  </si>
  <si>
    <t>1001E500004</t>
  </si>
  <si>
    <t>1001E500009</t>
  </si>
  <si>
    <t>R33281</t>
  </si>
  <si>
    <t>BCS20</t>
  </si>
  <si>
    <t>BCV34</t>
  </si>
  <si>
    <t>BCV1</t>
  </si>
  <si>
    <t>CAS3DG114</t>
  </si>
  <si>
    <t>CAS3DN112</t>
  </si>
  <si>
    <t>BP40</t>
  </si>
  <si>
    <t>BP200</t>
  </si>
  <si>
    <t>BP250</t>
  </si>
  <si>
    <t>RAS1</t>
  </si>
  <si>
    <t>RAS68</t>
  </si>
  <si>
    <t>10.291.1003</t>
  </si>
  <si>
    <t>10.291.1004</t>
  </si>
  <si>
    <t>10.291.1154</t>
  </si>
  <si>
    <t>10.291.1202</t>
  </si>
  <si>
    <t>10.291.1204</t>
  </si>
  <si>
    <t>10.291.5003</t>
  </si>
  <si>
    <t>10.310.1155</t>
  </si>
  <si>
    <t>10.310.2003</t>
  </si>
  <si>
    <t>10.320.2152</t>
  </si>
  <si>
    <t>10.320.5003</t>
  </si>
  <si>
    <t>10.320.5152</t>
  </si>
  <si>
    <t>10.320.5202</t>
  </si>
  <si>
    <t>10.341.1004</t>
  </si>
  <si>
    <t>10.341.5004</t>
  </si>
  <si>
    <t>10.342.1004</t>
  </si>
  <si>
    <t>10.342.1154</t>
  </si>
  <si>
    <t>10.342.5004</t>
  </si>
  <si>
    <t>10.342.5152</t>
  </si>
  <si>
    <t>10.410.5004</t>
  </si>
  <si>
    <t>10.410.5152</t>
  </si>
  <si>
    <t>10.430.5003</t>
  </si>
  <si>
    <t>10.430.5004</t>
  </si>
  <si>
    <t>10.550.5155</t>
  </si>
  <si>
    <t>EXPD9</t>
  </si>
  <si>
    <t>BEKO12</t>
  </si>
  <si>
    <t>BEKO13</t>
  </si>
  <si>
    <t>BEKO13-KIT</t>
  </si>
  <si>
    <t>BEKO14</t>
  </si>
  <si>
    <t>BEKO14-KIT</t>
  </si>
  <si>
    <t>BEKO21-KIT</t>
  </si>
  <si>
    <t>BEKO32</t>
  </si>
  <si>
    <t>BR90L</t>
  </si>
  <si>
    <t>HNT</t>
  </si>
  <si>
    <t>KMVA</t>
  </si>
  <si>
    <t>FR</t>
  </si>
  <si>
    <t>FH</t>
  </si>
  <si>
    <t>HNBE</t>
  </si>
  <si>
    <t>JT42FKM-RIM</t>
  </si>
  <si>
    <t>IBC 1000 LITRES</t>
  </si>
  <si>
    <t>MCT1000-C</t>
  </si>
  <si>
    <t>MCT1000SP-C</t>
  </si>
  <si>
    <t>MINIMCT-C</t>
  </si>
  <si>
    <t>MINIMCT870-C</t>
  </si>
  <si>
    <t>BRLP225</t>
  </si>
  <si>
    <t>MCT-C</t>
  </si>
  <si>
    <t>BR06</t>
  </si>
  <si>
    <t>BR08</t>
  </si>
  <si>
    <t>BR08P</t>
  </si>
  <si>
    <t>BR120</t>
  </si>
  <si>
    <t>BR14S</t>
  </si>
  <si>
    <t>MINIMCT842B-C</t>
  </si>
  <si>
    <t>XZKA13001</t>
  </si>
  <si>
    <t>11-2080100</t>
  </si>
  <si>
    <t>74504-50</t>
  </si>
  <si>
    <t>AF0035P</t>
  </si>
  <si>
    <t>AF0035C</t>
  </si>
  <si>
    <t>AF0035A</t>
  </si>
  <si>
    <t>AF0052P</t>
  </si>
  <si>
    <t>AF0108P</t>
  </si>
  <si>
    <t>AF0108C</t>
  </si>
  <si>
    <t>AF0108A</t>
  </si>
  <si>
    <t>AF0216A</t>
  </si>
  <si>
    <t>KFM02</t>
  </si>
  <si>
    <t>421.18</t>
  </si>
  <si>
    <t>SF1640006</t>
  </si>
  <si>
    <t>SF1622004</t>
  </si>
  <si>
    <t>SF1622005</t>
  </si>
  <si>
    <t>SF1622006</t>
  </si>
  <si>
    <t>SF1623002</t>
  </si>
  <si>
    <t>SF1623004</t>
  </si>
  <si>
    <t>SF1623006</t>
  </si>
  <si>
    <t>SF1623007</t>
  </si>
  <si>
    <t>SF1623008</t>
  </si>
  <si>
    <t>SF1623011</t>
  </si>
  <si>
    <t>SF1625006</t>
  </si>
  <si>
    <t>SF1643006</t>
  </si>
  <si>
    <t>008821</t>
  </si>
  <si>
    <t>SF1613002</t>
  </si>
  <si>
    <t>SF1613006</t>
  </si>
  <si>
    <t>SF1613007</t>
  </si>
  <si>
    <t>SF1613008</t>
  </si>
  <si>
    <t>SF1613011</t>
  </si>
  <si>
    <t>008792</t>
  </si>
  <si>
    <t>008862</t>
  </si>
  <si>
    <t>1011.12</t>
  </si>
  <si>
    <t>SF1615002</t>
  </si>
  <si>
    <t>K7.0220.0</t>
  </si>
  <si>
    <t>K7.0221.0</t>
  </si>
  <si>
    <t>AFT0</t>
  </si>
  <si>
    <t>R64G-NNK-RMN</t>
  </si>
  <si>
    <t>SSL12.10</t>
  </si>
  <si>
    <t>SSL34.10</t>
  </si>
  <si>
    <t>SSL1.10</t>
  </si>
  <si>
    <t>SSL114.10</t>
  </si>
  <si>
    <t>SSL112.10</t>
  </si>
  <si>
    <t>SSL2.10</t>
  </si>
  <si>
    <t>VACUO100</t>
  </si>
  <si>
    <t>VACUOV63</t>
  </si>
  <si>
    <t>VACUOA63</t>
  </si>
  <si>
    <t>BPT803</t>
  </si>
  <si>
    <t>CPTEAU34-IMP1L</t>
  </si>
  <si>
    <t>RCL1-34</t>
  </si>
  <si>
    <t>CPTEAU1-IMP1L</t>
  </si>
  <si>
    <t>014447</t>
  </si>
  <si>
    <t>014438</t>
  </si>
  <si>
    <t>014439</t>
  </si>
  <si>
    <t>014440</t>
  </si>
  <si>
    <t>SF1615007</t>
  </si>
  <si>
    <t>SF1615008</t>
  </si>
  <si>
    <t>SF1615010</t>
  </si>
  <si>
    <t>SF1645007</t>
  </si>
  <si>
    <t>MANO004</t>
  </si>
  <si>
    <t>MANO010</t>
  </si>
  <si>
    <t>MANO010-PV</t>
  </si>
  <si>
    <t>G12</t>
  </si>
  <si>
    <t>Nacelle</t>
  </si>
  <si>
    <t>Transport</t>
  </si>
  <si>
    <t>AG18-H50D</t>
  </si>
  <si>
    <t>AG18-E80/900</t>
  </si>
  <si>
    <t>AG18-CHV18S</t>
  </si>
  <si>
    <t>AG18-CHA18S</t>
  </si>
  <si>
    <t>AG18-CHA25G</t>
  </si>
  <si>
    <t>AG18-CHAV25G</t>
  </si>
  <si>
    <t>AG18-520201 &amp; 520202</t>
  </si>
  <si>
    <t>AG18-H35T</t>
  </si>
  <si>
    <t>AG18-H45T</t>
  </si>
  <si>
    <t>AG18-H50T</t>
  </si>
  <si>
    <t>AG18-Bouteille gaz</t>
  </si>
  <si>
    <t>AG18-Transport aller/retour</t>
  </si>
  <si>
    <t>AG18-COM23D</t>
  </si>
  <si>
    <t>AG18-COV23D</t>
  </si>
  <si>
    <t>AG18-COV34D</t>
  </si>
  <si>
    <t>AG18-COM34D</t>
  </si>
  <si>
    <t>AG18-COM40D</t>
  </si>
  <si>
    <t>AG18-COV40D</t>
  </si>
  <si>
    <t>AG18-COM50D</t>
  </si>
  <si>
    <t xml:space="preserve">AG18-COV50D </t>
  </si>
  <si>
    <t>AG18-COM70D</t>
  </si>
  <si>
    <t>AG18-PLAT3M</t>
  </si>
  <si>
    <t xml:space="preserve">AG18-ESCPRO </t>
  </si>
  <si>
    <t>AG18-ESC430</t>
  </si>
  <si>
    <t>AG18-GRO200</t>
  </si>
  <si>
    <t>AG18-GRO400</t>
  </si>
  <si>
    <t>AG18-ELE12B</t>
  </si>
  <si>
    <t>AG18-ELE12E</t>
  </si>
  <si>
    <t>AG18-ELE12P</t>
  </si>
  <si>
    <t>AG18-ELE15E</t>
  </si>
  <si>
    <t>AG18-ELE15P</t>
  </si>
  <si>
    <t>AG18-ELE17P</t>
  </si>
  <si>
    <t>AG18-SCI455</t>
  </si>
  <si>
    <t xml:space="preserve">AG18-SCI510 </t>
  </si>
  <si>
    <t xml:space="preserve">AG18-SCI680 </t>
  </si>
  <si>
    <t>AG18-SCI830</t>
  </si>
  <si>
    <t>AG18-SCI10E</t>
  </si>
  <si>
    <t xml:space="preserve">AG18-SCI10S </t>
  </si>
  <si>
    <t xml:space="preserve">AG18-SCI12S </t>
  </si>
  <si>
    <t>AG18-SCI14E</t>
  </si>
  <si>
    <t>AG18-CE7</t>
  </si>
  <si>
    <t>AG18-CE8</t>
  </si>
  <si>
    <t>AG18-CE10</t>
  </si>
  <si>
    <t>AG18-CE12</t>
  </si>
  <si>
    <t>AG18-CE14</t>
  </si>
  <si>
    <t>AG18-Transport</t>
  </si>
  <si>
    <t xml:space="preserve">AG18-ELE12D </t>
  </si>
  <si>
    <t>AG18-ELE16D</t>
  </si>
  <si>
    <t xml:space="preserve">AG18-ELE16S </t>
  </si>
  <si>
    <t>AG18-ELE18D</t>
  </si>
  <si>
    <t>AG18-ELE20D</t>
  </si>
  <si>
    <t>AG18-SCI10D</t>
  </si>
  <si>
    <t>AG18-SCV12P</t>
  </si>
  <si>
    <t>AG18-SCI12P</t>
  </si>
  <si>
    <t>AG18-SCV15D</t>
  </si>
  <si>
    <t>AG18-SCI15D</t>
  </si>
  <si>
    <t>AG18-CT12</t>
  </si>
  <si>
    <t>AG18-CT15</t>
  </si>
  <si>
    <t>AG18-CT18</t>
  </si>
  <si>
    <t>AG18-prestation carburant CT12</t>
  </si>
  <si>
    <t>AG18-prestation carburant CT15/18</t>
  </si>
  <si>
    <t>AG18-ELE450</t>
  </si>
  <si>
    <t>AG18-ELE600</t>
  </si>
  <si>
    <t>AG18-ELE80L</t>
  </si>
  <si>
    <t>AG18-ELE800</t>
  </si>
  <si>
    <t>AG18-ELE100</t>
  </si>
  <si>
    <t>AG18-T10E</t>
  </si>
  <si>
    <t>AG18-TRONHF</t>
  </si>
  <si>
    <t>AG18-TROHYD</t>
  </si>
  <si>
    <t xml:space="preserve">AG18-FORVID </t>
  </si>
  <si>
    <t>AG18-FOR18H</t>
  </si>
  <si>
    <t>AG18-FORDIA</t>
  </si>
  <si>
    <t xml:space="preserve">AG18-FOR440 </t>
  </si>
  <si>
    <t xml:space="preserve">AG18-PER08H </t>
  </si>
  <si>
    <t xml:space="preserve">AG18-PER18H </t>
  </si>
  <si>
    <t xml:space="preserve">AG18-TROMAT </t>
  </si>
  <si>
    <t>AG18-520201 &amp; 520202 TT</t>
  </si>
  <si>
    <t>Ajout de la catégorie divers pour les locations avec formules spécifiques.</t>
  </si>
  <si>
    <t>Référence</t>
  </si>
  <si>
    <t>Quantité</t>
  </si>
  <si>
    <t>Résultat</t>
  </si>
  <si>
    <t>R90180</t>
  </si>
  <si>
    <t>Hauteur</t>
  </si>
  <si>
    <t>Té</t>
  </si>
  <si>
    <t>Base de calcul</t>
  </si>
  <si>
    <t>Vanne BS</t>
  </si>
  <si>
    <t>Vanne FF</t>
  </si>
  <si>
    <t>Inox soudé</t>
  </si>
  <si>
    <t>Console</t>
  </si>
  <si>
    <t>Distance en m entre colliers</t>
  </si>
  <si>
    <t>Nombre de barre -1-0,8*Nbr Té + Coude + Vanne  + Ajout</t>
  </si>
  <si>
    <t>LEG001908</t>
  </si>
  <si>
    <t>SEP1250ST</t>
  </si>
  <si>
    <t>Manchon Mixte M</t>
  </si>
  <si>
    <t>Ajout de la gestion des listes de pièces par poste sur la base d'un catalogue a définir.</t>
  </si>
  <si>
    <t>Debut d'un calcul de temps automatique sur la base des infos partagées par Eric.</t>
  </si>
  <si>
    <t>LEG404926</t>
  </si>
  <si>
    <t>LEG001961</t>
  </si>
  <si>
    <t>LEG411610</t>
  </si>
  <si>
    <t>2 brides par vanne</t>
  </si>
  <si>
    <t>Manchon mixte</t>
  </si>
  <si>
    <t>Longueur</t>
  </si>
  <si>
    <t>Diamètre</t>
  </si>
  <si>
    <t>Diamètre Descente</t>
  </si>
  <si>
    <t>3/Descente pour 15 et 18 et 2/descente 22+</t>
  </si>
  <si>
    <t>vanne</t>
  </si>
  <si>
    <t>2 par vanne</t>
  </si>
  <si>
    <t>Ecrou console</t>
  </si>
  <si>
    <t>Cheville</t>
  </si>
  <si>
    <t>Nbr d'heure</t>
  </si>
  <si>
    <t>Nb Jour travaillé</t>
  </si>
  <si>
    <t>1 nuit entre 2 jours avec 4 nuits par semaines</t>
  </si>
  <si>
    <t>Heure/j max</t>
  </si>
  <si>
    <t>1 repas par jour + 1 repas par nuit</t>
  </si>
  <si>
    <t>A/R : 250km et/ou 3h =&gt; découchage "obligatoire"</t>
  </si>
  <si>
    <t>Tirefond</t>
  </si>
  <si>
    <t>Ajout de liste sans poste ou sans référence mieux gérés, erreur descriptive</t>
  </si>
  <si>
    <t>VP80OT-EPDM</t>
  </si>
  <si>
    <t>Ajout de références, 3668 lignes</t>
  </si>
  <si>
    <t>Quoi</t>
  </si>
  <si>
    <t>Index Ligne Equiv</t>
  </si>
  <si>
    <t>Commentaire Calcul</t>
  </si>
  <si>
    <t>Linéaire avec fixation</t>
  </si>
  <si>
    <t>Dénomination</t>
  </si>
  <si>
    <t>Collier ISO</t>
  </si>
  <si>
    <t>Nombre de collier</t>
  </si>
  <si>
    <t>2x Nb collier</t>
  </si>
  <si>
    <t>Temps</t>
  </si>
  <si>
    <t>Temps de pose (h), arrondi inclus</t>
  </si>
  <si>
    <t>Forme Réseau</t>
  </si>
  <si>
    <t>Vanne Pap</t>
  </si>
  <si>
    <t>16 par vannes DN80-125</t>
  </si>
  <si>
    <t>Vanne VP-OT</t>
  </si>
  <si>
    <t>Ecrou Rail L35</t>
  </si>
  <si>
    <t>Inox Serti</t>
  </si>
  <si>
    <t>DN10 - Soudé</t>
  </si>
  <si>
    <t>DN15 - Soudé</t>
  </si>
  <si>
    <t>DN20 - Soudé</t>
  </si>
  <si>
    <t>DN25 - Soudé</t>
  </si>
  <si>
    <t>DN32 - Soudé</t>
  </si>
  <si>
    <t>DN40 - Soudé</t>
  </si>
  <si>
    <t>DN50 - Soudé</t>
  </si>
  <si>
    <t>DN65 - Soudé</t>
  </si>
  <si>
    <t>DN80 - Soudé</t>
  </si>
  <si>
    <t>DN100 - Soudé</t>
  </si>
  <si>
    <t>DN125 - Soudé</t>
  </si>
  <si>
    <t>DN150 - Soudé</t>
  </si>
  <si>
    <t>DN200 - Soudé</t>
  </si>
  <si>
    <t>Descente</t>
  </si>
  <si>
    <t>Diam</t>
  </si>
  <si>
    <t>Réseau Principal</t>
  </si>
  <si>
    <t>Découchage ?</t>
  </si>
  <si>
    <t>HNT Total</t>
  </si>
  <si>
    <t>Voir HNT</t>
  </si>
  <si>
    <t>Arrondi à la barre supérieure si supérieur, 2 descentes sur 1 barre si la descente fait moins de 3m</t>
  </si>
  <si>
    <t>Heures Total Brut</t>
  </si>
  <si>
    <t>Voir FR</t>
  </si>
  <si>
    <t>Voir FH</t>
  </si>
  <si>
    <t>Voir KMVA</t>
  </si>
  <si>
    <t>Erreur</t>
  </si>
  <si>
    <t>Vigie</t>
  </si>
  <si>
    <t>Vrai / Faux</t>
  </si>
  <si>
    <t>Temps Descente</t>
  </si>
  <si>
    <t>MO - Calcul
Réseau + Descente</t>
  </si>
  <si>
    <t>MO
Réseau</t>
  </si>
  <si>
    <t>Calculateur - Budget Réseau</t>
  </si>
  <si>
    <t>Validation de la calculette réseau avec EF</t>
  </si>
  <si>
    <t>Lg / descente (+déport)</t>
  </si>
  <si>
    <t>HNT voir détail</t>
  </si>
  <si>
    <t>Coude 45</t>
  </si>
  <si>
    <t>Descentes 1</t>
  </si>
  <si>
    <t>Descentes 2</t>
  </si>
  <si>
    <t>MO
Descentes 
1 et 2</t>
  </si>
  <si>
    <t>Centrale</t>
  </si>
  <si>
    <t>Quantité Tube</t>
  </si>
  <si>
    <t>Bouchon de console</t>
  </si>
  <si>
    <t>Vanne BS MF</t>
  </si>
  <si>
    <t>Vanne BS FF</t>
  </si>
  <si>
    <t>Manchon Mixte Male - Taille Naturelle</t>
  </si>
  <si>
    <t>Vanne BS FF Inox</t>
  </si>
  <si>
    <t>Vanne BS MF Inox</t>
  </si>
  <si>
    <t>VBP3MF</t>
  </si>
  <si>
    <t>R221538</t>
  </si>
  <si>
    <t>G sans "</t>
  </si>
  <si>
    <t>Courbe 1G MF</t>
  </si>
  <si>
    <t>Courbe 2G FF</t>
  </si>
  <si>
    <t>Coude 90G FF</t>
  </si>
  <si>
    <t>Coude 92G MF</t>
  </si>
  <si>
    <t>Coude Union 96 FF</t>
  </si>
  <si>
    <t>Coude Union 98 MF</t>
  </si>
  <si>
    <t>Y 220</t>
  </si>
  <si>
    <t>Manchon 270</t>
  </si>
  <si>
    <t>Mamelon 280</t>
  </si>
  <si>
    <t>Bouchon F 300</t>
  </si>
  <si>
    <t>Bouchon M 290</t>
  </si>
  <si>
    <t>Union FF 340</t>
  </si>
  <si>
    <t>Union MF 341</t>
  </si>
  <si>
    <t>Réduction 241G 2" vers DN</t>
  </si>
  <si>
    <t>Flexible 1m</t>
  </si>
  <si>
    <t>241G238</t>
  </si>
  <si>
    <t>Coude union / MF</t>
  </si>
  <si>
    <t>Manchon Court</t>
  </si>
  <si>
    <t>Bouchon Console</t>
  </si>
  <si>
    <t>Coude 45 FF</t>
  </si>
  <si>
    <t>Coude 45 MF</t>
  </si>
  <si>
    <t>Manchon Mixte Femelle - Taille Naturelle</t>
  </si>
  <si>
    <t>Dilato</t>
  </si>
  <si>
    <t>Joint Klingerit</t>
  </si>
  <si>
    <t>Union à Sertir Male</t>
  </si>
  <si>
    <t>Condensat</t>
  </si>
  <si>
    <t>Manchon mixte Femelle - condensat</t>
  </si>
  <si>
    <t>900-245</t>
  </si>
  <si>
    <t>Tetine</t>
  </si>
  <si>
    <t>Trico</t>
  </si>
  <si>
    <t>Collier à Vis</t>
  </si>
  <si>
    <t>Numéro</t>
  </si>
  <si>
    <t>Catégorie</t>
  </si>
  <si>
    <t>Taille</t>
  </si>
  <si>
    <t>Serti</t>
  </si>
  <si>
    <t>Acc.</t>
  </si>
  <si>
    <t>Vissé</t>
  </si>
  <si>
    <t>Bouton pour sauvegarder la feuille dans une nouvelle feuille</t>
  </si>
  <si>
    <t>RV-VP200OT</t>
  </si>
  <si>
    <t>FTI080-C</t>
  </si>
  <si>
    <t>VEQA7500-Prise</t>
  </si>
  <si>
    <t>Ajout de la base prix avec les info de NS 17/12/22</t>
  </si>
  <si>
    <t>6008.21</t>
  </si>
  <si>
    <t>6008.22</t>
  </si>
  <si>
    <t>6007.23</t>
  </si>
  <si>
    <t>Compresseur_Radiateur hors gel industriel acier 1000 W 230V  lg 665 *90*150 avec thermostat</t>
  </si>
  <si>
    <t>Compresseur_Radiateur hors gel industriel acier 1500 W 400V  lg 520 *165*200 avec thermostat</t>
  </si>
  <si>
    <t>Compresseur_Radiateur hors gel industriel acier 2000 W 400V  lg 595 *165*200 avec thermostat</t>
  </si>
  <si>
    <t>530I112-150</t>
  </si>
  <si>
    <t>530I2</t>
  </si>
  <si>
    <t>530I2-150</t>
  </si>
  <si>
    <t>Mise en forme, correction macro et correction base prix avec ajout d'article Base Article Générale 3737 lignes - Base prix 2653 lignes</t>
  </si>
  <si>
    <t>RV-VP150OT</t>
  </si>
  <si>
    <t>RAC-VP200OT</t>
  </si>
  <si>
    <t>Forcer découchage</t>
  </si>
  <si>
    <t>LEG004280</t>
  </si>
  <si>
    <t>VASEXP8L-4B</t>
  </si>
  <si>
    <t>DILATODN80-EPDM DILATODN8</t>
  </si>
  <si>
    <t>Console 500</t>
  </si>
  <si>
    <t>Arrondi à la barre supérieure si supérieur à 6m ou 2 descentes sur 1 barre si la descente fait moins de 3m</t>
  </si>
  <si>
    <t>Hr diverse supplémentaires</t>
  </si>
  <si>
    <t>Distance Aller Simple (km)</t>
  </si>
  <si>
    <t>Temps de route Aller Simple (h)</t>
  </si>
  <si>
    <t>Nacelle définie par la hauteur de travail</t>
  </si>
  <si>
    <t>Transport si nacelle</t>
  </si>
  <si>
    <t>DN10 - Serti 15</t>
  </si>
  <si>
    <t>DN20 - Serti 22</t>
  </si>
  <si>
    <t>DN15 - Serti 18</t>
  </si>
  <si>
    <t>DN25 - Serti 28</t>
  </si>
  <si>
    <t>DN32 - Serti 35</t>
  </si>
  <si>
    <t>DN40 - Serti 42</t>
  </si>
  <si>
    <t>DN50 - Serti 54</t>
  </si>
  <si>
    <t>DN65 - Serti 76</t>
  </si>
  <si>
    <t>DN80 - Serti 88</t>
  </si>
  <si>
    <t>DN100 - Serti 108</t>
  </si>
  <si>
    <t>Ajout nacelle sur le calculette réseau, correction de la formule sur les descente (continuer de vérifier). Vérification de l'ensemble de la feuille calculette avec l'équipe.</t>
  </si>
  <si>
    <t>10% de sécurité arrondi à la barre pleine + 1 barres</t>
  </si>
  <si>
    <t>Accessibilité pour passage de tuyauterie correcte</t>
  </si>
  <si>
    <t>Fixation standard sur consoles de fixation</t>
  </si>
  <si>
    <t>Ajout des limitations pour les budget sur la page principale</t>
  </si>
  <si>
    <t>Code</t>
  </si>
  <si>
    <t>PA Net + 10%</t>
  </si>
  <si>
    <t>ATTACHES CABLOFIL CAT30</t>
  </si>
  <si>
    <t>4702</t>
  </si>
  <si>
    <t>MODULE INTERFACE RS485</t>
  </si>
  <si>
    <t>9012</t>
  </si>
  <si>
    <t>LOG SERVEUR WEB</t>
  </si>
  <si>
    <t>CHEVILLE DE 08</t>
  </si>
  <si>
    <t>TIRE FOND M6X40</t>
  </si>
  <si>
    <t>14664</t>
  </si>
  <si>
    <t>MANCHON DE RACC. M 8 LONG. 30</t>
  </si>
  <si>
    <t>GOUJON DE 8 X 80</t>
  </si>
  <si>
    <t>PLATINE U ZINGUEE</t>
  </si>
  <si>
    <t>ECROU CONSOLE 35MM</t>
  </si>
  <si>
    <t>Clipsotube gris RAL7035 pour tube IRL D=20mm</t>
  </si>
  <si>
    <t>Collier Colson noir protégé ultraviolet denture extérieure larg.9mm, long. 185mm</t>
  </si>
  <si>
    <t>Collier Colson noir protégé ultraviolet denture extérieure larg.9mm, long. 262mm</t>
  </si>
  <si>
    <t>Collier Colson noir protégé ultraviolet denture extérieure larg.9mm, long. 357mm</t>
  </si>
  <si>
    <t>Collier Colring incolore denture intérieure largeur 2,4 et longueur à plat 180mm</t>
  </si>
  <si>
    <t>33707</t>
  </si>
  <si>
    <t>BOUCHONS POUR CONSOLE</t>
  </si>
  <si>
    <t>37662</t>
  </si>
  <si>
    <t>Embout de câblage Starfix - pour conducteurs section 0,75mm  - bleu</t>
  </si>
  <si>
    <t>37666</t>
  </si>
  <si>
    <t>Embout de câblage Starfix - pour conducteurs section 2,5mm  - gris</t>
  </si>
  <si>
    <t>Embout de câblage Starfix - pour conducteurs section 10mm  - brun</t>
  </si>
  <si>
    <t>RAIL 38X24 LG 2 METRES</t>
  </si>
  <si>
    <t>CRAPPEAU POUR TIGE  10</t>
  </si>
  <si>
    <t>98021</t>
  </si>
  <si>
    <t>Presse-étoupe plastique filetage PG 9 (x 1)</t>
  </si>
  <si>
    <t>Presse-étoupe plastique filetage PG 13.5 (x 1)</t>
  </si>
  <si>
    <t>Presse-étoupe plastique filetage PG 16 (x 1)</t>
  </si>
  <si>
    <t>Presse-étoupe plastique filetage PG 21 (x 1)</t>
  </si>
  <si>
    <t>115166</t>
  </si>
  <si>
    <t>DOUBLE ECROU MPC M8 X40MM</t>
  </si>
  <si>
    <t>ECLISSE RAPIDE EDRN</t>
  </si>
  <si>
    <t>340I112L</t>
  </si>
  <si>
    <t>UNION FEMELLE LISSE A SOUDER INOX 1"1/2</t>
  </si>
  <si>
    <t>F0375F</t>
  </si>
  <si>
    <t>SECHEUR CD375F 3'G 400/3/50 R407C SMART</t>
  </si>
  <si>
    <t>129790</t>
  </si>
  <si>
    <t>jambe de force 45° pour rail  38/40</t>
  </si>
  <si>
    <t>SEPARATEUR DE CONDENSAT</t>
  </si>
  <si>
    <t>TASI15</t>
  </si>
  <si>
    <t>Té egaux inox 304L DN15</t>
  </si>
  <si>
    <t>SAM4,0-4</t>
  </si>
  <si>
    <t>regulation SAM4,0-4</t>
  </si>
  <si>
    <t>K7,5250,0950</t>
  </si>
  <si>
    <t>K7,7628,1</t>
  </si>
  <si>
    <t>K7,5250,1870</t>
  </si>
  <si>
    <t>K9,5022,0</t>
  </si>
  <si>
    <t>programmation sd carte mis à jour Software 4,0,1</t>
  </si>
  <si>
    <t>K7,9681,2</t>
  </si>
  <si>
    <t>CV1422</t>
  </si>
  <si>
    <t>14 22</t>
  </si>
  <si>
    <t>M8 pour rail 38/24</t>
  </si>
  <si>
    <t>Beko31</t>
  </si>
  <si>
    <t>50.058.2901</t>
  </si>
  <si>
    <t>50.058.4901</t>
  </si>
  <si>
    <t>50.058.6901</t>
  </si>
  <si>
    <t>50.058.8901</t>
  </si>
  <si>
    <t>R72G-2GK-RMN</t>
  </si>
  <si>
    <t>HS125</t>
  </si>
  <si>
    <t>HS150</t>
  </si>
  <si>
    <t>HS200</t>
  </si>
  <si>
    <t>22934</t>
  </si>
  <si>
    <t>98022</t>
  </si>
  <si>
    <t>35262</t>
  </si>
  <si>
    <t>1626004</t>
  </si>
  <si>
    <t>080341</t>
  </si>
  <si>
    <t>13150</t>
  </si>
  <si>
    <t>THM16X45</t>
  </si>
  <si>
    <t>31903</t>
  </si>
  <si>
    <t>31906</t>
  </si>
  <si>
    <t>31882</t>
  </si>
  <si>
    <t>20192</t>
  </si>
  <si>
    <t>32948</t>
  </si>
  <si>
    <t>28878</t>
  </si>
  <si>
    <t>241I112</t>
  </si>
  <si>
    <t>PUHT</t>
  </si>
  <si>
    <t>Total Réseau</t>
  </si>
  <si>
    <t>Total Descentes 1 et 2</t>
  </si>
  <si>
    <t>Total Général</t>
  </si>
  <si>
    <t>Marge</t>
  </si>
  <si>
    <t>Pour tout budget et sauf indications contraires :</t>
  </si>
  <si>
    <t>Budget</t>
  </si>
  <si>
    <t>PIR ou au sol (H ≤4m)</t>
  </si>
  <si>
    <t>Nacelle (4,5m&lt;H&lt;8m)</t>
  </si>
  <si>
    <t>Nacelle (H≥ 8m)</t>
  </si>
  <si>
    <t>Attention aux limites de prestations qui sont budgetées.</t>
  </si>
  <si>
    <t>Ce budget reste soumis au passage d'un technicien sur place pour en valider la faisabilité et affiner le budget.</t>
  </si>
  <si>
    <t>Erreur 1</t>
  </si>
  <si>
    <t>Erreur 2</t>
  </si>
  <si>
    <t>Erreur 3</t>
  </si>
  <si>
    <t>Erreur 4</t>
  </si>
  <si>
    <t>Erreur 5</t>
  </si>
  <si>
    <t>Erreur 6</t>
  </si>
  <si>
    <t>Erreur 7</t>
  </si>
  <si>
    <t>Erreur 8</t>
  </si>
  <si>
    <t>Erreur 9</t>
  </si>
  <si>
    <t>Erreur 10</t>
  </si>
  <si>
    <t>Erreur 11</t>
  </si>
  <si>
    <t>Erreur 12</t>
  </si>
  <si>
    <t>Erreur 13</t>
  </si>
  <si>
    <t>Erreur 14</t>
  </si>
  <si>
    <t>Erreur 15</t>
  </si>
  <si>
    <t>Erreur 16</t>
  </si>
  <si>
    <t>Erreur 17</t>
  </si>
  <si>
    <t>Erreur 18</t>
  </si>
  <si>
    <t>Erreur 19</t>
  </si>
  <si>
    <t>Erreur 20</t>
  </si>
  <si>
    <t>Erreur 21</t>
  </si>
  <si>
    <t>Erreur 22</t>
  </si>
  <si>
    <t>Erreur 23</t>
  </si>
  <si>
    <t>Erreur 24</t>
  </si>
  <si>
    <t>Erreur 25</t>
  </si>
  <si>
    <t>Erreur 26</t>
  </si>
  <si>
    <t>Erreur 27</t>
  </si>
  <si>
    <t>Erreur 28</t>
  </si>
  <si>
    <t>Erreur 29</t>
  </si>
  <si>
    <t>Erreur 30</t>
  </si>
  <si>
    <t>Erreur 31</t>
  </si>
  <si>
    <t>Erreur 32</t>
  </si>
  <si>
    <t>Erreur 33</t>
  </si>
  <si>
    <t>Erreur 34</t>
  </si>
  <si>
    <t>Erreur 35</t>
  </si>
  <si>
    <t>Erreur 36</t>
  </si>
  <si>
    <t>Erreur 37</t>
  </si>
  <si>
    <t>Erreur 38</t>
  </si>
  <si>
    <t>Erreur 39</t>
  </si>
  <si>
    <t>Erreur 40</t>
  </si>
  <si>
    <t>Erreur 41</t>
  </si>
  <si>
    <t>Erreur 42</t>
  </si>
  <si>
    <t>Erreur 43</t>
  </si>
  <si>
    <t>Erreur 44</t>
  </si>
  <si>
    <t>Erreur 45</t>
  </si>
  <si>
    <t>Erreur 46</t>
  </si>
  <si>
    <t>Erreur 47</t>
  </si>
  <si>
    <t>Erreur 49</t>
  </si>
  <si>
    <t>Erreur 48</t>
  </si>
  <si>
    <t>Erreur 50</t>
  </si>
  <si>
    <t>Erreur 52</t>
  </si>
  <si>
    <t>Erreur 51</t>
  </si>
  <si>
    <t>Erreur 53</t>
  </si>
  <si>
    <t>Tuyauterie en INOX 304 serti (Marque RIM ou équivalent)</t>
  </si>
  <si>
    <t>Installation de réseau en journées ouvrés consécutives (pas d’intervention le samedi, le dimanche ou de nuits)</t>
  </si>
  <si>
    <t>Calcul de la taille de tuyauterie</t>
  </si>
  <si>
    <t>Diamétre intérieur de la conduite (mm)</t>
  </si>
  <si>
    <t>Perte de pression sur la ligne admissible (b)</t>
  </si>
  <si>
    <t>Longueur de la tuyauterie totale (m)</t>
  </si>
  <si>
    <t>Débit (m3/h)</t>
  </si>
  <si>
    <t>Pression maxi absolue (b)</t>
  </si>
  <si>
    <t>Taille de tuyauterie sertie conseillée</t>
  </si>
  <si>
    <t>Dimension tube</t>
  </si>
  <si>
    <t>Epaisseur</t>
  </si>
  <si>
    <t>D int</t>
  </si>
  <si>
    <t>Diam ext</t>
  </si>
  <si>
    <t>Volume L/m</t>
  </si>
  <si>
    <t>Poids (kg/m)</t>
  </si>
  <si>
    <t>Réserve dispo (m3/h) - A faire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</si>
</sst>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 #,##0.00\ &quot;€&quot;_-;\-* #,##0.00\ &quot;€&quot;_-;_-* &quot;-&quot;??\ &quot;€&quot;_-;_-@_-"/>
    <numFmt numFmtId="164" formatCode="_-* #,##0.00\ &quot;F&quot;_-;\-* #,##0.00\ &quot;F&quot;_-;_-* &quot;-&quot;??\ &quot;F&quot;_-;_-@_-"/>
    <numFmt numFmtId="165" formatCode="_-* #,##0.00\ [$€]_-;\-* #,##0.00\ [$€]_-;_-* &quot;-&quot;??\ [$€]_-;_-@_-"/>
    <numFmt numFmtId="166" formatCode="_-* #,##0.00\ [$€-40C]_-;\-* #,##0.00\ [$€-40C]_-;_-* &quot;-&quot;??\ [$€-40C]_-;_-@_-"/>
    <numFmt numFmtId="167" formatCode="General&quot;   &quot;"/>
    <numFmt numFmtId="168" formatCode="0.0&quot;m/h&quot;"/>
    <numFmt numFmtId="169" formatCode="0.0"/>
  </numFmts>
  <fonts count="10" x14ac:knownFonts="1">
    <font>
      <sz val="10"/>
      <name val="Arial"/>
    </font>
    <font>
      <sz val="10"/>
      <name val="Arial"/>
      <family val="2"/>
    </font>
    <font>
      <sz val="8"/>
      <name val="Arial"/>
      <family val="2"/>
    </font>
    <font>
      <sz val="11"/>
      <color theme="1"/>
      <name val="Arial"/>
      <family val="2"/>
    </font>
    <font>
      <sz val="10"/>
      <color theme="1"/>
      <name val="Arial"/>
      <family val="2"/>
    </font>
    <font>
      <sz val="18"/>
      <color theme="1"/>
      <name val="Calibri"/>
      <family val="2"/>
      <scheme val="minor"/>
    </font>
    <font>
      <sz val="11"/>
      <color theme="1"/>
      <name val="Calibri"/>
      <family val="2"/>
    </font>
    <font>
      <b/>
      <sz val="22"/>
      <name val="Arial"/>
      <family val="2"/>
    </font>
    <font>
      <b/>
      <sz val="16"/>
      <name val="Arial"/>
      <family val="2"/>
    </font>
    <font>
      <sz val="9"/>
      <name val="Arial"/>
      <family val="2"/>
    </font>
  </fonts>
  <fills count="15">
    <fill>
      <patternFill patternType="none"/>
    </fill>
    <fill>
      <patternFill patternType="gray125"/>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rgb="FFFFC000"/>
        <bgColor indexed="64"/>
      </patternFill>
    </fill>
    <fill>
      <patternFill patternType="solid">
        <fgColor theme="0" tint="-0.14999847407452621"/>
        <bgColor indexed="64"/>
      </patternFill>
    </fill>
    <fill>
      <patternFill patternType="solid">
        <fgColor rgb="FFFFFF0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rgb="FFFF0000"/>
        <bgColor indexed="64"/>
      </patternFill>
    </fill>
    <fill>
      <patternFill patternType="solid">
        <fgColor theme="4" tint="0.79998168889431442"/>
        <bgColor indexed="64"/>
      </patternFill>
    </fill>
  </fills>
  <borders count="51">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theme="0"/>
      </left>
      <right style="thin">
        <color theme="0"/>
      </right>
      <top style="thin">
        <color theme="0"/>
      </top>
      <bottom style="thin">
        <color theme="0"/>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s>
  <cellStyleXfs count="6">
    <xf numFmtId="0" fontId="0" fillId="0" borderId="0"/>
    <xf numFmtId="165" fontId="1" fillId="0" borderId="0" applyFont="0" applyFill="0" applyBorder="0" applyAlignment="0" applyProtection="0"/>
    <xf numFmtId="164" fontId="1" fillId="0" borderId="0" applyFont="0" applyFill="0" applyBorder="0" applyAlignment="0" applyProtection="0"/>
    <xf numFmtId="0" fontId="1" fillId="0" borderId="0"/>
    <xf numFmtId="44" fontId="1" fillId="0" borderId="0" applyFont="0" applyFill="0" applyBorder="0" applyAlignment="0" applyProtection="0"/>
    <xf numFmtId="44" fontId="1" fillId="0" borderId="0" applyFont="0" applyFill="0" applyBorder="0" applyAlignment="0" applyProtection="0"/>
  </cellStyleXfs>
  <cellXfs count="172">
    <xf numFmtId="0" fontId="0" fillId="0" borderId="0" xfId="0"/>
    <xf numFmtId="0" fontId="1" fillId="0" borderId="0" xfId="0" applyFont="1"/>
    <xf numFmtId="14" fontId="0" fillId="0" borderId="0" xfId="0" applyNumberFormat="1"/>
    <xf numFmtId="0" fontId="1" fillId="0" borderId="0" xfId="0" applyFont="1" applyAlignment="1">
      <alignment wrapText="1"/>
    </xf>
    <xf numFmtId="0" fontId="0" fillId="0" borderId="0" xfId="0" applyAlignment="1">
      <alignment horizontal="center"/>
    </xf>
    <xf numFmtId="0" fontId="1" fillId="0" borderId="0" xfId="0" applyFont="1" applyAlignment="1">
      <alignment horizontal="center"/>
    </xf>
    <xf numFmtId="0" fontId="1" fillId="0" borderId="0" xfId="3"/>
    <xf numFmtId="0" fontId="1" fillId="0" borderId="23" xfId="3" applyBorder="1"/>
    <xf numFmtId="0" fontId="1" fillId="0" borderId="26" xfId="3" applyBorder="1"/>
    <xf numFmtId="0" fontId="1" fillId="0" borderId="34" xfId="3" applyBorder="1"/>
    <xf numFmtId="0" fontId="1" fillId="0" borderId="11" xfId="3" applyBorder="1"/>
    <xf numFmtId="0" fontId="1" fillId="0" borderId="12" xfId="3" applyBorder="1"/>
    <xf numFmtId="0" fontId="1" fillId="0" borderId="17" xfId="3" applyBorder="1"/>
    <xf numFmtId="0" fontId="1" fillId="0" borderId="1" xfId="3" applyBorder="1"/>
    <xf numFmtId="0" fontId="1" fillId="0" borderId="2" xfId="3" applyBorder="1"/>
    <xf numFmtId="0" fontId="1" fillId="0" borderId="15" xfId="3" applyBorder="1"/>
    <xf numFmtId="0" fontId="1" fillId="0" borderId="21" xfId="3" applyBorder="1"/>
    <xf numFmtId="0" fontId="1" fillId="0" borderId="14" xfId="3" applyBorder="1"/>
    <xf numFmtId="0" fontId="1" fillId="0" borderId="16" xfId="3" applyBorder="1"/>
    <xf numFmtId="0" fontId="1" fillId="0" borderId="18" xfId="3" applyBorder="1"/>
    <xf numFmtId="0" fontId="1" fillId="0" borderId="20" xfId="3" applyBorder="1"/>
    <xf numFmtId="0" fontId="1" fillId="0" borderId="9" xfId="3" applyBorder="1"/>
    <xf numFmtId="0" fontId="1" fillId="0" borderId="10" xfId="3" applyBorder="1"/>
    <xf numFmtId="0" fontId="1" fillId="0" borderId="36" xfId="3" applyBorder="1"/>
    <xf numFmtId="0" fontId="1" fillId="0" borderId="8" xfId="3" applyBorder="1" applyAlignment="1">
      <alignment horizontal="left"/>
    </xf>
    <xf numFmtId="0" fontId="1" fillId="0" borderId="8" xfId="3" applyBorder="1" applyAlignment="1">
      <alignment horizontal="center"/>
    </xf>
    <xf numFmtId="0" fontId="1" fillId="6" borderId="12" xfId="3" applyFill="1" applyBorder="1"/>
    <xf numFmtId="167" fontId="1" fillId="0" borderId="3" xfId="3" applyNumberFormat="1" applyBorder="1" applyAlignment="1">
      <alignment horizontal="left"/>
    </xf>
    <xf numFmtId="0" fontId="1" fillId="0" borderId="3" xfId="3" applyBorder="1" applyAlignment="1">
      <alignment horizontal="center"/>
    </xf>
    <xf numFmtId="0" fontId="1" fillId="6" borderId="1" xfId="3" applyFill="1" applyBorder="1"/>
    <xf numFmtId="0" fontId="1" fillId="0" borderId="13" xfId="3" applyBorder="1"/>
    <xf numFmtId="0" fontId="1" fillId="0" borderId="3" xfId="3" applyBorder="1" applyAlignment="1">
      <alignment horizontal="left"/>
    </xf>
    <xf numFmtId="0" fontId="1" fillId="0" borderId="33" xfId="3" applyBorder="1" applyAlignment="1">
      <alignment horizontal="left"/>
    </xf>
    <xf numFmtId="0" fontId="1" fillId="0" borderId="33" xfId="3" applyBorder="1" applyAlignment="1">
      <alignment horizontal="center"/>
    </xf>
    <xf numFmtId="0" fontId="1" fillId="0" borderId="32" xfId="3" applyBorder="1" applyAlignment="1">
      <alignment horizontal="left"/>
    </xf>
    <xf numFmtId="0" fontId="1" fillId="0" borderId="19" xfId="3" applyBorder="1"/>
    <xf numFmtId="0" fontId="1" fillId="0" borderId="4" xfId="3" applyBorder="1"/>
    <xf numFmtId="0" fontId="1" fillId="0" borderId="5" xfId="3" applyBorder="1"/>
    <xf numFmtId="0" fontId="1" fillId="0" borderId="22" xfId="3" applyBorder="1" applyAlignment="1">
      <alignment horizontal="left"/>
    </xf>
    <xf numFmtId="0" fontId="1" fillId="0" borderId="28" xfId="3" applyBorder="1" applyAlignment="1">
      <alignment horizontal="left"/>
    </xf>
    <xf numFmtId="0" fontId="1" fillId="0" borderId="0" xfId="3" applyAlignment="1">
      <alignment horizontal="center"/>
    </xf>
    <xf numFmtId="167" fontId="1" fillId="0" borderId="0" xfId="3" applyNumberFormat="1" applyAlignment="1">
      <alignment horizontal="center"/>
    </xf>
    <xf numFmtId="168" fontId="1" fillId="0" borderId="0" xfId="3" applyNumberFormat="1"/>
    <xf numFmtId="168" fontId="6" fillId="0" borderId="0" xfId="3" applyNumberFormat="1" applyFont="1"/>
    <xf numFmtId="0" fontId="1" fillId="6" borderId="20" xfId="3" applyFill="1" applyBorder="1"/>
    <xf numFmtId="0" fontId="1" fillId="6" borderId="15" xfId="3" applyFill="1" applyBorder="1"/>
    <xf numFmtId="0" fontId="1" fillId="6" borderId="18" xfId="3" applyFill="1" applyBorder="1"/>
    <xf numFmtId="0" fontId="4" fillId="3" borderId="37" xfId="3" applyFont="1" applyFill="1" applyBorder="1"/>
    <xf numFmtId="0" fontId="4" fillId="2" borderId="37" xfId="3" applyFont="1" applyFill="1" applyBorder="1"/>
    <xf numFmtId="49" fontId="3" fillId="2" borderId="37" xfId="0" applyNumberFormat="1" applyFont="1" applyFill="1" applyBorder="1" applyAlignment="1">
      <alignment horizontal="center"/>
    </xf>
    <xf numFmtId="0" fontId="1" fillId="0" borderId="40" xfId="3" applyBorder="1" applyAlignment="1">
      <alignment horizontal="center"/>
    </xf>
    <xf numFmtId="0" fontId="1" fillId="0" borderId="42" xfId="3" applyBorder="1" applyAlignment="1">
      <alignment horizontal="center"/>
    </xf>
    <xf numFmtId="0" fontId="1" fillId="0" borderId="43" xfId="3" applyBorder="1" applyAlignment="1">
      <alignment horizontal="center"/>
    </xf>
    <xf numFmtId="0" fontId="1" fillId="0" borderId="44" xfId="3" applyBorder="1" applyAlignment="1">
      <alignment horizontal="left"/>
    </xf>
    <xf numFmtId="167" fontId="1" fillId="0" borderId="6" xfId="3" applyNumberFormat="1" applyBorder="1" applyAlignment="1">
      <alignment horizontal="left"/>
    </xf>
    <xf numFmtId="0" fontId="1" fillId="0" borderId="6" xfId="3" applyBorder="1" applyAlignment="1">
      <alignment horizontal="left"/>
    </xf>
    <xf numFmtId="0" fontId="1" fillId="0" borderId="7" xfId="3" applyBorder="1" applyAlignment="1">
      <alignment horizontal="left"/>
    </xf>
    <xf numFmtId="0" fontId="1" fillId="0" borderId="17" xfId="3" applyBorder="1" applyAlignment="1" applyProtection="1">
      <alignment horizontal="center"/>
      <protection locked="0"/>
    </xf>
    <xf numFmtId="0" fontId="1" fillId="0" borderId="2" xfId="3" applyBorder="1" applyAlignment="1" applyProtection="1">
      <alignment horizontal="center"/>
      <protection locked="0"/>
    </xf>
    <xf numFmtId="0" fontId="1" fillId="0" borderId="36" xfId="3" applyBorder="1" applyProtection="1">
      <protection locked="0"/>
    </xf>
    <xf numFmtId="0" fontId="1" fillId="0" borderId="7" xfId="3" applyBorder="1" applyAlignment="1" applyProtection="1">
      <alignment horizontal="center"/>
      <protection locked="0"/>
    </xf>
    <xf numFmtId="2" fontId="1" fillId="0" borderId="2" xfId="3" applyNumberFormat="1" applyBorder="1" applyAlignment="1" applyProtection="1">
      <alignment horizontal="center"/>
      <protection locked="0"/>
    </xf>
    <xf numFmtId="0" fontId="1" fillId="0" borderId="2" xfId="3" applyBorder="1" applyProtection="1">
      <protection locked="0"/>
    </xf>
    <xf numFmtId="0" fontId="1" fillId="0" borderId="21" xfId="3" applyBorder="1" applyProtection="1">
      <protection locked="0"/>
    </xf>
    <xf numFmtId="0" fontId="1" fillId="0" borderId="24" xfId="3" applyBorder="1"/>
    <xf numFmtId="166" fontId="1" fillId="9" borderId="24" xfId="2" applyNumberFormat="1" applyFill="1" applyBorder="1" applyProtection="1"/>
    <xf numFmtId="166" fontId="1" fillId="9" borderId="0" xfId="2" applyNumberFormat="1" applyFill="1" applyProtection="1"/>
    <xf numFmtId="166" fontId="1" fillId="9" borderId="30" xfId="2" applyNumberFormat="1" applyFill="1" applyBorder="1" applyProtection="1"/>
    <xf numFmtId="166" fontId="1" fillId="5" borderId="0" xfId="2" applyNumberFormat="1" applyFill="1" applyProtection="1"/>
    <xf numFmtId="0" fontId="1" fillId="0" borderId="48" xfId="3" applyBorder="1" applyAlignment="1">
      <alignment horizontal="left"/>
    </xf>
    <xf numFmtId="167" fontId="1" fillId="0" borderId="49" xfId="3" applyNumberFormat="1" applyBorder="1" applyAlignment="1">
      <alignment horizontal="left"/>
    </xf>
    <xf numFmtId="0" fontId="1" fillId="0" borderId="49" xfId="3" applyBorder="1" applyAlignment="1">
      <alignment horizontal="left"/>
    </xf>
    <xf numFmtId="0" fontId="1" fillId="0" borderId="50" xfId="3" applyBorder="1" applyAlignment="1">
      <alignment horizontal="left"/>
    </xf>
    <xf numFmtId="0" fontId="7" fillId="11" borderId="0" xfId="3" applyFont="1" applyFill="1" applyAlignment="1">
      <alignment horizontal="center" vertical="center"/>
    </xf>
    <xf numFmtId="0" fontId="7" fillId="11" borderId="30" xfId="3" applyFont="1" applyFill="1" applyBorder="1" applyAlignment="1">
      <alignment horizontal="center" vertical="center"/>
    </xf>
    <xf numFmtId="0" fontId="7" fillId="11" borderId="31" xfId="3" applyFont="1" applyFill="1" applyBorder="1" applyAlignment="1">
      <alignment horizontal="center" vertical="center"/>
    </xf>
    <xf numFmtId="0" fontId="1" fillId="6" borderId="11" xfId="3" applyFill="1" applyBorder="1"/>
    <xf numFmtId="0" fontId="1" fillId="6" borderId="13" xfId="3" applyFill="1" applyBorder="1"/>
    <xf numFmtId="0" fontId="1" fillId="9" borderId="13" xfId="3" applyFill="1" applyBorder="1"/>
    <xf numFmtId="169" fontId="1" fillId="12" borderId="2" xfId="3" applyNumberFormat="1" applyFill="1" applyBorder="1" applyAlignment="1">
      <alignment horizontal="center"/>
    </xf>
    <xf numFmtId="0" fontId="1" fillId="12" borderId="2" xfId="3" applyFill="1" applyBorder="1" applyAlignment="1">
      <alignment horizontal="center"/>
    </xf>
    <xf numFmtId="0" fontId="1" fillId="9" borderId="14" xfId="3" applyFill="1" applyBorder="1"/>
    <xf numFmtId="0" fontId="1" fillId="12" borderId="21" xfId="3" applyFill="1" applyBorder="1" applyAlignment="1">
      <alignment horizontal="center"/>
    </xf>
    <xf numFmtId="0" fontId="1" fillId="4" borderId="0" xfId="3" applyFill="1"/>
    <xf numFmtId="0" fontId="1" fillId="4" borderId="29" xfId="3" applyFill="1" applyBorder="1"/>
    <xf numFmtId="0" fontId="1" fillId="4" borderId="30" xfId="3" applyFill="1" applyBorder="1"/>
    <xf numFmtId="0" fontId="1" fillId="4" borderId="31" xfId="3" applyFill="1" applyBorder="1"/>
    <xf numFmtId="0" fontId="1" fillId="6" borderId="24" xfId="3" applyFill="1" applyBorder="1"/>
    <xf numFmtId="0" fontId="1" fillId="7" borderId="24" xfId="3" applyFill="1" applyBorder="1"/>
    <xf numFmtId="0" fontId="1" fillId="9" borderId="24" xfId="3" applyFill="1" applyBorder="1"/>
    <xf numFmtId="0" fontId="1" fillId="6" borderId="25" xfId="3" applyFill="1" applyBorder="1"/>
    <xf numFmtId="0" fontId="1" fillId="6" borderId="0" xfId="3" applyFill="1"/>
    <xf numFmtId="0" fontId="1" fillId="7" borderId="0" xfId="3" applyFill="1"/>
    <xf numFmtId="0" fontId="1" fillId="9" borderId="0" xfId="3" applyFill="1"/>
    <xf numFmtId="0" fontId="1" fillId="6" borderId="27" xfId="3" applyFill="1" applyBorder="1"/>
    <xf numFmtId="0" fontId="1" fillId="6" borderId="2" xfId="3" applyFill="1" applyBorder="1" applyAlignment="1">
      <alignment horizontal="center"/>
    </xf>
    <xf numFmtId="0" fontId="1" fillId="6" borderId="21" xfId="3" applyFill="1" applyBorder="1" applyAlignment="1">
      <alignment horizontal="center"/>
    </xf>
    <xf numFmtId="0" fontId="1" fillId="6" borderId="30" xfId="3" applyFill="1" applyBorder="1"/>
    <xf numFmtId="0" fontId="1" fillId="8" borderId="30" xfId="3" applyFill="1" applyBorder="1"/>
    <xf numFmtId="0" fontId="1" fillId="7" borderId="30" xfId="3" applyFill="1" applyBorder="1"/>
    <xf numFmtId="169" fontId="1" fillId="9" borderId="30" xfId="3" applyNumberFormat="1" applyFill="1" applyBorder="1"/>
    <xf numFmtId="0" fontId="1" fillId="6" borderId="31" xfId="3" applyFill="1" applyBorder="1"/>
    <xf numFmtId="0" fontId="1" fillId="11" borderId="16" xfId="3" applyFill="1" applyBorder="1" applyAlignment="1">
      <alignment horizontal="center" vertical="center"/>
    </xf>
    <xf numFmtId="1" fontId="1" fillId="9" borderId="30" xfId="3" applyNumberFormat="1" applyFill="1" applyBorder="1"/>
    <xf numFmtId="0" fontId="1" fillId="10" borderId="30" xfId="3" applyFill="1" applyBorder="1"/>
    <xf numFmtId="0" fontId="1" fillId="6" borderId="10" xfId="3" applyFill="1" applyBorder="1"/>
    <xf numFmtId="0" fontId="1" fillId="11" borderId="20" xfId="3" applyFill="1" applyBorder="1" applyAlignment="1">
      <alignment vertical="center"/>
    </xf>
    <xf numFmtId="0" fontId="1" fillId="6" borderId="6" xfId="3" applyFill="1" applyBorder="1"/>
    <xf numFmtId="0" fontId="1" fillId="6" borderId="7" xfId="3" applyFill="1" applyBorder="1" applyAlignment="1">
      <alignment horizontal="center"/>
    </xf>
    <xf numFmtId="0" fontId="1" fillId="0" borderId="30" xfId="3" applyBorder="1"/>
    <xf numFmtId="0" fontId="1" fillId="9" borderId="30" xfId="3" applyFill="1" applyBorder="1"/>
    <xf numFmtId="1" fontId="1" fillId="9" borderId="24" xfId="3" applyNumberFormat="1" applyFill="1" applyBorder="1"/>
    <xf numFmtId="0" fontId="1" fillId="6" borderId="27" xfId="3" quotePrefix="1" applyFill="1" applyBorder="1"/>
    <xf numFmtId="0" fontId="1" fillId="10" borderId="0" xfId="3" applyFill="1"/>
    <xf numFmtId="0" fontId="1" fillId="11" borderId="41" xfId="3" applyFill="1" applyBorder="1" applyAlignment="1">
      <alignment vertical="center" wrapText="1"/>
    </xf>
    <xf numFmtId="0" fontId="1" fillId="6" borderId="38" xfId="3" applyFill="1" applyBorder="1"/>
    <xf numFmtId="0" fontId="1" fillId="6" borderId="39" xfId="3" applyFill="1" applyBorder="1"/>
    <xf numFmtId="0" fontId="1" fillId="6" borderId="26" xfId="3" applyFill="1" applyBorder="1"/>
    <xf numFmtId="2" fontId="1" fillId="9" borderId="24" xfId="3" applyNumberFormat="1" applyFill="1" applyBorder="1"/>
    <xf numFmtId="2" fontId="1" fillId="9" borderId="30" xfId="3" applyNumberFormat="1" applyFill="1" applyBorder="1"/>
    <xf numFmtId="0" fontId="1" fillId="5" borderId="0" xfId="3" applyFill="1"/>
    <xf numFmtId="0" fontId="1" fillId="13" borderId="0" xfId="3" applyFill="1"/>
    <xf numFmtId="9" fontId="1" fillId="13" borderId="0" xfId="3" applyNumberFormat="1" applyFill="1"/>
    <xf numFmtId="0" fontId="1" fillId="12" borderId="12" xfId="3" applyFill="1" applyBorder="1"/>
    <xf numFmtId="0" fontId="1" fillId="12" borderId="1" xfId="3" applyFill="1" applyBorder="1"/>
    <xf numFmtId="0" fontId="1" fillId="12" borderId="15" xfId="3" applyFill="1" applyBorder="1"/>
    <xf numFmtId="0" fontId="9" fillId="0" borderId="0" xfId="0" applyFont="1" applyAlignment="1">
      <alignment vertical="center"/>
    </xf>
    <xf numFmtId="0" fontId="1" fillId="11" borderId="16" xfId="3" applyFill="1" applyBorder="1" applyAlignment="1">
      <alignment horizontal="center" vertical="center" wrapText="1"/>
    </xf>
    <xf numFmtId="166" fontId="1" fillId="14" borderId="17" xfId="2" applyNumberFormat="1" applyFill="1" applyBorder="1" applyAlignment="1" applyProtection="1">
      <alignment horizontal="right"/>
    </xf>
    <xf numFmtId="166" fontId="1" fillId="14" borderId="2" xfId="2" applyNumberFormat="1" applyFill="1" applyBorder="1" applyAlignment="1" applyProtection="1">
      <alignment horizontal="right"/>
    </xf>
    <xf numFmtId="166" fontId="1" fillId="14" borderId="21" xfId="2" applyNumberFormat="1" applyFill="1" applyBorder="1" applyAlignment="1" applyProtection="1">
      <alignment horizontal="right"/>
    </xf>
    <xf numFmtId="0" fontId="1" fillId="9" borderId="16" xfId="3" applyFill="1" applyBorder="1" applyAlignment="1">
      <alignment horizontal="center" vertical="center"/>
    </xf>
    <xf numFmtId="0" fontId="1" fillId="9" borderId="18" xfId="3" applyFill="1" applyBorder="1" applyAlignment="1">
      <alignment horizontal="center" vertical="center"/>
    </xf>
    <xf numFmtId="0" fontId="1" fillId="9" borderId="20" xfId="3" applyFill="1" applyBorder="1" applyAlignment="1">
      <alignment horizontal="center" vertical="center"/>
    </xf>
    <xf numFmtId="0" fontId="1" fillId="11" borderId="35" xfId="3" applyFill="1" applyBorder="1" applyAlignment="1">
      <alignment horizontal="center" vertical="center" wrapText="1"/>
    </xf>
    <xf numFmtId="0" fontId="1" fillId="11" borderId="40" xfId="3" applyFill="1" applyBorder="1" applyAlignment="1">
      <alignment horizontal="center" vertical="center" wrapText="1"/>
    </xf>
    <xf numFmtId="0" fontId="1" fillId="11" borderId="41" xfId="3" applyFill="1" applyBorder="1" applyAlignment="1">
      <alignment horizontal="center" vertical="center" wrapText="1"/>
    </xf>
    <xf numFmtId="0" fontId="1" fillId="5" borderId="0" xfId="3" applyFill="1" applyAlignment="1">
      <alignment horizontal="center" vertical="center"/>
    </xf>
    <xf numFmtId="0" fontId="1" fillId="0" borderId="0" xfId="3" applyAlignment="1">
      <alignment horizontal="left" wrapText="1"/>
    </xf>
    <xf numFmtId="0" fontId="1" fillId="11" borderId="23" xfId="3" applyFill="1" applyBorder="1" applyAlignment="1">
      <alignment horizontal="center" vertical="center" textRotation="90" wrapText="1"/>
    </xf>
    <xf numFmtId="0" fontId="1" fillId="11" borderId="26" xfId="3" applyFill="1" applyBorder="1" applyAlignment="1">
      <alignment horizontal="center" vertical="center" textRotation="90" wrapText="1"/>
    </xf>
    <xf numFmtId="0" fontId="1" fillId="11" borderId="29" xfId="3" applyFill="1" applyBorder="1" applyAlignment="1">
      <alignment horizontal="center" vertical="center" textRotation="90" wrapText="1"/>
    </xf>
    <xf numFmtId="0" fontId="9" fillId="0" borderId="0" xfId="0" applyFont="1" applyAlignment="1">
      <alignment horizontal="left" vertical="top" wrapText="1"/>
    </xf>
    <xf numFmtId="0" fontId="7" fillId="11" borderId="23" xfId="3" applyFont="1" applyFill="1" applyBorder="1" applyAlignment="1">
      <alignment horizontal="center" vertical="center"/>
    </xf>
    <xf numFmtId="0" fontId="7" fillId="11" borderId="24" xfId="3" applyFont="1" applyFill="1" applyBorder="1" applyAlignment="1">
      <alignment horizontal="center" vertical="center"/>
    </xf>
    <xf numFmtId="0" fontId="7" fillId="11" borderId="25" xfId="3" applyFont="1" applyFill="1" applyBorder="1" applyAlignment="1">
      <alignment horizontal="center" vertical="center"/>
    </xf>
    <xf numFmtId="0" fontId="7" fillId="11" borderId="26" xfId="3" applyFont="1" applyFill="1" applyBorder="1" applyAlignment="1">
      <alignment horizontal="center" vertical="center"/>
    </xf>
    <xf numFmtId="0" fontId="7" fillId="11" borderId="0" xfId="3" applyFont="1" applyFill="1" applyAlignment="1">
      <alignment horizontal="center" vertical="center"/>
    </xf>
    <xf numFmtId="0" fontId="7" fillId="11" borderId="27" xfId="3" applyFont="1" applyFill="1" applyBorder="1" applyAlignment="1">
      <alignment horizontal="center" vertical="center"/>
    </xf>
    <xf numFmtId="0" fontId="7" fillId="11" borderId="29" xfId="3" applyFont="1" applyFill="1" applyBorder="1" applyAlignment="1">
      <alignment horizontal="center" vertical="center"/>
    </xf>
    <xf numFmtId="0" fontId="7" fillId="11" borderId="30" xfId="3" applyFont="1" applyFill="1" applyBorder="1" applyAlignment="1">
      <alignment horizontal="center" vertical="center"/>
    </xf>
    <xf numFmtId="0" fontId="7" fillId="11" borderId="31" xfId="3" applyFont="1" applyFill="1" applyBorder="1" applyAlignment="1">
      <alignment horizontal="center" vertical="center"/>
    </xf>
    <xf numFmtId="0" fontId="1" fillId="11" borderId="16" xfId="3" applyFill="1" applyBorder="1" applyAlignment="1">
      <alignment horizontal="center" vertical="center" wrapText="1"/>
    </xf>
    <xf numFmtId="0" fontId="1" fillId="11" borderId="18" xfId="3" applyFill="1" applyBorder="1" applyAlignment="1">
      <alignment horizontal="center" vertical="center" wrapText="1"/>
    </xf>
    <xf numFmtId="0" fontId="1" fillId="11" borderId="20" xfId="3" applyFill="1" applyBorder="1" applyAlignment="1">
      <alignment horizontal="center" vertical="center" wrapText="1"/>
    </xf>
    <xf numFmtId="0" fontId="1" fillId="11" borderId="16" xfId="3" applyFill="1" applyBorder="1" applyAlignment="1">
      <alignment horizontal="center" vertical="center"/>
    </xf>
    <xf numFmtId="0" fontId="1" fillId="11" borderId="18" xfId="3" applyFill="1" applyBorder="1" applyAlignment="1">
      <alignment horizontal="center" vertical="center"/>
    </xf>
    <xf numFmtId="0" fontId="1" fillId="11" borderId="20" xfId="3" applyFill="1" applyBorder="1" applyAlignment="1">
      <alignment horizontal="center" vertical="center"/>
    </xf>
    <xf numFmtId="0" fontId="1" fillId="11" borderId="45" xfId="3" applyFill="1" applyBorder="1" applyAlignment="1">
      <alignment horizontal="center" vertical="center" wrapText="1"/>
    </xf>
    <xf numFmtId="0" fontId="1" fillId="11" borderId="46" xfId="3" applyFill="1" applyBorder="1" applyAlignment="1">
      <alignment horizontal="center" vertical="center" wrapText="1"/>
    </xf>
    <xf numFmtId="0" fontId="1" fillId="11" borderId="47" xfId="3" applyFill="1" applyBorder="1" applyAlignment="1">
      <alignment horizontal="center" vertical="center" wrapText="1"/>
    </xf>
    <xf numFmtId="0" fontId="8" fillId="0" borderId="35" xfId="3" applyFont="1" applyBorder="1" applyAlignment="1">
      <alignment horizontal="center" vertical="center"/>
    </xf>
    <xf numFmtId="0" fontId="8" fillId="0" borderId="10" xfId="3" applyFont="1" applyBorder="1" applyAlignment="1">
      <alignment horizontal="center" vertical="center"/>
    </xf>
    <xf numFmtId="0" fontId="8" fillId="0" borderId="36" xfId="3" applyFont="1" applyBorder="1" applyAlignment="1">
      <alignment horizontal="center" vertical="center"/>
    </xf>
    <xf numFmtId="0" fontId="8" fillId="0" borderId="16" xfId="3" applyFont="1" applyBorder="1" applyAlignment="1">
      <alignment horizontal="center" vertical="center"/>
    </xf>
    <xf numFmtId="0" fontId="8" fillId="0" borderId="12" xfId="3" applyFont="1" applyBorder="1" applyAlignment="1">
      <alignment horizontal="center" vertical="center"/>
    </xf>
    <xf numFmtId="0" fontId="8" fillId="0" borderId="17" xfId="3" applyFont="1" applyBorder="1" applyAlignment="1">
      <alignment horizontal="center" vertical="center"/>
    </xf>
    <xf numFmtId="0" fontId="5" fillId="0" borderId="16" xfId="3" applyFont="1" applyBorder="1" applyAlignment="1">
      <alignment horizontal="center"/>
    </xf>
    <xf numFmtId="0" fontId="5" fillId="0" borderId="12" xfId="3" applyFont="1" applyBorder="1" applyAlignment="1">
      <alignment horizontal="center"/>
    </xf>
    <xf numFmtId="0" fontId="5" fillId="0" borderId="17" xfId="3" applyFont="1" applyBorder="1" applyAlignment="1">
      <alignment horizontal="center"/>
    </xf>
    <xf numFmtId="0" fontId="1" fillId="0" borderId="0" xfId="3" applyAlignment="1">
      <alignment horizontal="center"/>
    </xf>
    <xf numFmtId="0" fontId="1" fillId="0" borderId="0" xfId="3" applyAlignment="1">
      <alignment horizontal="center" vertical="center" textRotation="90"/>
    </xf>
  </cellXfs>
  <cellStyles count="6">
    <cellStyle name="Euro" xfId="1" xr:uid="{00000000-0005-0000-0000-000000000000}"/>
    <cellStyle name="Euro 2" xfId="4" xr:uid="{1CE1C5D9-E8D8-4BF3-A0D5-43526AB31832}"/>
    <cellStyle name="Monétaire" xfId="2" builtinId="4"/>
    <cellStyle name="Monétaire 2" xfId="5" xr:uid="{5F982432-FB24-4400-961F-53AC75F5A2C3}"/>
    <cellStyle name="Normal" xfId="0" builtinId="0"/>
    <cellStyle name="Normal 2" xfId="3" xr:uid="{F4820C8E-CCDF-47FD-8AC3-5852BD76E5F0}"/>
  </cellStyles>
  <dxfs count="12">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numFmt numFmtId="167" formatCode="General&quot;   &quot;"/>
      <alignment horizontal="left" vertical="bottom" textRotation="0" wrapText="0" indent="0" justifyLastLine="0" shrinkToFit="0" readingOrder="0"/>
      <border diagonalUp="0" diagonalDown="0">
        <left/>
        <right style="medium">
          <color indexed="64"/>
        </right>
        <top style="thin">
          <color indexed="64"/>
        </top>
        <bottom style="thin">
          <color indexed="64"/>
        </bottom>
        <vertical/>
        <horizontal/>
      </border>
    </dxf>
    <dxf>
      <border outline="0">
        <left style="medium">
          <color indexed="64"/>
        </left>
      </border>
    </dxf>
    <dxf>
      <fill>
        <patternFill patternType="none">
          <fgColor indexed="64"/>
          <bgColor indexed="65"/>
        </patternFill>
      </fill>
    </dxf>
    <dxf>
      <numFmt numFmtId="19" formatCode="dd/mm/yyyy"/>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General&quot;   &quot;"/>
      <alignment horizontal="center"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eetMetadata" Target="metadata.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10</xdr:col>
      <xdr:colOff>485775</xdr:colOff>
      <xdr:row>0</xdr:row>
      <xdr:rowOff>123825</xdr:rowOff>
    </xdr:from>
    <xdr:to>
      <xdr:col>11</xdr:col>
      <xdr:colOff>638175</xdr:colOff>
      <xdr:row>6</xdr:row>
      <xdr:rowOff>55907</xdr:rowOff>
    </xdr:to>
    <xdr:pic macro="[0]!Sauve_Figer">
      <xdr:nvPicPr>
        <xdr:cNvPr id="5" name="Graphique 4" descr="Disque avec un remplissage uni">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2430125" y="123825"/>
          <a:ext cx="914400" cy="9144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airfluxonline-my.sharepoint.com/personal/thomat_airflux_fr/Documents/Documents/Fichier%20Travaux/Dossier%20Technico-Commercial%20-%20Vierge.xlsm" TargetMode="External"/><Relationship Id="rId1" Type="http://schemas.openxmlformats.org/officeDocument/2006/relationships/externalLinkPath" Target="Dossier%20Technico-Commercial%20-%20Vierg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rojet"/>
      <sheetName val="Offre commerciale"/>
      <sheetName val="Calculette Réseau"/>
      <sheetName val="Eau Glacée"/>
      <sheetName val="Air Comprimé"/>
      <sheetName val="SSE"/>
      <sheetName val="PV de Réception"/>
      <sheetName val="Retour d'expérience"/>
      <sheetName val="Dde Transport"/>
      <sheetName val="Liv Direct"/>
      <sheetName val="Garantie Kaeser - Modèle"/>
      <sheetName val="Mise en Service"/>
      <sheetName val="Modif"/>
      <sheetName val="Test"/>
      <sheetName val="Descente"/>
      <sheetName val="Equivalence"/>
      <sheetName val="Information"/>
      <sheetName val="BasePrix"/>
      <sheetName val="MeS - Page"/>
      <sheetName val="MeS - Déta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3">
          <cell r="D3" t="str">
            <v>DN10 - Serti 15</v>
          </cell>
          <cell r="E3" t="str">
            <v>DN15 - Serti 18</v>
          </cell>
          <cell r="F3" t="str">
            <v>DN20 - Serti 22</v>
          </cell>
          <cell r="G3" t="str">
            <v>DN25 - Serti 28</v>
          </cell>
          <cell r="H3" t="str">
            <v>DN32 - Serti 35</v>
          </cell>
          <cell r="I3" t="str">
            <v>DN40 - Serti 42</v>
          </cell>
          <cell r="J3" t="str">
            <v>DN50 - Serti 54</v>
          </cell>
          <cell r="K3" t="str">
            <v>DN65 - Serti 76</v>
          </cell>
          <cell r="L3" t="str">
            <v>DN80 - Serti 88</v>
          </cell>
          <cell r="M3" t="str">
            <v>DN100 - Serti 108</v>
          </cell>
        </row>
        <row r="4">
          <cell r="C4" t="str">
            <v>Diam</v>
          </cell>
          <cell r="D4">
            <v>15</v>
          </cell>
          <cell r="E4">
            <v>18</v>
          </cell>
          <cell r="F4">
            <v>22</v>
          </cell>
          <cell r="G4">
            <v>28</v>
          </cell>
          <cell r="H4">
            <v>35</v>
          </cell>
          <cell r="I4">
            <v>42</v>
          </cell>
          <cell r="J4">
            <v>54</v>
          </cell>
          <cell r="K4">
            <v>76</v>
          </cell>
          <cell r="L4">
            <v>88</v>
          </cell>
          <cell r="M4">
            <v>108</v>
          </cell>
        </row>
        <row r="5">
          <cell r="B5" t="str">
            <v>DN10 - Serti 15</v>
          </cell>
          <cell r="C5">
            <v>15</v>
          </cell>
          <cell r="D5" t="str">
            <v>R15150</v>
          </cell>
          <cell r="E5" t="str">
            <v>Erreur 1</v>
          </cell>
          <cell r="F5" t="str">
            <v>Erreur 2</v>
          </cell>
          <cell r="G5" t="str">
            <v>Erreur 3</v>
          </cell>
          <cell r="H5" t="str">
            <v>Erreur 4</v>
          </cell>
          <cell r="I5" t="str">
            <v>Erreur 5</v>
          </cell>
          <cell r="J5" t="str">
            <v>Erreur 6</v>
          </cell>
          <cell r="K5" t="str">
            <v>Erreur 7</v>
          </cell>
          <cell r="L5" t="str">
            <v>Erreur 8</v>
          </cell>
          <cell r="M5" t="str">
            <v>Erreur 9</v>
          </cell>
        </row>
        <row r="6">
          <cell r="B6" t="str">
            <v>DN15 - Serti 18</v>
          </cell>
          <cell r="C6">
            <v>18</v>
          </cell>
          <cell r="D6" t="str">
            <v>R141815</v>
          </cell>
          <cell r="E6" t="str">
            <v>R15180</v>
          </cell>
          <cell r="F6" t="str">
            <v>Erreur 10</v>
          </cell>
          <cell r="G6" t="str">
            <v>Erreur 11</v>
          </cell>
          <cell r="H6" t="str">
            <v>Erreur 12</v>
          </cell>
          <cell r="I6" t="str">
            <v>Erreur 13</v>
          </cell>
          <cell r="J6" t="str">
            <v>Erreur 14</v>
          </cell>
          <cell r="K6" t="str">
            <v>Erreur 15</v>
          </cell>
          <cell r="L6" t="str">
            <v>Erreur 16</v>
          </cell>
          <cell r="M6" t="str">
            <v>Erreur 17</v>
          </cell>
        </row>
        <row r="7">
          <cell r="B7" t="str">
            <v>DN20 - Serti 22</v>
          </cell>
          <cell r="C7">
            <v>22</v>
          </cell>
          <cell r="D7" t="str">
            <v>R142215</v>
          </cell>
          <cell r="E7" t="str">
            <v>R142218</v>
          </cell>
          <cell r="F7" t="str">
            <v>R15220</v>
          </cell>
          <cell r="G7" t="str">
            <v>Erreur 18</v>
          </cell>
          <cell r="H7" t="str">
            <v>Erreur 19</v>
          </cell>
          <cell r="I7" t="str">
            <v>Erreur 20</v>
          </cell>
          <cell r="J7" t="str">
            <v>Erreur 21</v>
          </cell>
          <cell r="K7" t="str">
            <v>Erreur 22</v>
          </cell>
          <cell r="L7" t="str">
            <v>Erreur 23</v>
          </cell>
          <cell r="M7" t="str">
            <v>Erreur 24</v>
          </cell>
        </row>
        <row r="8">
          <cell r="B8" t="str">
            <v>DN25 - Serti 28</v>
          </cell>
          <cell r="C8">
            <v>28</v>
          </cell>
          <cell r="D8" t="str">
            <v>R142815</v>
          </cell>
          <cell r="E8" t="str">
            <v>R142818</v>
          </cell>
          <cell r="F8" t="str">
            <v>R142822</v>
          </cell>
          <cell r="G8" t="str">
            <v>R15280</v>
          </cell>
          <cell r="H8" t="str">
            <v>Erreur 25</v>
          </cell>
          <cell r="I8" t="str">
            <v>Erreur 26</v>
          </cell>
          <cell r="J8" t="str">
            <v>Erreur 27</v>
          </cell>
          <cell r="K8" t="str">
            <v>Erreur 28</v>
          </cell>
          <cell r="L8" t="str">
            <v>Erreur 29</v>
          </cell>
          <cell r="M8" t="str">
            <v>Erreur 30</v>
          </cell>
        </row>
        <row r="9">
          <cell r="B9" t="str">
            <v>DN32 - Serti 35</v>
          </cell>
          <cell r="C9">
            <v>35</v>
          </cell>
          <cell r="D9" t="str">
            <v>R143515</v>
          </cell>
          <cell r="E9" t="str">
            <v>R143518</v>
          </cell>
          <cell r="F9" t="str">
            <v>R143522</v>
          </cell>
          <cell r="G9" t="str">
            <v>R143528</v>
          </cell>
          <cell r="H9" t="str">
            <v>R15350</v>
          </cell>
          <cell r="I9" t="str">
            <v>Erreur 31</v>
          </cell>
          <cell r="J9" t="str">
            <v>Erreur 32</v>
          </cell>
          <cell r="K9" t="str">
            <v>Erreur 33</v>
          </cell>
          <cell r="L9" t="str">
            <v>Erreur 34</v>
          </cell>
          <cell r="M9" t="str">
            <v>Erreur 35</v>
          </cell>
        </row>
        <row r="10">
          <cell r="B10" t="str">
            <v>DN40 - Serti 42</v>
          </cell>
          <cell r="C10">
            <v>42</v>
          </cell>
          <cell r="D10" t="str">
            <v>Erreur 46</v>
          </cell>
          <cell r="E10" t="str">
            <v>R144218</v>
          </cell>
          <cell r="F10" t="str">
            <v>R144222</v>
          </cell>
          <cell r="G10" t="str">
            <v>R144228</v>
          </cell>
          <cell r="H10" t="str">
            <v>R144235</v>
          </cell>
          <cell r="I10" t="str">
            <v>R15420</v>
          </cell>
          <cell r="J10" t="str">
            <v>Erreur 36</v>
          </cell>
          <cell r="K10" t="str">
            <v>Erreur 37</v>
          </cell>
          <cell r="L10" t="str">
            <v>Erreur 38</v>
          </cell>
          <cell r="M10" t="str">
            <v>Erreur 39</v>
          </cell>
        </row>
        <row r="11">
          <cell r="B11" t="str">
            <v>DN50 - Serti 54</v>
          </cell>
          <cell r="C11">
            <v>54</v>
          </cell>
          <cell r="D11" t="str">
            <v>Erreur 47</v>
          </cell>
          <cell r="E11" t="str">
            <v>R145418</v>
          </cell>
          <cell r="F11" t="str">
            <v>R145422</v>
          </cell>
          <cell r="G11" t="str">
            <v>R145428</v>
          </cell>
          <cell r="H11" t="str">
            <v>R145435</v>
          </cell>
          <cell r="I11" t="str">
            <v>R145442</v>
          </cell>
          <cell r="J11" t="str">
            <v>R15540</v>
          </cell>
          <cell r="K11" t="str">
            <v>Erreur 40</v>
          </cell>
          <cell r="L11" t="str">
            <v>Erreur 41</v>
          </cell>
          <cell r="M11" t="str">
            <v>Erreur 42</v>
          </cell>
        </row>
        <row r="12">
          <cell r="B12" t="str">
            <v>DN65 - Serti 76</v>
          </cell>
          <cell r="C12">
            <v>76</v>
          </cell>
          <cell r="D12" t="str">
            <v>Erreur 48</v>
          </cell>
          <cell r="E12" t="str">
            <v>Erreur 49</v>
          </cell>
          <cell r="F12" t="str">
            <v>R147622</v>
          </cell>
          <cell r="G12" t="str">
            <v>R147628</v>
          </cell>
          <cell r="H12" t="str">
            <v>R147635</v>
          </cell>
          <cell r="I12" t="str">
            <v>R147642</v>
          </cell>
          <cell r="J12" t="str">
            <v>R147654</v>
          </cell>
          <cell r="K12" t="str">
            <v>R15760</v>
          </cell>
          <cell r="L12" t="str">
            <v>Erreur 43</v>
          </cell>
          <cell r="M12" t="str">
            <v>Erreur 44</v>
          </cell>
        </row>
        <row r="13">
          <cell r="B13" t="str">
            <v>DN80 - Serti 88</v>
          </cell>
          <cell r="C13">
            <v>88</v>
          </cell>
          <cell r="D13" t="str">
            <v>Erreur 50</v>
          </cell>
          <cell r="E13" t="str">
            <v>Erreur 51</v>
          </cell>
          <cell r="F13" t="str">
            <v>R148822</v>
          </cell>
          <cell r="G13" t="str">
            <v>R148828</v>
          </cell>
          <cell r="H13" t="str">
            <v>R148835</v>
          </cell>
          <cell r="I13" t="str">
            <v>R148842</v>
          </cell>
          <cell r="J13" t="str">
            <v>R148854</v>
          </cell>
          <cell r="K13" t="str">
            <v>R148876</v>
          </cell>
          <cell r="L13" t="str">
            <v>R15800</v>
          </cell>
          <cell r="M13" t="str">
            <v>Erreur 45</v>
          </cell>
        </row>
        <row r="14">
          <cell r="B14" t="str">
            <v>DN100 - Serti 108</v>
          </cell>
          <cell r="C14">
            <v>108</v>
          </cell>
          <cell r="D14" t="str">
            <v>Erreur 52</v>
          </cell>
          <cell r="E14" t="str">
            <v>Erreur 53</v>
          </cell>
          <cell r="F14" t="str">
            <v>R1410822</v>
          </cell>
          <cell r="G14" t="str">
            <v>R1410828</v>
          </cell>
          <cell r="H14" t="str">
            <v>R1410835</v>
          </cell>
          <cell r="I14" t="str">
            <v>R1410842</v>
          </cell>
          <cell r="J14" t="str">
            <v>R1410854</v>
          </cell>
          <cell r="K14" t="str">
            <v>R1410876</v>
          </cell>
          <cell r="L14" t="str">
            <v>R1410888</v>
          </cell>
          <cell r="M14" t="str">
            <v>R15108</v>
          </cell>
        </row>
        <row r="15">
          <cell r="B15" t="str">
            <v>DN10 - Soudé</v>
          </cell>
        </row>
        <row r="16">
          <cell r="B16" t="str">
            <v>DN15 - Soudé</v>
          </cell>
        </row>
        <row r="17">
          <cell r="B17" t="str">
            <v>DN20 - Soudé</v>
          </cell>
        </row>
        <row r="18">
          <cell r="B18" t="str">
            <v>DN25 - Soudé</v>
          </cell>
        </row>
        <row r="19">
          <cell r="B19" t="str">
            <v>DN32 - Soudé</v>
          </cell>
        </row>
        <row r="20">
          <cell r="B20" t="str">
            <v>DN40 - Soudé</v>
          </cell>
        </row>
        <row r="21">
          <cell r="B21" t="str">
            <v>DN50 - Soudé</v>
          </cell>
        </row>
        <row r="22">
          <cell r="B22" t="str">
            <v>DN65 - Soudé</v>
          </cell>
        </row>
        <row r="23">
          <cell r="B23" t="str">
            <v>DN80 - Soudé</v>
          </cell>
        </row>
        <row r="24">
          <cell r="B24" t="str">
            <v>DN100 - Soudé</v>
          </cell>
        </row>
        <row r="25">
          <cell r="B25" t="str">
            <v>DN125 - Soudé</v>
          </cell>
        </row>
        <row r="26">
          <cell r="B26" t="str">
            <v>DN150 - Soudé</v>
          </cell>
        </row>
        <row r="27">
          <cell r="B27" t="str">
            <v>DN200 - Soudé</v>
          </cell>
        </row>
      </sheetData>
      <sheetData sheetId="15"/>
      <sheetData sheetId="16">
        <row r="2">
          <cell r="A2" t="str">
            <v>Status</v>
          </cell>
          <cell r="B2" t="str">
            <v>Oui / Non</v>
          </cell>
          <cell r="C2" t="str">
            <v>Travaux</v>
          </cell>
          <cell r="D2" t="str">
            <v>Responsabilité</v>
          </cell>
          <cell r="F2" t="str">
            <v>Reprise</v>
          </cell>
          <cell r="G2" t="str">
            <v>Matière Cuve</v>
          </cell>
          <cell r="H2" t="str">
            <v>Position Cuve</v>
          </cell>
          <cell r="I2" t="str">
            <v>Techno Sécheur</v>
          </cell>
          <cell r="J2" t="str">
            <v>Niveau filtration</v>
          </cell>
          <cell r="K2" t="str">
            <v>Régulation</v>
          </cell>
          <cell r="L2" t="str">
            <v>Métrologie</v>
          </cell>
          <cell r="M2" t="str">
            <v>Matière Réseau</v>
          </cell>
          <cell r="N2" t="str">
            <v>Type Installation</v>
          </cell>
          <cell r="O2" t="str">
            <v>Techno Comp</v>
          </cell>
          <cell r="P2" t="str">
            <v>Huile</v>
          </cell>
          <cell r="S2" t="str">
            <v>Type de murs</v>
          </cell>
          <cell r="T2" t="str">
            <v>RécupCalo</v>
          </cell>
          <cell r="U2" t="str">
            <v>Agence</v>
          </cell>
          <cell r="V2" t="str">
            <v>Adresses</v>
          </cell>
          <cell r="W2" t="str">
            <v>Type PTG</v>
          </cell>
          <cell r="X2" t="str">
            <v>Condition de paiement</v>
          </cell>
        </row>
        <row r="3">
          <cell r="A3" t="str">
            <v>Ajout</v>
          </cell>
          <cell r="B3" t="str">
            <v>Oui</v>
          </cell>
          <cell r="C3" t="str">
            <v>Pas Besoin</v>
          </cell>
          <cell r="D3" t="str">
            <v>Airflux</v>
          </cell>
          <cell r="F3" t="str">
            <v>Non</v>
          </cell>
          <cell r="G3" t="str">
            <v>Inox</v>
          </cell>
          <cell r="H3" t="str">
            <v>H</v>
          </cell>
          <cell r="I3" t="str">
            <v>Frigo</v>
          </cell>
          <cell r="J3" t="str">
            <v>Micro</v>
          </cell>
          <cell r="K3" t="str">
            <v>SAM 4.0</v>
          </cell>
          <cell r="L3" t="str">
            <v>Temp.</v>
          </cell>
          <cell r="M3" t="str">
            <v>Inox Italien</v>
          </cell>
          <cell r="N3" t="str">
            <v>Neuf (S2)</v>
          </cell>
          <cell r="O3" t="str">
            <v>Vis</v>
          </cell>
          <cell r="P3" t="str">
            <v>Synth.</v>
          </cell>
          <cell r="Q3" t="str">
            <v>Demande</v>
          </cell>
          <cell r="R3" t="str">
            <v>Fax</v>
          </cell>
          <cell r="S3" t="str">
            <v>Brique</v>
          </cell>
          <cell r="T3" t="str">
            <v>Air via Gainage</v>
          </cell>
          <cell r="U3" t="str">
            <v>Lille</v>
          </cell>
          <cell r="V3" t="str">
            <v>58 Rue des Marquillies
59000 LILLE</v>
          </cell>
          <cell r="W3" t="str">
            <v>+25</v>
          </cell>
          <cell r="X3" t="str">
            <v>30j fin de mois</v>
          </cell>
        </row>
        <row r="4">
          <cell r="A4" t="str">
            <v>Existant</v>
          </cell>
          <cell r="B4" t="str">
            <v>Non</v>
          </cell>
          <cell r="C4" t="str">
            <v>Existant</v>
          </cell>
          <cell r="D4" t="str">
            <v>Client</v>
          </cell>
          <cell r="F4" t="str">
            <v>Destruction</v>
          </cell>
          <cell r="G4" t="str">
            <v>Galva</v>
          </cell>
          <cell r="H4" t="str">
            <v>V</v>
          </cell>
          <cell r="I4" t="str">
            <v>Adsorbtion</v>
          </cell>
          <cell r="J4" t="str">
            <v>Submicro</v>
          </cell>
          <cell r="K4" t="str">
            <v>AirLeader</v>
          </cell>
          <cell r="L4" t="str">
            <v>Hygro.</v>
          </cell>
          <cell r="M4" t="str">
            <v>Inox Soudé</v>
          </cell>
          <cell r="N4" t="str">
            <v>Occasion (S2)</v>
          </cell>
          <cell r="O4" t="str">
            <v>Piston</v>
          </cell>
          <cell r="P4" t="str">
            <v>Minérale</v>
          </cell>
          <cell r="Q4" t="str">
            <v>Appel d'offre</v>
          </cell>
          <cell r="R4" t="str">
            <v>Courrier</v>
          </cell>
          <cell r="S4" t="str">
            <v>Parpaing</v>
          </cell>
          <cell r="T4" t="str">
            <v>Eau /!\ Qualité</v>
          </cell>
          <cell r="U4" t="str">
            <v>Reims</v>
          </cell>
          <cell r="V4" t="str">
            <v>ZI Pompelle
31 Rue du Val Clair
51100 Reims</v>
          </cell>
          <cell r="W4" t="str">
            <v>+55</v>
          </cell>
          <cell r="X4" t="str">
            <v>30j fin de mois le 10</v>
          </cell>
        </row>
        <row r="5">
          <cell r="A5" t="str">
            <v>Supprimé</v>
          </cell>
          <cell r="B5" t="str">
            <v>NA</v>
          </cell>
          <cell r="C5" t="str">
            <v>A modifier</v>
          </cell>
          <cell r="F5" t="str">
            <v>Reprise AF</v>
          </cell>
          <cell r="G5" t="str">
            <v>Peint</v>
          </cell>
          <cell r="I5" t="str">
            <v>Hybride</v>
          </cell>
          <cell r="J5" t="str">
            <v>Charbon</v>
          </cell>
          <cell r="K5" t="str">
            <v>AF Connect 4G</v>
          </cell>
          <cell r="L5" t="str">
            <v>Debit.</v>
          </cell>
          <cell r="M5" t="str">
            <v>Alu</v>
          </cell>
          <cell r="N5" t="str">
            <v>Location (S35)</v>
          </cell>
          <cell r="O5" t="str">
            <v>Palette</v>
          </cell>
          <cell r="P5" t="str">
            <v>Alim.</v>
          </cell>
          <cell r="Q5" t="str">
            <v>Visite du</v>
          </cell>
          <cell r="R5" t="str">
            <v>Fax + Courrier</v>
          </cell>
          <cell r="S5" t="str">
            <v>Bardage</v>
          </cell>
          <cell r="T5" t="str">
            <v>Autre ?</v>
          </cell>
          <cell r="U5" t="str">
            <v>Benfeld</v>
          </cell>
          <cell r="V5" t="str">
            <v>2A Rue d'Italie
67230 BENFELD</v>
          </cell>
          <cell r="X5" t="str">
            <v>45j fin de mois</v>
          </cell>
        </row>
        <row r="6">
          <cell r="C6" t="str">
            <v>A réaliser</v>
          </cell>
          <cell r="J6" t="str">
            <v>Cyclonique</v>
          </cell>
          <cell r="K6" t="str">
            <v>AF Connect Lan</v>
          </cell>
          <cell r="L6" t="str">
            <v>Press.</v>
          </cell>
          <cell r="N6" t="str">
            <v>LLD (S25)</v>
          </cell>
          <cell r="P6" t="str">
            <v>Semi-Synth.</v>
          </cell>
          <cell r="R6" t="str">
            <v>Remis au TC</v>
          </cell>
          <cell r="U6" t="str">
            <v>St Amé</v>
          </cell>
          <cell r="V6" t="str">
            <v>76 Rte de Celles
88120 Saint Amé</v>
          </cell>
        </row>
        <row r="7">
          <cell r="J7" t="str">
            <v>Anti-Pouss.</v>
          </cell>
          <cell r="K7" t="str">
            <v>BLS (Compair)</v>
          </cell>
          <cell r="L7" t="str">
            <v>Press. Diff.</v>
          </cell>
          <cell r="N7" t="str">
            <v>LCA (S5)</v>
          </cell>
          <cell r="R7" t="str">
            <v>Mail</v>
          </cell>
          <cell r="U7" t="str">
            <v>Vezelise</v>
          </cell>
          <cell r="V7" t="str">
            <v>La Croisette
Rue de la gare
54330 Vézelise</v>
          </cell>
        </row>
      </sheetData>
      <sheetData sheetId="17"/>
      <sheetData sheetId="18"/>
      <sheetData sheetId="19"/>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36829E53-A25A-4565-B27D-602E58DA3481}" autoFormatId="16" applyNumberFormats="0" applyBorderFormats="0" applyFontFormats="0" applyPatternFormats="0" applyAlignmentFormats="0" applyWidthHeightFormats="0">
  <queryTableRefresh nextId="5">
    <queryTableFields count="4">
      <queryTableField id="1" name="Code" tableColumnId="1"/>
      <queryTableField id="2" name="Désignation" tableColumnId="2"/>
      <queryTableField id="3" name="PA Net + 10%" tableColumnId="3"/>
      <queryTableField id="4" name="Date" tableColumnId="4"/>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AF6D61C-8702-4F74-83C6-F1DAFB838726}" name="Equivalence" displayName="Equivalence" ref="A2:M67" totalsRowShown="0" headerRowDxfId="11" headerRowCellStyle="Normal 2" dataCellStyle="Normal 2">
  <autoFilter ref="A2:M67" xr:uid="{CAF6D61C-8702-4F74-83C6-F1DAFB838726}"/>
  <tableColumns count="13">
    <tableColumn id="3" xr3:uid="{211C102D-C58C-47B2-BDF1-21F2F49EA880}" name="Numéro" dataCellStyle="Normal 2"/>
    <tableColumn id="1" xr3:uid="{25C89411-5D83-40BF-8E33-1347D60B8B54}" name="Catégorie" dataCellStyle="Normal 2"/>
    <tableColumn id="2" xr3:uid="{D0729142-A3DF-4982-A047-FBC1F3AFF182}" name="Quoi" dataCellStyle="Normal 2"/>
    <tableColumn id="4" xr3:uid="{0D0FC576-541A-4EDC-A94B-AFFE6D36B4CA}" name="DN10 - Serti 15" dataCellStyle="Normal 2"/>
    <tableColumn id="5" xr3:uid="{1279AB5B-39ED-4A4D-B13C-D7B6B5D55275}" name="DN15 - Serti 18" dataDxfId="10"/>
    <tableColumn id="6" xr3:uid="{B2DC8DA7-A8F3-4208-A186-522E36DD0868}" name="DN20 - Serti 22" dataDxfId="9"/>
    <tableColumn id="7" xr3:uid="{1F49D4FA-A592-4EFC-B38D-F9F01C347675}" name="DN25 - Serti 28" dataDxfId="8"/>
    <tableColumn id="8" xr3:uid="{C217FA93-F671-48AD-AAAE-332A2DFA3BD5}" name="DN32 - Serti 35" dataDxfId="7"/>
    <tableColumn id="9" xr3:uid="{3E690893-D5F7-4F1F-8325-2A4B3E4E67B5}" name="DN40 - Serti 42" dataDxfId="6"/>
    <tableColumn id="10" xr3:uid="{80866250-82E2-42F6-AE8E-10B433345654}" name="DN50 - Serti 54" dataCellStyle="Normal 2"/>
    <tableColumn id="11" xr3:uid="{920E7B30-2408-4019-BA5D-6A4475DA4CAF}" name="DN65 - Serti 76" dataCellStyle="Normal 2"/>
    <tableColumn id="12" xr3:uid="{8C78BC18-3FB4-482F-AB50-BCDF39B0CA73}" name="DN80 - Serti 88" dataCellStyle="Normal 2"/>
    <tableColumn id="13" xr3:uid="{6F2CDF71-ADC9-4A8B-9B1C-79457F9AA78A}" name="DN100 - Serti 108" dataCellStyle="Normal 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2F60A1B-7BBD-4785-AB30-707EDC795B6D}" name="Base_Prix_Pratiqués" displayName="Base_Prix_Pratiqués" ref="A1:D2671" tableType="queryTable" totalsRowShown="0">
  <autoFilter ref="A1:D2671" xr:uid="{62F60A1B-7BBD-4785-AB30-707EDC795B6D}"/>
  <tableColumns count="4">
    <tableColumn id="1" xr3:uid="{71C0C65E-7174-4418-AD79-96A8EC835A52}" uniqueName="1" name="Code" queryTableFieldId="1"/>
    <tableColumn id="2" xr3:uid="{FAC2E448-0019-4CBE-BED5-3F396748E5F4}" uniqueName="2" name="Désignation" queryTableFieldId="2"/>
    <tableColumn id="3" xr3:uid="{76DFD8F2-A6A2-4E93-9731-5F5433F94336}" uniqueName="3" name="PA Net + 10%" queryTableFieldId="3"/>
    <tableColumn id="4" xr3:uid="{DF30BF53-0AD3-41A0-882D-D1B54E412A6A}" uniqueName="4" name="Date" queryTableFieldId="4" dataDxfId="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6BE30E9-BD9D-475B-BEAB-AAECCDE7B0B7}" name="Tableau1" displayName="Tableau1" ref="G2:M12" totalsRowShown="0" headerRowDxfId="4" tableBorderDxfId="3" headerRowCellStyle="Normal 2">
  <autoFilter ref="G2:M12" xr:uid="{D6BE30E9-BD9D-475B-BEAB-AAECCDE7B0B7}"/>
  <tableColumns count="7">
    <tableColumn id="1" xr3:uid="{85610D41-FE4B-41AB-A5E2-6E7BBAC46283}" name="DN" dataDxfId="2" dataCellStyle="Normal 2"/>
    <tableColumn id="2" xr3:uid="{0D3D241C-F9C2-4468-A38E-B8F662D3EC1D}" name="Diam" dataDxfId="1" dataCellStyle="Normal 2"/>
    <tableColumn id="3" xr3:uid="{DC9B4449-873D-4C0E-B00C-0D38EA4D18CD}" name="Diam ext" dataDxfId="0" dataCellStyle="Normal 2"/>
    <tableColumn id="4" xr3:uid="{FC5C635F-B9CE-4881-9A61-5D2C2CFCEB20}" name="Epaisseur"/>
    <tableColumn id="5" xr3:uid="{080C2D31-55FC-4806-8BBE-8E27F221F9B4}" name="D int">
      <calculatedColumnFormula>I3-J3*2</calculatedColumnFormula>
    </tableColumn>
    <tableColumn id="6" xr3:uid="{559E9AE8-925A-4DAB-8200-68071BBBB1E9}" name="Volume L/m"/>
    <tableColumn id="7" xr3:uid="{177AB3F8-005B-4183-9360-3D4EA3B1E89C}" name="Poids (kg/m)"/>
  </tableColumns>
  <tableStyleInfo name="TableStyleMedium9"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2C50B-9628-4108-A12C-DDD595AEF9B4}">
  <sheetPr codeName="Feuil12">
    <tabColor theme="4" tint="-0.249977111117893"/>
  </sheetPr>
  <dimension ref="A1:M89"/>
  <sheetViews>
    <sheetView topLeftCell="A9" zoomScale="115" zoomScaleNormal="115" workbookViewId="0">
      <selection activeCell="F31" sqref="F31"/>
    </sheetView>
  </sheetViews>
  <sheetFormatPr baseColWidth="10" defaultRowHeight="12.75" x14ac:dyDescent="0.2"/>
  <cols>
    <col min="1" max="1" width="15.42578125" style="6" customWidth="1"/>
    <col min="2" max="2" width="46.5703125" style="6" bestFit="1" customWidth="1"/>
    <col min="3" max="3" width="20.42578125" style="6" customWidth="1"/>
    <col min="4" max="4" width="15.85546875" style="6" customWidth="1"/>
    <col min="5" max="5" width="15.42578125" style="6" customWidth="1"/>
    <col min="6" max="6" width="14.7109375" style="6" customWidth="1"/>
    <col min="7" max="7" width="8" style="6" customWidth="1"/>
    <col min="8" max="8" width="12.85546875" style="6" customWidth="1"/>
    <col min="9" max="9" width="13.28515625" style="6" customWidth="1"/>
    <col min="10" max="10" width="48" style="6" customWidth="1"/>
    <col min="11" max="11" width="11.42578125" style="6" customWidth="1"/>
    <col min="12" max="13" width="11.42578125" style="6"/>
    <col min="14" max="14" width="28.140625" style="6" bestFit="1" customWidth="1"/>
    <col min="15" max="15" width="11" style="6" bestFit="1" customWidth="1"/>
    <col min="16" max="16384" width="11.42578125" style="6"/>
  </cols>
  <sheetData>
    <row r="1" spans="1:13" x14ac:dyDescent="0.2">
      <c r="A1" s="143" t="s">
        <v>2741</v>
      </c>
      <c r="B1" s="144"/>
      <c r="C1" s="144"/>
      <c r="D1" s="144"/>
      <c r="E1" s="144"/>
      <c r="F1" s="144"/>
      <c r="G1" s="144"/>
      <c r="H1" s="144"/>
      <c r="I1" s="144"/>
      <c r="J1" s="145"/>
    </row>
    <row r="2" spans="1:13" x14ac:dyDescent="0.2">
      <c r="A2" s="146"/>
      <c r="B2" s="147"/>
      <c r="C2" s="147"/>
      <c r="D2" s="147"/>
      <c r="E2" s="147"/>
      <c r="F2" s="147"/>
      <c r="G2" s="147"/>
      <c r="H2" s="147"/>
      <c r="I2" s="147"/>
      <c r="J2" s="148"/>
    </row>
    <row r="3" spans="1:13" ht="13.5" thickBot="1" x14ac:dyDescent="0.25">
      <c r="A3" s="149"/>
      <c r="B3" s="150"/>
      <c r="C3" s="150"/>
      <c r="D3" s="150"/>
      <c r="E3" s="150"/>
      <c r="F3" s="150"/>
      <c r="G3" s="150"/>
      <c r="H3" s="150"/>
      <c r="I3" s="150"/>
      <c r="J3" s="151"/>
      <c r="M3" s="6" t="s">
        <v>2797</v>
      </c>
    </row>
    <row r="4" spans="1:13" ht="12.75" customHeight="1" thickBot="1" x14ac:dyDescent="0.25">
      <c r="A4" s="73"/>
      <c r="B4" s="73"/>
      <c r="C4" s="73"/>
      <c r="D4" s="74"/>
      <c r="E4" s="74"/>
      <c r="F4" s="74"/>
      <c r="G4" s="74"/>
      <c r="H4" s="74"/>
      <c r="I4" s="74"/>
      <c r="J4" s="75"/>
    </row>
    <row r="5" spans="1:13" ht="12.75" customHeight="1" thickBot="1" x14ac:dyDescent="0.25">
      <c r="A5" s="158" t="s">
        <v>2986</v>
      </c>
      <c r="B5" s="76" t="s">
        <v>2990</v>
      </c>
      <c r="C5" s="57">
        <v>1000</v>
      </c>
      <c r="D5" s="74"/>
      <c r="E5" s="74"/>
      <c r="F5" s="74"/>
      <c r="G5" s="74"/>
      <c r="H5" s="74"/>
      <c r="I5" s="74"/>
      <c r="J5" s="75"/>
    </row>
    <row r="6" spans="1:13" ht="12.75" customHeight="1" thickBot="1" x14ac:dyDescent="0.25">
      <c r="A6" s="159"/>
      <c r="B6" s="77" t="s">
        <v>2989</v>
      </c>
      <c r="C6" s="58">
        <v>70</v>
      </c>
      <c r="D6" s="74"/>
      <c r="E6" s="74"/>
      <c r="F6" s="74"/>
      <c r="G6" s="74"/>
      <c r="H6" s="74"/>
      <c r="I6" s="74"/>
      <c r="J6" s="75"/>
    </row>
    <row r="7" spans="1:13" ht="12.75" customHeight="1" thickBot="1" x14ac:dyDescent="0.25">
      <c r="A7" s="159"/>
      <c r="B7" s="77" t="s">
        <v>2988</v>
      </c>
      <c r="C7" s="58">
        <v>0.2</v>
      </c>
      <c r="D7" s="74"/>
      <c r="E7" s="74"/>
      <c r="F7" s="74"/>
      <c r="G7" s="74"/>
      <c r="H7" s="74"/>
      <c r="I7" s="74"/>
      <c r="J7" s="75"/>
    </row>
    <row r="8" spans="1:13" ht="12.75" customHeight="1" thickBot="1" x14ac:dyDescent="0.25">
      <c r="A8" s="159"/>
      <c r="B8" s="77" t="s">
        <v>2991</v>
      </c>
      <c r="C8" s="58">
        <v>8</v>
      </c>
      <c r="D8" s="74"/>
      <c r="E8" s="74"/>
      <c r="F8" s="74"/>
      <c r="G8" s="74"/>
      <c r="H8" s="74"/>
      <c r="I8" s="74"/>
      <c r="J8" s="75"/>
    </row>
    <row r="9" spans="1:13" ht="12.75" customHeight="1" thickBot="1" x14ac:dyDescent="0.25">
      <c r="A9" s="159"/>
      <c r="B9" s="78" t="s">
        <v>2987</v>
      </c>
      <c r="C9" s="79">
        <f>POWER(((1.6*1000*(POWER((C5/3600),1.85)*C6))/((POWER(10,10)*C7*C8))),1/5)*1000</f>
        <v>57.967915379920768</v>
      </c>
      <c r="D9" s="74"/>
      <c r="E9" s="74"/>
      <c r="F9" s="74"/>
      <c r="G9" s="74"/>
      <c r="H9" s="74"/>
      <c r="I9" s="74"/>
      <c r="J9" s="75"/>
    </row>
    <row r="10" spans="1:13" ht="12.75" customHeight="1" thickBot="1" x14ac:dyDescent="0.25">
      <c r="A10" s="159"/>
      <c r="B10" s="78" t="s">
        <v>2992</v>
      </c>
      <c r="C10" s="80" t="str" cm="1">
        <f t="array" ref="C10">IF(INDEX([1]Descente!B4:B14,_xlfn.XMATCH(C9,[1]Descente!C4:C14,1,1))=0,"Veuillez consulter le BE",INDEX([1]Descente!B4:B14,_xlfn.XMATCH(C9,[1]Descente!C4:C14,1,1)))</f>
        <v>DN65 - Serti 76</v>
      </c>
      <c r="D10" s="74"/>
      <c r="E10" s="74"/>
      <c r="F10" s="74"/>
      <c r="G10" s="74"/>
      <c r="H10" s="74"/>
      <c r="I10" s="74"/>
      <c r="J10" s="75"/>
    </row>
    <row r="11" spans="1:13" ht="12.75" customHeight="1" thickBot="1" x14ac:dyDescent="0.25">
      <c r="A11" s="160"/>
      <c r="B11" s="81" t="s">
        <v>2999</v>
      </c>
      <c r="C11" s="82"/>
      <c r="D11" s="74"/>
      <c r="E11" s="74"/>
      <c r="F11" s="74"/>
      <c r="G11" s="74"/>
      <c r="H11" s="74"/>
      <c r="I11" s="74"/>
      <c r="J11" s="75"/>
    </row>
    <row r="12" spans="1:13" ht="13.5" thickBot="1" x14ac:dyDescent="0.25">
      <c r="A12" s="83"/>
      <c r="B12" s="83"/>
      <c r="C12" s="83"/>
      <c r="D12" s="84" t="s">
        <v>2695</v>
      </c>
      <c r="E12" s="85" t="s">
        <v>2696</v>
      </c>
      <c r="F12" s="85" t="s">
        <v>2654</v>
      </c>
      <c r="G12" s="85" t="s">
        <v>2655</v>
      </c>
      <c r="H12" s="85" t="s">
        <v>2919</v>
      </c>
      <c r="I12" s="85" t="s">
        <v>2660</v>
      </c>
      <c r="J12" s="86" t="s">
        <v>2697</v>
      </c>
    </row>
    <row r="13" spans="1:13" ht="12.75" customHeight="1" x14ac:dyDescent="0.2">
      <c r="A13" s="152" t="s">
        <v>2698</v>
      </c>
      <c r="B13" s="26" t="s">
        <v>2677</v>
      </c>
      <c r="C13" s="57">
        <v>140</v>
      </c>
      <c r="D13" s="87" t="s">
        <v>19</v>
      </c>
      <c r="E13" s="64">
        <v>6</v>
      </c>
      <c r="F13" s="88" t="str">
        <f>HLOOKUP($C$15,Equivalence!$D$3:$M$54,E13,FALSE)</f>
        <v>RXS54</v>
      </c>
      <c r="G13" s="89">
        <f>CEILING(C13*I13,6)+1*6</f>
        <v>162</v>
      </c>
      <c r="H13" s="65">
        <f>IFERROR(VLOOKUP(F13,'Base Prix Pratiqués'!A:C,3,FALSE),NA())*G13</f>
        <v>2068.902</v>
      </c>
      <c r="I13" s="87">
        <v>1.1000000000000001</v>
      </c>
      <c r="J13" s="90" t="s">
        <v>2836</v>
      </c>
    </row>
    <row r="14" spans="1:13" x14ac:dyDescent="0.2">
      <c r="A14" s="153"/>
      <c r="B14" s="29" t="s">
        <v>2658</v>
      </c>
      <c r="C14" s="58" t="s">
        <v>2927</v>
      </c>
      <c r="D14" s="91" t="s">
        <v>2777</v>
      </c>
      <c r="E14" s="6">
        <v>7</v>
      </c>
      <c r="F14" s="92" t="str">
        <f>HLOOKUP($C$15,Equivalence!$D$3:$M$54,E14,FALSE)</f>
        <v>R20540</v>
      </c>
      <c r="G14" s="93">
        <f>MAX(G13/6-1-ROUNDDOWN(0.8*(G22+G25+G26),0)+I14,G13/6-1,0)</f>
        <v>26</v>
      </c>
      <c r="H14" s="66">
        <f>IFERROR(VLOOKUP(F14,'Base Prix Pratiqués'!A:C,3,FALSE),0)*G14</f>
        <v>189.98980000000003</v>
      </c>
      <c r="I14" s="91"/>
      <c r="J14" s="94" t="s">
        <v>2666</v>
      </c>
    </row>
    <row r="15" spans="1:13" ht="13.5" thickBot="1" x14ac:dyDescent="0.25">
      <c r="A15" s="153"/>
      <c r="B15" s="29" t="s">
        <v>2678</v>
      </c>
      <c r="C15" s="58" t="s">
        <v>2831</v>
      </c>
      <c r="D15" s="91" t="s">
        <v>2700</v>
      </c>
      <c r="E15" s="6">
        <v>26</v>
      </c>
      <c r="F15" s="92" t="str">
        <f>HLOOKUP($C$15,Equivalence!$D$3:$M$54,E15,FALSE)</f>
        <v>CVI54</v>
      </c>
      <c r="G15" s="93">
        <f>_xlfn.CEILING.MATH(G13/I15,1)</f>
        <v>65</v>
      </c>
      <c r="H15" s="66">
        <f>IFERROR(VLOOKUP(F15,'Base Prix Pratiqués'!A:C,3,FALSE),0)*G15</f>
        <v>277.0625</v>
      </c>
      <c r="I15" s="91">
        <f>IF(VLOOKUP(C15,[1]Descente!B:C,2,FALSE)&gt;28,2.5,2)</f>
        <v>2.5</v>
      </c>
      <c r="J15" s="94" t="s">
        <v>2665</v>
      </c>
    </row>
    <row r="16" spans="1:13" hidden="1" x14ac:dyDescent="0.2">
      <c r="A16" s="153"/>
      <c r="B16" s="29"/>
      <c r="C16" s="95"/>
      <c r="D16" s="91" t="s">
        <v>2818</v>
      </c>
      <c r="F16" s="92">
        <v>41092</v>
      </c>
      <c r="G16" s="93">
        <f>G15</f>
        <v>65</v>
      </c>
      <c r="H16" s="66">
        <f>IFERROR(VLOOKUP(F16,'Base Prix Pratiqués'!A:C,3,FALSE),0)*G16</f>
        <v>761.80000000000007</v>
      </c>
      <c r="I16" s="91">
        <f>I15</f>
        <v>2.5</v>
      </c>
      <c r="J16" s="94" t="s">
        <v>2701</v>
      </c>
    </row>
    <row r="17" spans="1:10" hidden="1" x14ac:dyDescent="0.2">
      <c r="A17" s="153"/>
      <c r="B17" s="29"/>
      <c r="C17" s="95"/>
      <c r="D17" s="91" t="s">
        <v>2778</v>
      </c>
      <c r="F17" s="92">
        <v>32921</v>
      </c>
      <c r="G17" s="93">
        <f>G16</f>
        <v>65</v>
      </c>
      <c r="H17" s="66">
        <f>IFERROR(VLOOKUP(F17,'Base Prix Pratiqués'!A:C,3,FALSE),0)*G17</f>
        <v>23.4</v>
      </c>
      <c r="I17" s="91">
        <f>I16</f>
        <v>2.5</v>
      </c>
      <c r="J17" s="94" t="s">
        <v>2701</v>
      </c>
    </row>
    <row r="18" spans="1:10" hidden="1" x14ac:dyDescent="0.2">
      <c r="A18" s="153"/>
      <c r="B18" s="29"/>
      <c r="C18" s="95"/>
      <c r="D18" s="91" t="s">
        <v>2683</v>
      </c>
      <c r="E18" s="6">
        <v>28</v>
      </c>
      <c r="F18" s="92">
        <f>HLOOKUP($C$15,Equivalence!$D$3:$M$54,E18,FALSE)</f>
        <v>30953</v>
      </c>
      <c r="G18" s="93">
        <f>G15</f>
        <v>65</v>
      </c>
      <c r="H18" s="66">
        <f>IFERROR(VLOOKUP(F18,'Base Prix Pratiqués'!A:C,3,FALSE),0)*G18</f>
        <v>39</v>
      </c>
      <c r="I18" s="91">
        <f>I16</f>
        <v>2.5</v>
      </c>
      <c r="J18" s="94" t="s">
        <v>2701</v>
      </c>
    </row>
    <row r="19" spans="1:10" hidden="1" x14ac:dyDescent="0.2">
      <c r="A19" s="153"/>
      <c r="B19" s="29"/>
      <c r="C19" s="95"/>
      <c r="D19" s="91" t="s">
        <v>2684</v>
      </c>
      <c r="F19" s="92">
        <v>29645</v>
      </c>
      <c r="G19" s="93">
        <f>G15*I19</f>
        <v>130</v>
      </c>
      <c r="H19" s="66">
        <f>IFERROR(VLOOKUP(F19,'Base Prix Pratiqués'!A:C,3,FALSE),0)*G19</f>
        <v>36.400000000000006</v>
      </c>
      <c r="I19" s="91">
        <v>2</v>
      </c>
      <c r="J19" s="94" t="s">
        <v>2702</v>
      </c>
    </row>
    <row r="20" spans="1:10" hidden="1" x14ac:dyDescent="0.2">
      <c r="A20" s="153"/>
      <c r="B20" s="29"/>
      <c r="C20" s="95"/>
      <c r="D20" s="91" t="s">
        <v>2691</v>
      </c>
      <c r="F20" s="92">
        <v>35351</v>
      </c>
      <c r="G20" s="93">
        <f>G15*I20</f>
        <v>130</v>
      </c>
      <c r="H20" s="66">
        <f>IFERROR(VLOOKUP(F20,'Base Prix Pratiqués'!A:C,3,FALSE),0)*G20</f>
        <v>65</v>
      </c>
      <c r="I20" s="91">
        <f>I19</f>
        <v>2</v>
      </c>
      <c r="J20" s="94" t="s">
        <v>2702</v>
      </c>
    </row>
    <row r="21" spans="1:10" ht="13.5" hidden="1" thickBot="1" x14ac:dyDescent="0.25">
      <c r="A21" s="154"/>
      <c r="B21" s="45"/>
      <c r="C21" s="96"/>
      <c r="D21" s="97" t="s">
        <v>2703</v>
      </c>
      <c r="E21" s="98"/>
      <c r="F21" s="99" t="s">
        <v>2729</v>
      </c>
      <c r="G21" s="100">
        <f>G13/INDEX(Equivalence!D52:M54,MATCH('Calculette Réseau'!C14,Equivalence!C52:C54,0),MATCH(C15,Equivalence!D3:M3,0))</f>
        <v>40.5</v>
      </c>
      <c r="H21" s="67">
        <f>IFERROR(VLOOKUP(F21,'Base Prix Pratiqués'!A:C,3,FALSE),0)*G21</f>
        <v>0</v>
      </c>
      <c r="I21" s="97"/>
      <c r="J21" s="101" t="s">
        <v>2704</v>
      </c>
    </row>
    <row r="22" spans="1:10" x14ac:dyDescent="0.2">
      <c r="A22" s="155" t="s">
        <v>2705</v>
      </c>
      <c r="B22" s="26" t="s">
        <v>1884</v>
      </c>
      <c r="C22" s="57">
        <v>10</v>
      </c>
      <c r="D22" s="87" t="s">
        <v>1884</v>
      </c>
      <c r="E22" s="64">
        <v>8</v>
      </c>
      <c r="F22" s="88" t="str">
        <f>HLOOKUP($C$15,Equivalence!$D$3:$M$54,E22,FALSE)</f>
        <v>R90540</v>
      </c>
      <c r="G22" s="89">
        <f>C22</f>
        <v>10</v>
      </c>
      <c r="H22" s="65">
        <f>IFERROR(VLOOKUP(F22,'Base Prix Pratiqués'!A:C,3,FALSE),0)*G22</f>
        <v>210.6</v>
      </c>
      <c r="I22" s="87"/>
      <c r="J22" s="90"/>
    </row>
    <row r="23" spans="1:10" x14ac:dyDescent="0.2">
      <c r="A23" s="156"/>
      <c r="B23" s="29" t="s">
        <v>1885</v>
      </c>
      <c r="C23" s="58">
        <v>2</v>
      </c>
      <c r="D23" s="91" t="s">
        <v>1885</v>
      </c>
      <c r="E23" s="6">
        <v>9</v>
      </c>
      <c r="F23" s="92" t="str">
        <f>HLOOKUP($C$15,Equivalence!$D$3:$M$54,E23,FALSE)</f>
        <v>R90540S</v>
      </c>
      <c r="G23" s="93">
        <f>C23</f>
        <v>2</v>
      </c>
      <c r="H23" s="66">
        <f>IFERROR(VLOOKUP(F23,'Base Prix Pratiqués'!A:C,3,FALSE),0)*G23</f>
        <v>42.36</v>
      </c>
      <c r="I23" s="91"/>
      <c r="J23" s="94"/>
    </row>
    <row r="24" spans="1:10" x14ac:dyDescent="0.2">
      <c r="A24" s="156"/>
      <c r="B24" s="29" t="s">
        <v>2745</v>
      </c>
      <c r="C24" s="58">
        <v>6</v>
      </c>
      <c r="D24" s="91" t="s">
        <v>2745</v>
      </c>
      <c r="E24" s="6">
        <v>10</v>
      </c>
      <c r="F24" s="92" t="str">
        <f>HLOOKUP($C$15,Equivalence!$D$3:$M$54,E24,FALSE)</f>
        <v>R45540</v>
      </c>
      <c r="G24" s="93">
        <f>C24</f>
        <v>6</v>
      </c>
      <c r="H24" s="66">
        <f>IFERROR(VLOOKUP(F24,'Base Prix Pratiqués'!A:C,3,FALSE),0)*G24</f>
        <v>88.14</v>
      </c>
      <c r="I24" s="91"/>
      <c r="J24" s="94"/>
    </row>
    <row r="25" spans="1:10" ht="13.5" thickBot="1" x14ac:dyDescent="0.25">
      <c r="A25" s="156"/>
      <c r="B25" s="29" t="s">
        <v>2659</v>
      </c>
      <c r="C25" s="58">
        <v>2</v>
      </c>
      <c r="D25" s="91" t="s">
        <v>1098</v>
      </c>
      <c r="E25" s="6">
        <v>13</v>
      </c>
      <c r="F25" s="92" t="str">
        <f>HLOOKUP($C$15,Equivalence!$D$3:$M$54,E25,FALSE)</f>
        <v>R15540</v>
      </c>
      <c r="G25" s="93">
        <f>C25</f>
        <v>2</v>
      </c>
      <c r="H25" s="66">
        <f>IFERROR(VLOOKUP(F25,'Base Prix Pratiqués'!A:C,3,FALSE),0)*G25</f>
        <v>33.020000000000003</v>
      </c>
      <c r="I25" s="91"/>
      <c r="J25" s="94"/>
    </row>
    <row r="26" spans="1:10" ht="13.5" thickBot="1" x14ac:dyDescent="0.25">
      <c r="A26" s="156"/>
      <c r="B26" s="29" t="s">
        <v>2082</v>
      </c>
      <c r="C26" s="58">
        <v>0</v>
      </c>
      <c r="D26" s="91" t="s">
        <v>2706</v>
      </c>
      <c r="E26" s="6">
        <v>23</v>
      </c>
      <c r="F26" s="92" t="str">
        <f>HLOOKUP($C$15,Equivalence!$D$3:$M$54,E26,FALSE)</f>
        <v>VP50OT</v>
      </c>
      <c r="G26" s="93">
        <f>I26*C26</f>
        <v>0</v>
      </c>
      <c r="H26" s="65">
        <f>IF(G26=0,0,VLOOKUP(F26,'Base Prix Pratiqués'!A:C,3,FALSE))*G26</f>
        <v>0</v>
      </c>
      <c r="I26" s="91">
        <v>1</v>
      </c>
      <c r="J26" s="94" t="s">
        <v>2681</v>
      </c>
    </row>
    <row r="27" spans="1:10" hidden="1" x14ac:dyDescent="0.2">
      <c r="A27" s="156"/>
      <c r="B27" s="29"/>
      <c r="C27" s="95"/>
      <c r="D27" s="91" t="s">
        <v>2078</v>
      </c>
      <c r="E27" s="6">
        <v>24</v>
      </c>
      <c r="F27" s="92" t="str">
        <f>HLOOKUP($C$15,Equivalence!$D$3:$M$54,E27,FALSE)</f>
        <v>REQF054</v>
      </c>
      <c r="G27" s="93">
        <f>C26*I27</f>
        <v>0</v>
      </c>
      <c r="H27" s="66">
        <f>IFERROR(VLOOKUP(F27,'Base Prix Pratiqués'!A:C,3,FALSE),0)*G27</f>
        <v>0</v>
      </c>
      <c r="I27" s="91">
        <v>2</v>
      </c>
      <c r="J27" s="94" t="s">
        <v>2675</v>
      </c>
    </row>
    <row r="28" spans="1:10" ht="13.5" hidden="1" thickBot="1" x14ac:dyDescent="0.25">
      <c r="A28" s="156"/>
      <c r="B28" s="29"/>
      <c r="C28" s="95"/>
      <c r="D28" s="91" t="s">
        <v>1917</v>
      </c>
      <c r="F28" s="92" t="s">
        <v>228</v>
      </c>
      <c r="G28" s="93">
        <f>C26*8*2</f>
        <v>0</v>
      </c>
      <c r="H28" s="66">
        <f>IFERROR(VLOOKUP(F28,'Base Prix Pratiqués'!A:C,3,FALSE),0)*G28</f>
        <v>0</v>
      </c>
      <c r="I28" s="91"/>
      <c r="J28" s="94" t="s">
        <v>2707</v>
      </c>
    </row>
    <row r="29" spans="1:10" ht="13.5" thickBot="1" x14ac:dyDescent="0.25">
      <c r="A29" s="156"/>
      <c r="B29" s="29" t="s">
        <v>2661</v>
      </c>
      <c r="C29" s="58">
        <v>6</v>
      </c>
      <c r="D29" s="91" t="s">
        <v>2662</v>
      </c>
      <c r="E29" s="6">
        <v>17</v>
      </c>
      <c r="F29" s="92" t="str">
        <f>HLOOKUP($C$15,Equivalence!$D$3:$M$54,E29,FALSE)</f>
        <v>VBP2FF</v>
      </c>
      <c r="G29" s="93">
        <f>C29</f>
        <v>6</v>
      </c>
      <c r="H29" s="65">
        <f>IF(G29=0,0,VLOOKUP(F29,'Base Prix Pratiqués'!A:C,3,FALSE))*G29</f>
        <v>195.40620000000001</v>
      </c>
      <c r="I29" s="91"/>
      <c r="J29" s="94"/>
    </row>
    <row r="30" spans="1:10" ht="13.5" hidden="1" thickBot="1" x14ac:dyDescent="0.25">
      <c r="A30" s="157"/>
      <c r="B30" s="45"/>
      <c r="C30" s="96"/>
      <c r="D30" s="91" t="s">
        <v>2669</v>
      </c>
      <c r="E30" s="6">
        <v>21</v>
      </c>
      <c r="F30" s="92" t="str">
        <f>HLOOKUP($C$15,Equivalence!$D$3:$M$54,E30,FALSE)</f>
        <v>R24542</v>
      </c>
      <c r="G30" s="93">
        <f>G29*I30</f>
        <v>12</v>
      </c>
      <c r="H30" s="66">
        <f>IFERROR(VLOOKUP(F30,'Base Prix Pratiqués'!A:C,3,FALSE),0)*G30</f>
        <v>264.48</v>
      </c>
      <c r="I30" s="91">
        <v>2</v>
      </c>
      <c r="J30" s="94" t="s">
        <v>2682</v>
      </c>
    </row>
    <row r="31" spans="1:10" x14ac:dyDescent="0.2">
      <c r="A31" s="155" t="s">
        <v>2746</v>
      </c>
      <c r="B31" s="26" t="s">
        <v>2655</v>
      </c>
      <c r="C31" s="57">
        <v>2</v>
      </c>
      <c r="D31" s="87" t="s">
        <v>857</v>
      </c>
      <c r="E31" s="64"/>
      <c r="F31" s="88" t="str">
        <f>INDEX([1]Descente!$B$3:$M$14,MATCH('Calculette Réseau'!C15,[1]Descente!$B$3:$M$3,0),MATCH('Calculette Réseau'!C32,[1]Descente!$B$3:$B$14,0))</f>
        <v>R145442</v>
      </c>
      <c r="G31" s="89">
        <f>C31*I31</f>
        <v>2</v>
      </c>
      <c r="H31" s="65">
        <f>IFERROR(VLOOKUP(F31,'Base Prix Pratiqués'!A:C,3,FALSE),NA())*G31</f>
        <v>40.178599999999996</v>
      </c>
      <c r="I31" s="87">
        <v>1</v>
      </c>
      <c r="J31" s="90"/>
    </row>
    <row r="32" spans="1:10" x14ac:dyDescent="0.2">
      <c r="A32" s="156"/>
      <c r="B32" s="29" t="s">
        <v>2679</v>
      </c>
      <c r="C32" s="58" t="s">
        <v>2830</v>
      </c>
      <c r="D32" s="91" t="s">
        <v>1885</v>
      </c>
      <c r="E32" s="6">
        <v>9</v>
      </c>
      <c r="F32" s="92" t="str">
        <f>HLOOKUP($C$32,Equivalence!$D$3:$M$54,E32,FALSE)</f>
        <v>R90420S</v>
      </c>
      <c r="G32" s="93">
        <f>C31*I32</f>
        <v>2</v>
      </c>
      <c r="H32" s="66">
        <f>IFERROR(VLOOKUP(F32,'Base Prix Pratiqués'!A:C,3,FALSE),0)*G32</f>
        <v>31.785600000000002</v>
      </c>
      <c r="I32" s="91">
        <v>1</v>
      </c>
      <c r="J32" s="94"/>
    </row>
    <row r="33" spans="1:10" ht="13.5" thickBot="1" x14ac:dyDescent="0.25">
      <c r="A33" s="156"/>
      <c r="B33" s="29" t="s">
        <v>2743</v>
      </c>
      <c r="C33" s="58">
        <v>7</v>
      </c>
      <c r="D33" s="91" t="s">
        <v>1884</v>
      </c>
      <c r="E33" s="6">
        <v>8</v>
      </c>
      <c r="F33" s="92" t="str">
        <f>HLOOKUP($C$32,Equivalence!$D$3:$M$54,E33,FALSE)</f>
        <v>R90420</v>
      </c>
      <c r="G33" s="93">
        <f>C31*I33</f>
        <v>2</v>
      </c>
      <c r="H33" s="66">
        <f>IFERROR(VLOOKUP(F33,'Base Prix Pratiqués'!A:C,3,FALSE),0)*G33</f>
        <v>32.216800000000006</v>
      </c>
      <c r="I33" s="91">
        <v>1</v>
      </c>
      <c r="J33" s="94"/>
    </row>
    <row r="34" spans="1:10" hidden="1" x14ac:dyDescent="0.2">
      <c r="A34" s="156"/>
      <c r="B34" s="29"/>
      <c r="C34" s="95"/>
      <c r="D34" s="91" t="s">
        <v>2745</v>
      </c>
      <c r="E34" s="6">
        <v>10</v>
      </c>
      <c r="F34" s="92" t="str">
        <f>HLOOKUP($C$32,Equivalence!$D$3:$M$54,E34,FALSE)</f>
        <v>R45420</v>
      </c>
      <c r="G34" s="93">
        <f>C31*I34</f>
        <v>4</v>
      </c>
      <c r="H34" s="66">
        <f>IFERROR(VLOOKUP(F34,'Base Prix Pratiqués'!A:C,3,FALSE),0)*G34</f>
        <v>59.290000000000006</v>
      </c>
      <c r="I34" s="91">
        <v>2</v>
      </c>
      <c r="J34" s="94"/>
    </row>
    <row r="35" spans="1:10" hidden="1" x14ac:dyDescent="0.2">
      <c r="A35" s="156"/>
      <c r="B35" s="29"/>
      <c r="C35" s="95"/>
      <c r="D35" s="91" t="s">
        <v>2676</v>
      </c>
      <c r="E35" s="6">
        <v>21</v>
      </c>
      <c r="F35" s="92" t="str">
        <f>HLOOKUP($C$32,Equivalence!$D$3:$M$54,E35,FALSE)</f>
        <v>R2442112</v>
      </c>
      <c r="G35" s="93">
        <f>C31*I35</f>
        <v>2</v>
      </c>
      <c r="H35" s="66">
        <f>IFERROR(VLOOKUP(F35,'Base Prix Pratiqués'!A:C,3,FALSE),0)*G35</f>
        <v>36.174599999999998</v>
      </c>
      <c r="I35" s="91">
        <v>1</v>
      </c>
      <c r="J35" s="94"/>
    </row>
    <row r="36" spans="1:10" hidden="1" x14ac:dyDescent="0.2">
      <c r="A36" s="156"/>
      <c r="B36" s="29"/>
      <c r="C36" s="95"/>
      <c r="D36" s="91" t="s">
        <v>1888</v>
      </c>
      <c r="E36" s="6">
        <v>17</v>
      </c>
      <c r="F36" s="92" t="str">
        <f>HLOOKUP($C$32,Equivalence!$D$3:$M$54,E36,FALSE)</f>
        <v>VBP112FF</v>
      </c>
      <c r="G36" s="93">
        <f>C31*I36</f>
        <v>2</v>
      </c>
      <c r="H36" s="66">
        <f>IFERROR(VLOOKUP(F36,'Base Prix Pratiqués'!A:C,3,FALSE),0)*G36</f>
        <v>32.78</v>
      </c>
      <c r="I36" s="91">
        <v>1</v>
      </c>
      <c r="J36" s="94"/>
    </row>
    <row r="37" spans="1:10" hidden="1" x14ac:dyDescent="0.2">
      <c r="A37" s="156"/>
      <c r="B37" s="29"/>
      <c r="C37" s="95"/>
      <c r="D37" s="91" t="s">
        <v>19</v>
      </c>
      <c r="E37" s="6">
        <v>6</v>
      </c>
      <c r="F37" s="92" t="str">
        <f>HLOOKUP($C$32,Equivalence!$D$3:$M$54,E37,FALSE)</f>
        <v>RXS42</v>
      </c>
      <c r="G37" s="93">
        <f>CEILING(CEILING(C33,3)*C31,6)</f>
        <v>18</v>
      </c>
      <c r="H37" s="66">
        <f>IFERROR(VLOOKUP(F37,'Base Prix Pratiqués'!A:C,3,FALSE),0)*G37</f>
        <v>244.06272000000001</v>
      </c>
      <c r="I37" s="91"/>
      <c r="J37" s="94" t="s">
        <v>2819</v>
      </c>
    </row>
    <row r="38" spans="1:10" hidden="1" x14ac:dyDescent="0.2">
      <c r="A38" s="156"/>
      <c r="B38" s="29"/>
      <c r="C38" s="95"/>
      <c r="D38" s="91" t="s">
        <v>2261</v>
      </c>
      <c r="E38" s="6">
        <v>26</v>
      </c>
      <c r="F38" s="92" t="str">
        <f>HLOOKUP($C$32,Equivalence!$D$3:$M$54,E38,FALSE)</f>
        <v>CVI42</v>
      </c>
      <c r="G38" s="93">
        <f>IF(C32&gt;18,C31*2,C31*3)</f>
        <v>4</v>
      </c>
      <c r="H38" s="66">
        <f>IFERROR(VLOOKUP(F38,'Base Prix Pratiqués'!A:C,3,FALSE),0)*G38</f>
        <v>11.598400000000002</v>
      </c>
      <c r="I38" s="91">
        <v>3</v>
      </c>
      <c r="J38" s="94" t="s">
        <v>2680</v>
      </c>
    </row>
    <row r="39" spans="1:10" hidden="1" x14ac:dyDescent="0.2">
      <c r="A39" s="156"/>
      <c r="B39" s="29"/>
      <c r="C39" s="95"/>
      <c r="D39" s="91" t="s">
        <v>2664</v>
      </c>
      <c r="F39" s="92" t="s">
        <v>201</v>
      </c>
      <c r="G39" s="93">
        <f>G38</f>
        <v>4</v>
      </c>
      <c r="H39" s="66">
        <f>IFERROR(VLOOKUP(F39,'Base Prix Pratiqués'!A:C,3,FALSE),0)*G39</f>
        <v>23.12</v>
      </c>
      <c r="I39" s="91">
        <v>3</v>
      </c>
      <c r="J39" s="94" t="s">
        <v>2680</v>
      </c>
    </row>
    <row r="40" spans="1:10" ht="13.5" hidden="1" thickBot="1" x14ac:dyDescent="0.25">
      <c r="A40" s="157"/>
      <c r="B40" s="45"/>
      <c r="C40" s="96"/>
      <c r="D40" s="97" t="s">
        <v>2738</v>
      </c>
      <c r="E40" s="98"/>
      <c r="F40" s="99" t="s">
        <v>2729</v>
      </c>
      <c r="G40" s="103">
        <f>G37/INDEX(Equivalence!$D$52:$M$54,MATCH('Calculette Réseau'!$C$14,Equivalence!$C$52:$C$54,0),MATCH(C32,Equivalence!$D$3:$M$3,0))*I40</f>
        <v>5.8500000000000005</v>
      </c>
      <c r="H40" s="67">
        <f>IFERROR(VLOOKUP(F40,'Base Prix Pratiqués'!A:C,3,FALSE),0)*G40</f>
        <v>0</v>
      </c>
      <c r="I40" s="104">
        <v>1.3</v>
      </c>
      <c r="J40" s="101" t="str">
        <f>_xlfn.CONCAT("Une descente en ",ROUND(G40/C31,2),"h")</f>
        <v>Une descente en 2,93h</v>
      </c>
    </row>
    <row r="41" spans="1:10" x14ac:dyDescent="0.2">
      <c r="A41" s="155" t="s">
        <v>2747</v>
      </c>
      <c r="B41" s="26" t="s">
        <v>2655</v>
      </c>
      <c r="C41" s="57">
        <v>5</v>
      </c>
      <c r="D41" s="87" t="s">
        <v>857</v>
      </c>
      <c r="E41" s="64"/>
      <c r="F41" s="88" t="str">
        <f>INDEX([1]Descente!$B$3:$M$14,MATCH('Calculette Réseau'!C15,[1]Descente!$B$3:$M$3,0),MATCH('Calculette Réseau'!C42,[1]Descente!$B$3:$B$14,0))</f>
        <v>R145422</v>
      </c>
      <c r="G41" s="89">
        <f>C41*I41</f>
        <v>5</v>
      </c>
      <c r="H41" s="65">
        <f>IFERROR(VLOOKUP(F41,'Base Prix Pratiqués'!A:C,3,FALSE),NA())*G41</f>
        <v>89.97450000000002</v>
      </c>
      <c r="I41" s="87">
        <v>1</v>
      </c>
      <c r="J41" s="90"/>
    </row>
    <row r="42" spans="1:10" x14ac:dyDescent="0.2">
      <c r="A42" s="156"/>
      <c r="B42" s="29" t="s">
        <v>2679</v>
      </c>
      <c r="C42" s="58" t="s">
        <v>2826</v>
      </c>
      <c r="D42" s="91" t="s">
        <v>1885</v>
      </c>
      <c r="E42" s="6">
        <v>9</v>
      </c>
      <c r="F42" s="92" t="str">
        <f>HLOOKUP($C$42,Equivalence!$D$3:$M$54,E42,FALSE)</f>
        <v>R90220S</v>
      </c>
      <c r="G42" s="93">
        <f>C41*I42</f>
        <v>5</v>
      </c>
      <c r="H42" s="66">
        <f>IFERROR(VLOOKUP(F42,'Base Prix Pratiqués'!A:C,3,FALSE),0)*G42</f>
        <v>26.410999999999998</v>
      </c>
      <c r="I42" s="91">
        <v>1</v>
      </c>
      <c r="J42" s="94"/>
    </row>
    <row r="43" spans="1:10" ht="13.5" thickBot="1" x14ac:dyDescent="0.25">
      <c r="A43" s="156"/>
      <c r="B43" s="29" t="s">
        <v>2743</v>
      </c>
      <c r="C43" s="58">
        <v>9</v>
      </c>
      <c r="D43" s="91" t="s">
        <v>1884</v>
      </c>
      <c r="E43" s="6">
        <v>8</v>
      </c>
      <c r="F43" s="92" t="str">
        <f>HLOOKUP($C$42,Equivalence!$D$3:$M$54,E43,FALSE)</f>
        <v>R90220</v>
      </c>
      <c r="G43" s="93">
        <f>C41*I43</f>
        <v>5</v>
      </c>
      <c r="H43" s="66">
        <f>IFERROR(VLOOKUP(F43,'Base Prix Pratiqués'!A:C,3,FALSE),0)*G43</f>
        <v>26.565000000000005</v>
      </c>
      <c r="I43" s="91">
        <v>1</v>
      </c>
      <c r="J43" s="94"/>
    </row>
    <row r="44" spans="1:10" hidden="1" x14ac:dyDescent="0.2">
      <c r="A44" s="156"/>
      <c r="B44" s="29"/>
      <c r="C44" s="95"/>
      <c r="D44" s="91" t="s">
        <v>2745</v>
      </c>
      <c r="E44" s="6">
        <v>10</v>
      </c>
      <c r="F44" s="92" t="str">
        <f>HLOOKUP($C$42,Equivalence!$D$3:$M$54,E44,FALSE)</f>
        <v>R45220</v>
      </c>
      <c r="G44" s="93">
        <f>C41*I44</f>
        <v>10</v>
      </c>
      <c r="H44" s="66">
        <f>IFERROR(VLOOKUP(F44,'Base Prix Pratiqués'!A:C,3,FALSE),0)*G44</f>
        <v>50.743000000000002</v>
      </c>
      <c r="I44" s="91">
        <v>2</v>
      </c>
      <c r="J44" s="94"/>
    </row>
    <row r="45" spans="1:10" hidden="1" x14ac:dyDescent="0.2">
      <c r="A45" s="156"/>
      <c r="B45" s="29"/>
      <c r="C45" s="95"/>
      <c r="D45" s="91" t="s">
        <v>2676</v>
      </c>
      <c r="E45" s="6">
        <v>21</v>
      </c>
      <c r="F45" s="92" t="str">
        <f>HLOOKUP($C$42,Equivalence!$D$3:$M$54,E45,FALSE)</f>
        <v>R242234</v>
      </c>
      <c r="G45" s="93">
        <f>C41*I45</f>
        <v>5</v>
      </c>
      <c r="H45" s="66">
        <f>IFERROR(VLOOKUP(F45,'Base Prix Pratiqués'!A:C,3,FALSE),0)*G45</f>
        <v>37.191000000000003</v>
      </c>
      <c r="I45" s="91">
        <v>1</v>
      </c>
      <c r="J45" s="94"/>
    </row>
    <row r="46" spans="1:10" hidden="1" x14ac:dyDescent="0.2">
      <c r="A46" s="156"/>
      <c r="B46" s="29"/>
      <c r="C46" s="95"/>
      <c r="D46" s="91" t="s">
        <v>1888</v>
      </c>
      <c r="E46" s="6">
        <v>17</v>
      </c>
      <c r="F46" s="92" t="str">
        <f>HLOOKUP($C$42,Equivalence!$D$3:$M$54,E46,FALSE)</f>
        <v>VBP34FF</v>
      </c>
      <c r="G46" s="93">
        <f>C41*I46</f>
        <v>5</v>
      </c>
      <c r="H46" s="66">
        <f>IFERROR(VLOOKUP(F46,'Base Prix Pratiqués'!A:C,3,FALSE),0)*G46</f>
        <v>24.035000000000004</v>
      </c>
      <c r="I46" s="91">
        <v>1</v>
      </c>
      <c r="J46" s="94"/>
    </row>
    <row r="47" spans="1:10" hidden="1" x14ac:dyDescent="0.2">
      <c r="A47" s="156"/>
      <c r="B47" s="29"/>
      <c r="C47" s="95"/>
      <c r="D47" s="91" t="s">
        <v>19</v>
      </c>
      <c r="E47" s="6">
        <v>6</v>
      </c>
      <c r="F47" s="92" t="str">
        <f>HLOOKUP($C$42,Equivalence!$D$3:$M$54,E47,FALSE)</f>
        <v>RXS22</v>
      </c>
      <c r="G47" s="93">
        <f>CEILING(CEILING(C43,3)*C41,6)</f>
        <v>48</v>
      </c>
      <c r="H47" s="66">
        <f>IFERROR(VLOOKUP(F47,'Base Prix Pratiqués'!A:C,3,FALSE),0)*G47</f>
        <v>307.92960000000005</v>
      </c>
      <c r="I47" s="91"/>
      <c r="J47" s="94" t="s">
        <v>2730</v>
      </c>
    </row>
    <row r="48" spans="1:10" hidden="1" x14ac:dyDescent="0.2">
      <c r="A48" s="156"/>
      <c r="B48" s="29"/>
      <c r="C48" s="95"/>
      <c r="D48" s="91" t="s">
        <v>2261</v>
      </c>
      <c r="E48" s="6">
        <v>26</v>
      </c>
      <c r="F48" s="92" t="str">
        <f>HLOOKUP($C$42,Equivalence!$D$3:$M$54,E48,FALSE)</f>
        <v>CVI22</v>
      </c>
      <c r="G48" s="93">
        <f>IF(C42&gt;18,C41*2,C41*3)</f>
        <v>10</v>
      </c>
      <c r="H48" s="66">
        <f>IFERROR(VLOOKUP(F48,'Base Prix Pratiqués'!A:C,3,FALSE),0)*G48</f>
        <v>28.27</v>
      </c>
      <c r="I48" s="91">
        <v>3</v>
      </c>
      <c r="J48" s="94" t="s">
        <v>2680</v>
      </c>
    </row>
    <row r="49" spans="1:10" hidden="1" x14ac:dyDescent="0.2">
      <c r="A49" s="156"/>
      <c r="B49" s="29"/>
      <c r="C49" s="95"/>
      <c r="D49" s="91" t="s">
        <v>2664</v>
      </c>
      <c r="F49" s="92" t="s">
        <v>201</v>
      </c>
      <c r="G49" s="93">
        <f>G48</f>
        <v>10</v>
      </c>
      <c r="H49" s="66">
        <f>IFERROR(VLOOKUP(F49,'Base Prix Pratiqués'!A:C,3,FALSE),0)*G49</f>
        <v>57.800000000000004</v>
      </c>
      <c r="I49" s="91">
        <v>3</v>
      </c>
      <c r="J49" s="94" t="s">
        <v>2680</v>
      </c>
    </row>
    <row r="50" spans="1:10" ht="13.5" hidden="1" thickBot="1" x14ac:dyDescent="0.25">
      <c r="A50" s="157"/>
      <c r="B50" s="45"/>
      <c r="C50" s="96"/>
      <c r="D50" s="97" t="s">
        <v>2738</v>
      </c>
      <c r="E50" s="98"/>
      <c r="F50" s="99" t="s">
        <v>2729</v>
      </c>
      <c r="G50" s="103">
        <f>G47/INDEX(Equivalence!$D$52:$M$54,MATCH('Calculette Réseau'!$C$14,Equivalence!$C$52:$C$54,0),MATCH(C42,Equivalence!$D$3:$M$3,0))*I50</f>
        <v>13.866666666666667</v>
      </c>
      <c r="H50" s="67">
        <f>IFERROR(VLOOKUP(F50,'Base Prix Pratiqués'!A:C,3,FALSE),0)*G50</f>
        <v>0</v>
      </c>
      <c r="I50" s="104">
        <v>1.3</v>
      </c>
      <c r="J50" s="101" t="str">
        <f>_xlfn.CONCAT("Une descente en ",ROUND(G50/C41,2),"h")</f>
        <v>Une descente en 2,77h</v>
      </c>
    </row>
    <row r="51" spans="1:10" ht="13.5" thickBot="1" x14ac:dyDescent="0.25">
      <c r="A51" s="102" t="s">
        <v>2574</v>
      </c>
      <c r="B51" s="105" t="s">
        <v>2574</v>
      </c>
      <c r="C51" s="59" t="b">
        <v>0</v>
      </c>
      <c r="D51" s="87" t="s">
        <v>2574</v>
      </c>
      <c r="E51" s="64"/>
      <c r="F51" s="88" t="str">
        <f>VLOOKUP(C14,info!D2:E4,2,FALSE)</f>
        <v>AG18-ELE100</v>
      </c>
      <c r="G51" s="89">
        <f>G55*C51</f>
        <v>0</v>
      </c>
      <c r="H51" s="65">
        <f>IFERROR(VLOOKUP(F51,'Base Prix Pratiqués'!A:C,3,FALSE),0)*G51</f>
        <v>0</v>
      </c>
      <c r="I51" s="87"/>
      <c r="J51" s="90" t="s">
        <v>2823</v>
      </c>
    </row>
    <row r="52" spans="1:10" ht="36.75" hidden="1" customHeight="1" thickBot="1" x14ac:dyDescent="0.25">
      <c r="A52" s="106"/>
      <c r="B52" s="107"/>
      <c r="C52" s="108"/>
      <c r="D52" s="97" t="s">
        <v>2575</v>
      </c>
      <c r="E52" s="109"/>
      <c r="F52" s="99" t="s">
        <v>2652</v>
      </c>
      <c r="G52" s="110">
        <f>C51*2</f>
        <v>0</v>
      </c>
      <c r="H52" s="67">
        <f>IFERROR(VLOOKUP(F52,'Base Prix Pratiqués'!A:C,3,FALSE),0)*G52</f>
        <v>0</v>
      </c>
      <c r="I52" s="97"/>
      <c r="J52" s="101" t="s">
        <v>2824</v>
      </c>
    </row>
    <row r="53" spans="1:10" ht="25.5" customHeight="1" thickBot="1" x14ac:dyDescent="0.25">
      <c r="A53" s="127" t="s">
        <v>2739</v>
      </c>
      <c r="B53" s="107" t="s">
        <v>2820</v>
      </c>
      <c r="C53" s="60"/>
      <c r="D53" s="87" t="s">
        <v>2731</v>
      </c>
      <c r="E53" s="64"/>
      <c r="F53" s="88"/>
      <c r="G53" s="111">
        <f>IF(C56,(G21+MAX(0,C53)+G40+G50)*2,(G21+MAX(0,C53)+G40+G50))</f>
        <v>60.216666666666669</v>
      </c>
      <c r="H53" s="65">
        <f>IFERROR(VLOOKUP(F53,'Base Prix Pratiqués'!A:C,3,FALSE),0)*G53</f>
        <v>0</v>
      </c>
      <c r="I53" s="87"/>
      <c r="J53" s="90" t="s">
        <v>2685</v>
      </c>
    </row>
    <row r="54" spans="1:10" ht="38.25" customHeight="1" x14ac:dyDescent="0.2">
      <c r="A54" s="134" t="s">
        <v>2739</v>
      </c>
      <c r="B54" s="26" t="s">
        <v>2821</v>
      </c>
      <c r="C54" s="57">
        <v>50</v>
      </c>
      <c r="D54" s="91" t="s">
        <v>2727</v>
      </c>
      <c r="F54" s="92"/>
      <c r="G54" s="93" t="b">
        <f>OR(C54&gt;125,C55&gt;1.5,C57)</f>
        <v>1</v>
      </c>
      <c r="H54" s="66">
        <f>IFERROR(VLOOKUP(F54,'Base Prix Pratiqués'!A:C,3,FALSE),0)*G54</f>
        <v>0</v>
      </c>
      <c r="I54" s="91"/>
      <c r="J54" s="112"/>
    </row>
    <row r="55" spans="1:10" x14ac:dyDescent="0.2">
      <c r="A55" s="135"/>
      <c r="B55" s="29" t="s">
        <v>2822</v>
      </c>
      <c r="C55" s="61">
        <v>0.75</v>
      </c>
      <c r="D55" s="91" t="s">
        <v>2686</v>
      </c>
      <c r="F55" s="92"/>
      <c r="G55" s="93">
        <f>IF(G54,MAX(ROUNDUP(G53/(I55-0.25*2),0),1),MAX(ROUNDUP(G53/(I55-C55*2),0),1))</f>
        <v>7</v>
      </c>
      <c r="H55" s="66">
        <f>IFERROR(VLOOKUP(F55,'Base Prix Pratiqués'!A:C,3,FALSE),0)*G55</f>
        <v>0</v>
      </c>
      <c r="I55" s="113">
        <v>10</v>
      </c>
      <c r="J55" s="94" t="s">
        <v>2688</v>
      </c>
    </row>
    <row r="56" spans="1:10" x14ac:dyDescent="0.2">
      <c r="A56" s="135"/>
      <c r="B56" s="29" t="s">
        <v>2736</v>
      </c>
      <c r="C56" s="62" t="b">
        <v>0</v>
      </c>
      <c r="D56" s="91" t="s">
        <v>2493</v>
      </c>
      <c r="F56" s="92" t="s">
        <v>2732</v>
      </c>
      <c r="G56" s="93">
        <f>G55*I56+G57</f>
        <v>12</v>
      </c>
      <c r="H56" s="66">
        <f>IFERROR(VLOOKUP(F56,'Base Prix Pratiqués'!A:C,3,FALSE),0)*G56</f>
        <v>0</v>
      </c>
      <c r="I56" s="91">
        <v>1</v>
      </c>
      <c r="J56" s="94" t="s">
        <v>2689</v>
      </c>
    </row>
    <row r="57" spans="1:10" ht="13.5" thickBot="1" x14ac:dyDescent="0.25">
      <c r="A57" s="136"/>
      <c r="B57" s="45" t="s">
        <v>2814</v>
      </c>
      <c r="C57" s="63" t="b">
        <v>1</v>
      </c>
      <c r="D57" s="91" t="s">
        <v>2494</v>
      </c>
      <c r="F57" s="92" t="s">
        <v>2733</v>
      </c>
      <c r="G57" s="93">
        <f>IF(G54,MOD(G55,5)-1+ROUNDDOWN(G55/5,0)*4,0)</f>
        <v>5</v>
      </c>
      <c r="H57" s="66">
        <f>IFERROR(VLOOKUP(F57,'Base Prix Pratiqués'!A:C,3,FALSE),0)*G57</f>
        <v>0</v>
      </c>
      <c r="I57" s="91"/>
      <c r="J57" s="94" t="s">
        <v>2687</v>
      </c>
    </row>
    <row r="58" spans="1:10" ht="13.5" hidden="1" customHeight="1" thickBot="1" x14ac:dyDescent="0.25">
      <c r="A58" s="114"/>
      <c r="B58" s="115"/>
      <c r="C58" s="116"/>
      <c r="D58" s="91" t="s">
        <v>2492</v>
      </c>
      <c r="F58" s="92" t="s">
        <v>2734</v>
      </c>
      <c r="G58" s="93">
        <f>IF(G54,QUOTIENT(G55,5)*(C54*2+40*4)+C54*2+(MOD(G55,5)-1)*40,C54*2*G55)</f>
        <v>400</v>
      </c>
      <c r="H58" s="66">
        <f>IFERROR(VLOOKUP(F58,'Base Prix Pratiqués'!A:C,3,FALSE),0)*G58</f>
        <v>0</v>
      </c>
      <c r="I58" s="91"/>
      <c r="J58" s="94" t="s">
        <v>2690</v>
      </c>
    </row>
    <row r="59" spans="1:10" ht="13.5" hidden="1" thickBot="1" x14ac:dyDescent="0.25">
      <c r="A59" s="117"/>
      <c r="B59" s="91"/>
      <c r="C59" s="91"/>
      <c r="D59" s="87" t="s">
        <v>2728</v>
      </c>
      <c r="E59" s="87"/>
      <c r="F59" s="88" t="s">
        <v>2744</v>
      </c>
      <c r="G59" s="118">
        <f>CEILING(G55*10,10)</f>
        <v>70</v>
      </c>
      <c r="H59" s="65">
        <f>IFERROR(VLOOKUP(F59,'Base Prix Pratiqués'!A:C,3,FALSE),0)*G59</f>
        <v>0</v>
      </c>
      <c r="I59" s="87"/>
      <c r="J59" s="90"/>
    </row>
    <row r="60" spans="1:10" ht="25.5" hidden="1" customHeight="1" x14ac:dyDescent="0.2">
      <c r="A60" s="139" t="s">
        <v>2740</v>
      </c>
      <c r="B60" s="87"/>
      <c r="C60" s="90"/>
      <c r="D60" s="87"/>
      <c r="E60" s="64"/>
      <c r="F60" s="88" t="s">
        <v>2493</v>
      </c>
      <c r="G60" s="89">
        <f>G56-G64</f>
        <v>10</v>
      </c>
      <c r="H60" s="65">
        <f>IFERROR(VLOOKUP(F60,'Base Prix Pratiqués'!A:C,3,FALSE),0)*G60</f>
        <v>305.39999999999998</v>
      </c>
      <c r="I60" s="87"/>
      <c r="J60" s="90"/>
    </row>
    <row r="61" spans="1:10" hidden="1" x14ac:dyDescent="0.2">
      <c r="A61" s="140"/>
      <c r="B61" s="91"/>
      <c r="C61" s="94"/>
      <c r="D61" s="91"/>
      <c r="F61" s="92" t="s">
        <v>2494</v>
      </c>
      <c r="G61" s="93">
        <f>G57-G65</f>
        <v>4</v>
      </c>
      <c r="H61" s="66">
        <f>IFERROR(VLOOKUP(F61,'Base Prix Pratiqués'!A:C,3,FALSE),0)*G61</f>
        <v>368.36</v>
      </c>
      <c r="I61" s="91"/>
      <c r="J61" s="94"/>
    </row>
    <row r="62" spans="1:10" hidden="1" x14ac:dyDescent="0.2">
      <c r="A62" s="140"/>
      <c r="B62" s="91"/>
      <c r="C62" s="94"/>
      <c r="D62" s="91"/>
      <c r="F62" s="92" t="s">
        <v>2492</v>
      </c>
      <c r="G62" s="93">
        <f>G58-G66</f>
        <v>361</v>
      </c>
      <c r="H62" s="66">
        <f>IFERROR(VLOOKUP(F62,'Base Prix Pratiqués'!A:C,3,FALSE),0)*G62</f>
        <v>624.53</v>
      </c>
      <c r="I62" s="91"/>
      <c r="J62" s="94"/>
    </row>
    <row r="63" spans="1:10" ht="13.5" hidden="1" thickBot="1" x14ac:dyDescent="0.25">
      <c r="A63" s="141"/>
      <c r="B63" s="97"/>
      <c r="C63" s="101"/>
      <c r="D63" s="97"/>
      <c r="E63" s="109"/>
      <c r="F63" s="99" t="s">
        <v>2491</v>
      </c>
      <c r="G63" s="119">
        <f>G59-G67</f>
        <v>60</v>
      </c>
      <c r="H63" s="67">
        <f>IFERROR(VLOOKUP(F63,'Base Prix Pratiqués'!A:C,3,FALSE),0)*G63</f>
        <v>2907.6</v>
      </c>
      <c r="I63" s="97"/>
      <c r="J63" s="101"/>
    </row>
    <row r="64" spans="1:10" ht="25.5" hidden="1" customHeight="1" x14ac:dyDescent="0.2">
      <c r="A64" s="139" t="s">
        <v>2748</v>
      </c>
      <c r="B64" s="91"/>
      <c r="C64" s="94"/>
      <c r="D64" s="91"/>
      <c r="F64" s="92" t="s">
        <v>2493</v>
      </c>
      <c r="G64" s="93">
        <f>CEILING(G56*G40/G53,1)</f>
        <v>2</v>
      </c>
      <c r="H64" s="66">
        <f>IFERROR(VLOOKUP(F64,'Base Prix Pratiqués'!A:C,3,FALSE),0)*G64</f>
        <v>61.08</v>
      </c>
      <c r="I64" s="91"/>
      <c r="J64" s="94"/>
    </row>
    <row r="65" spans="1:10" hidden="1" x14ac:dyDescent="0.2">
      <c r="A65" s="140"/>
      <c r="B65" s="91"/>
      <c r="C65" s="94"/>
      <c r="D65" s="91"/>
      <c r="F65" s="92" t="s">
        <v>2494</v>
      </c>
      <c r="G65" s="93">
        <f>CEILING(G57*G40/G53,1)</f>
        <v>1</v>
      </c>
      <c r="H65" s="66">
        <f>IFERROR(VLOOKUP(F65,'Base Prix Pratiqués'!A:C,3,FALSE),0)*G65</f>
        <v>92.09</v>
      </c>
      <c r="I65" s="91"/>
      <c r="J65" s="94"/>
    </row>
    <row r="66" spans="1:10" hidden="1" x14ac:dyDescent="0.2">
      <c r="A66" s="140"/>
      <c r="B66" s="91"/>
      <c r="C66" s="94"/>
      <c r="D66" s="91"/>
      <c r="F66" s="92" t="s">
        <v>2492</v>
      </c>
      <c r="G66" s="93">
        <f>CEILING(G58*G40/G53,1)</f>
        <v>39</v>
      </c>
      <c r="H66" s="66">
        <f>IFERROR(VLOOKUP(F66,'Base Prix Pratiqués'!A:C,3,FALSE),0)*G66</f>
        <v>67.47</v>
      </c>
      <c r="I66" s="91"/>
      <c r="J66" s="94"/>
    </row>
    <row r="67" spans="1:10" ht="13.5" hidden="1" thickBot="1" x14ac:dyDescent="0.25">
      <c r="A67" s="141"/>
      <c r="B67" s="97"/>
      <c r="C67" s="101"/>
      <c r="D67" s="97"/>
      <c r="E67" s="109"/>
      <c r="F67" s="99" t="s">
        <v>2491</v>
      </c>
      <c r="G67" s="119">
        <f>CEILING(G59*G40/G53,5)</f>
        <v>10</v>
      </c>
      <c r="H67" s="67">
        <f>IFERROR(VLOOKUP(F67,'Base Prix Pratiqués'!A:C,3,FALSE),0)*G67</f>
        <v>484.6</v>
      </c>
      <c r="I67" s="97"/>
      <c r="J67" s="101"/>
    </row>
    <row r="68" spans="1:10" ht="13.5" thickBot="1" x14ac:dyDescent="0.25"/>
    <row r="69" spans="1:10" hidden="1" x14ac:dyDescent="0.2">
      <c r="A69" s="137" t="s">
        <v>2656</v>
      </c>
      <c r="B69" s="120" t="s">
        <v>2920</v>
      </c>
      <c r="C69" s="68">
        <f>SUBTOTAL(9,H13:H30,H60:H63)</f>
        <v>8501.450499999999</v>
      </c>
    </row>
    <row r="70" spans="1:10" hidden="1" x14ac:dyDescent="0.2">
      <c r="A70" s="137"/>
      <c r="B70" s="120" t="s">
        <v>2921</v>
      </c>
      <c r="C70" s="68">
        <f>SUBTOTAL(9,H31:H50,H64:H67)</f>
        <v>1865.36582</v>
      </c>
    </row>
    <row r="71" spans="1:10" hidden="1" x14ac:dyDescent="0.2">
      <c r="A71" s="137"/>
      <c r="B71" s="120" t="s">
        <v>2574</v>
      </c>
      <c r="C71" s="68">
        <f>SUBTOTAL(9,H51:H52)</f>
        <v>0</v>
      </c>
    </row>
    <row r="72" spans="1:10" hidden="1" x14ac:dyDescent="0.2">
      <c r="A72" s="137"/>
      <c r="B72" s="120" t="s">
        <v>2922</v>
      </c>
      <c r="C72" s="68">
        <f>SUM(H13:H67)</f>
        <v>10366.81632</v>
      </c>
    </row>
    <row r="73" spans="1:10" hidden="1" x14ac:dyDescent="0.2"/>
    <row r="74" spans="1:10" hidden="1" x14ac:dyDescent="0.2">
      <c r="A74" s="121" t="s">
        <v>2923</v>
      </c>
      <c r="B74" s="121"/>
      <c r="C74" s="122">
        <v>0.3</v>
      </c>
    </row>
    <row r="75" spans="1:10" ht="13.5" hidden="1" thickBot="1" x14ac:dyDescent="0.25"/>
    <row r="76" spans="1:10" x14ac:dyDescent="0.2">
      <c r="A76" s="131" t="s">
        <v>2925</v>
      </c>
      <c r="B76" s="123" t="s">
        <v>2920</v>
      </c>
      <c r="C76" s="128" t="str">
        <f>_xlfn.CONCAT(_xlfn.CEILING.MATH(C69/(1-$C$74),250),"€ - ",_xlfn.CEILING.MATH(C69/(1-$C$74)*1.1,250),"€")</f>
        <v>12250€ - 13500€</v>
      </c>
    </row>
    <row r="77" spans="1:10" x14ac:dyDescent="0.2">
      <c r="A77" s="132"/>
      <c r="B77" s="124" t="s">
        <v>2921</v>
      </c>
      <c r="C77" s="129" t="str">
        <f t="shared" ref="C77:C78" si="0">_xlfn.CONCAT(_xlfn.CEILING.MATH(C70/(1-$C$74),250),"€ - ",_xlfn.CEILING.MATH(C70/(1-$C$74)*1.1,250),"€")</f>
        <v>2750€ - 3000€</v>
      </c>
    </row>
    <row r="78" spans="1:10" x14ac:dyDescent="0.2">
      <c r="A78" s="132"/>
      <c r="B78" s="124" t="s">
        <v>2574</v>
      </c>
      <c r="C78" s="129" t="str">
        <f t="shared" si="0"/>
        <v>0€ - 0€</v>
      </c>
    </row>
    <row r="79" spans="1:10" ht="13.5" thickBot="1" x14ac:dyDescent="0.25">
      <c r="A79" s="133"/>
      <c r="B79" s="125" t="s">
        <v>2922</v>
      </c>
      <c r="C79" s="130" t="str">
        <f>_xlfn.CONCAT(_xlfn.CEILING.MATH(C69/(1-$C$74),250)+_xlfn.CEILING.MATH(C70/(1-$C$74),250)+_xlfn.CEILING.MATH(C71/(1-$C$74),250),"€ - ",(_xlfn.CEILING.MATH(C69/(1-$C$74),250)+_xlfn.CEILING.MATH(C70/(1-$C$74),250)+_xlfn.CEILING.MATH(C71/(1-$C$74),250))*1.1,"€")</f>
        <v>15000€ - 16500€</v>
      </c>
    </row>
    <row r="81" spans="1:3" x14ac:dyDescent="0.2">
      <c r="A81" s="1" t="s">
        <v>2924</v>
      </c>
      <c r="B81"/>
    </row>
    <row r="82" spans="1:3" x14ac:dyDescent="0.2">
      <c r="A82"/>
      <c r="B82" s="126" t="s">
        <v>2984</v>
      </c>
    </row>
    <row r="83" spans="1:3" ht="23.25" customHeight="1" x14ac:dyDescent="0.2">
      <c r="A83"/>
      <c r="B83" s="142" t="s">
        <v>2985</v>
      </c>
      <c r="C83" s="142"/>
    </row>
    <row r="84" spans="1:3" x14ac:dyDescent="0.2">
      <c r="A84"/>
      <c r="B84" s="126" t="s">
        <v>2837</v>
      </c>
    </row>
    <row r="85" spans="1:3" x14ac:dyDescent="0.2">
      <c r="A85"/>
      <c r="B85" s="126" t="s">
        <v>2838</v>
      </c>
    </row>
    <row r="86" spans="1:3" x14ac:dyDescent="0.2">
      <c r="A86"/>
      <c r="B86" s="126"/>
    </row>
    <row r="87" spans="1:3" x14ac:dyDescent="0.2">
      <c r="A87" s="6" t="s">
        <v>2929</v>
      </c>
    </row>
    <row r="88" spans="1:3" x14ac:dyDescent="0.2">
      <c r="A88" s="138" t="s">
        <v>2930</v>
      </c>
      <c r="B88" s="138"/>
      <c r="C88" s="138"/>
    </row>
    <row r="89" spans="1:3" x14ac:dyDescent="0.2">
      <c r="A89" s="138"/>
      <c r="B89" s="138"/>
      <c r="C89" s="138"/>
    </row>
  </sheetData>
  <mergeCells count="13">
    <mergeCell ref="A1:J3"/>
    <mergeCell ref="A13:A21"/>
    <mergeCell ref="A22:A30"/>
    <mergeCell ref="A31:A40"/>
    <mergeCell ref="A41:A50"/>
    <mergeCell ref="A5:A11"/>
    <mergeCell ref="A76:A79"/>
    <mergeCell ref="A54:A57"/>
    <mergeCell ref="A69:A72"/>
    <mergeCell ref="A88:C89"/>
    <mergeCell ref="A60:A63"/>
    <mergeCell ref="A64:A67"/>
    <mergeCell ref="B83:C83"/>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2E8DD42C-54D7-404C-B71F-D8941AB373D8}">
          <x14:formula1>
            <xm:f>Equivalence!$C$52:$C$54</xm:f>
          </x14:formula1>
          <xm:sqref>C14</xm:sqref>
        </x14:dataValidation>
        <x14:dataValidation type="list" allowBlank="1" showInputMessage="1" showErrorMessage="1" xr:uid="{2C4DB0E3-F30F-451E-9932-D50A4DCD1058}">
          <x14:formula1>
            <xm:f>info!$B$1:$B$3</xm:f>
          </x14:formula1>
          <xm:sqref>C56:C57 C51</xm:sqref>
        </x14:dataValidation>
        <x14:dataValidation type="list" allowBlank="1" showInputMessage="1" showErrorMessage="1" xr:uid="{38A350FB-06F1-413A-A499-B97628F5BFE2}">
          <x14:formula1>
            <xm:f>Equivalence!$D$3:$M$3</xm:f>
          </x14:formula1>
          <xm:sqref>C15</xm:sqref>
        </x14:dataValidation>
        <x14:dataValidation type="list" allowBlank="1" showInputMessage="1" showErrorMessage="1" xr:uid="{A2659EC0-BEF1-4533-84B2-BBF1DB37DF1B}">
          <x14:formula1>
            <xm:f>'https://airfluxonline-my.sharepoint.com/personal/thomat_airflux_fr/Documents/Documents/Fichier Travaux/[Dossier Technico-Commercial - Vierge.xlsm]Descente'!#REF!</xm:f>
          </x14:formula1>
          <xm:sqref>C32 C42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C239A-83F5-4B13-A259-1DF0A33BA8C6}">
  <sheetPr codeName="Feuil13"/>
  <dimension ref="A1:M67"/>
  <sheetViews>
    <sheetView zoomScaleNormal="100" workbookViewId="0">
      <selection activeCell="D5" sqref="D5"/>
    </sheetView>
  </sheetViews>
  <sheetFormatPr baseColWidth="10" defaultRowHeight="12.75" x14ac:dyDescent="0.2"/>
  <cols>
    <col min="1" max="1" width="10.42578125" style="6" bestFit="1" customWidth="1"/>
    <col min="2" max="2" width="12.140625" style="6" bestFit="1" customWidth="1"/>
    <col min="3" max="3" width="46.42578125" style="6" bestFit="1" customWidth="1"/>
    <col min="4" max="12" width="16.140625" style="6" bestFit="1" customWidth="1"/>
    <col min="13" max="13" width="17.140625" style="6" bestFit="1" customWidth="1"/>
    <col min="14" max="16384" width="11.42578125" style="6"/>
  </cols>
  <sheetData>
    <row r="1" spans="1:13" ht="20.25" x14ac:dyDescent="0.2">
      <c r="B1" s="9"/>
      <c r="D1" s="161" t="s">
        <v>2710</v>
      </c>
      <c r="E1" s="162"/>
      <c r="F1" s="162"/>
      <c r="G1" s="162"/>
      <c r="H1" s="162"/>
      <c r="I1" s="162"/>
      <c r="J1" s="162"/>
      <c r="K1" s="162"/>
      <c r="L1" s="162"/>
      <c r="M1" s="163"/>
    </row>
    <row r="2" spans="1:13" x14ac:dyDescent="0.2">
      <c r="A2" s="6" t="s">
        <v>2791</v>
      </c>
      <c r="B2" s="6" t="s">
        <v>2792</v>
      </c>
      <c r="C2" s="6" t="s">
        <v>2695</v>
      </c>
      <c r="D2" s="40" t="s">
        <v>2825</v>
      </c>
      <c r="E2" s="41" t="s">
        <v>2827</v>
      </c>
      <c r="F2" s="40" t="s">
        <v>2826</v>
      </c>
      <c r="G2" s="41" t="s">
        <v>2828</v>
      </c>
      <c r="H2" s="40" t="s">
        <v>2829</v>
      </c>
      <c r="I2" s="41" t="s">
        <v>2830</v>
      </c>
      <c r="J2" s="41" t="s">
        <v>2831</v>
      </c>
      <c r="K2" s="41" t="s">
        <v>2832</v>
      </c>
      <c r="L2" s="40" t="s">
        <v>2833</v>
      </c>
      <c r="M2" s="40" t="s">
        <v>2834</v>
      </c>
    </row>
    <row r="3" spans="1:13" x14ac:dyDescent="0.2">
      <c r="A3" s="6">
        <v>1</v>
      </c>
      <c r="B3" s="6" t="s">
        <v>2793</v>
      </c>
      <c r="C3" s="6" t="s">
        <v>1894</v>
      </c>
      <c r="D3" s="40" t="s">
        <v>2825</v>
      </c>
      <c r="E3" s="41" t="s">
        <v>2827</v>
      </c>
      <c r="F3" s="40" t="s">
        <v>2826</v>
      </c>
      <c r="G3" s="41" t="s">
        <v>2828</v>
      </c>
      <c r="H3" s="40" t="s">
        <v>2829</v>
      </c>
      <c r="I3" s="41" t="s">
        <v>2830</v>
      </c>
      <c r="J3" s="41" t="s">
        <v>2831</v>
      </c>
      <c r="K3" s="41" t="s">
        <v>2832</v>
      </c>
      <c r="L3" s="40" t="s">
        <v>2833</v>
      </c>
      <c r="M3" s="40" t="s">
        <v>2834</v>
      </c>
    </row>
    <row r="4" spans="1:13" x14ac:dyDescent="0.2">
      <c r="A4" s="6">
        <v>2</v>
      </c>
      <c r="B4" s="6" t="s">
        <v>2793</v>
      </c>
      <c r="C4" s="6" t="s">
        <v>1896</v>
      </c>
      <c r="D4" s="41" t="s">
        <v>1193</v>
      </c>
      <c r="E4" s="41" t="s">
        <v>1109</v>
      </c>
      <c r="F4" s="40" t="s">
        <v>1190</v>
      </c>
      <c r="G4" s="41" t="s">
        <v>2</v>
      </c>
      <c r="H4" s="40" t="s">
        <v>3</v>
      </c>
      <c r="I4" s="41" t="s">
        <v>4</v>
      </c>
      <c r="J4" s="41" t="s">
        <v>0</v>
      </c>
      <c r="K4" s="41" t="s">
        <v>14</v>
      </c>
      <c r="L4" s="40" t="s">
        <v>5</v>
      </c>
      <c r="M4" s="40" t="s">
        <v>6</v>
      </c>
    </row>
    <row r="5" spans="1:13" x14ac:dyDescent="0.2">
      <c r="A5" s="6">
        <v>3</v>
      </c>
      <c r="B5" s="6" t="s">
        <v>2793</v>
      </c>
      <c r="C5" s="6" t="s">
        <v>2759</v>
      </c>
      <c r="D5" s="41">
        <v>38</v>
      </c>
      <c r="E5" s="41">
        <v>12</v>
      </c>
      <c r="F5" s="40">
        <v>34</v>
      </c>
      <c r="G5" s="41">
        <v>1</v>
      </c>
      <c r="H5" s="40">
        <v>114</v>
      </c>
      <c r="I5" s="41">
        <v>112</v>
      </c>
      <c r="J5" s="41">
        <v>2</v>
      </c>
      <c r="K5" s="41">
        <v>212</v>
      </c>
      <c r="L5" s="40">
        <v>3</v>
      </c>
      <c r="M5" s="40">
        <v>4</v>
      </c>
    </row>
    <row r="6" spans="1:13" x14ac:dyDescent="0.2">
      <c r="A6" s="6">
        <v>4</v>
      </c>
      <c r="B6" s="6" t="s">
        <v>2793</v>
      </c>
      <c r="C6" s="6" t="s">
        <v>1895</v>
      </c>
      <c r="D6" s="40">
        <v>15</v>
      </c>
      <c r="E6" s="40">
        <v>18</v>
      </c>
      <c r="F6" s="40">
        <v>22</v>
      </c>
      <c r="G6" s="40">
        <v>28</v>
      </c>
      <c r="H6" s="40">
        <v>35</v>
      </c>
      <c r="I6" s="40">
        <v>42</v>
      </c>
      <c r="J6" s="40">
        <v>54</v>
      </c>
      <c r="K6" s="40">
        <v>76.099999999999994</v>
      </c>
      <c r="L6" s="40">
        <v>88.9</v>
      </c>
      <c r="M6" s="40">
        <v>108</v>
      </c>
    </row>
    <row r="7" spans="1:13" x14ac:dyDescent="0.2">
      <c r="A7" s="6">
        <v>5</v>
      </c>
      <c r="B7" s="6" t="s">
        <v>2793</v>
      </c>
      <c r="C7" s="6" t="s">
        <v>2699</v>
      </c>
      <c r="D7" s="41" t="s">
        <v>1899</v>
      </c>
      <c r="E7" s="41" t="s">
        <v>1883</v>
      </c>
      <c r="F7" s="6" t="s">
        <v>1900</v>
      </c>
      <c r="G7" s="41" t="s">
        <v>1882</v>
      </c>
      <c r="H7" s="6" t="s">
        <v>1901</v>
      </c>
      <c r="I7" s="41" t="s">
        <v>1881</v>
      </c>
      <c r="J7" s="41" t="s">
        <v>1880</v>
      </c>
      <c r="K7" s="41" t="s">
        <v>1879</v>
      </c>
      <c r="L7" s="6" t="s">
        <v>1878</v>
      </c>
      <c r="M7" s="6" t="s">
        <v>1877</v>
      </c>
    </row>
    <row r="8" spans="1:13" x14ac:dyDescent="0.2">
      <c r="A8" s="6">
        <v>6</v>
      </c>
      <c r="B8" s="6" t="s">
        <v>2794</v>
      </c>
      <c r="C8" s="6" t="s">
        <v>19</v>
      </c>
      <c r="D8" s="6" t="s">
        <v>1170</v>
      </c>
      <c r="E8" s="6" t="s">
        <v>1171</v>
      </c>
      <c r="F8" s="6" t="s">
        <v>1172</v>
      </c>
      <c r="G8" s="6" t="s">
        <v>1173</v>
      </c>
      <c r="H8" s="6" t="s">
        <v>1867</v>
      </c>
      <c r="I8" s="6" t="s">
        <v>1174</v>
      </c>
      <c r="J8" s="6" t="s">
        <v>1175</v>
      </c>
      <c r="K8" s="6" t="s">
        <v>1176</v>
      </c>
      <c r="L8" s="6" t="s">
        <v>1177</v>
      </c>
      <c r="M8" s="6" t="s">
        <v>1178</v>
      </c>
    </row>
    <row r="9" spans="1:13" x14ac:dyDescent="0.2">
      <c r="A9" s="6">
        <v>7</v>
      </c>
      <c r="B9" s="6" t="s">
        <v>2794</v>
      </c>
      <c r="C9" s="6" t="s">
        <v>769</v>
      </c>
      <c r="D9" s="6" t="s">
        <v>1012</v>
      </c>
      <c r="E9" s="6" t="s">
        <v>1013</v>
      </c>
      <c r="F9" s="6" t="s">
        <v>1014</v>
      </c>
      <c r="G9" s="6" t="s">
        <v>1015</v>
      </c>
      <c r="H9" s="6" t="s">
        <v>1016</v>
      </c>
      <c r="I9" s="6" t="s">
        <v>1017</v>
      </c>
      <c r="J9" s="6" t="s">
        <v>1018</v>
      </c>
      <c r="K9" s="6" t="s">
        <v>1019</v>
      </c>
      <c r="L9" s="6" t="s">
        <v>1020</v>
      </c>
      <c r="M9" s="6" t="s">
        <v>1021</v>
      </c>
    </row>
    <row r="10" spans="1:13" x14ac:dyDescent="0.2">
      <c r="A10" s="6">
        <v>8</v>
      </c>
      <c r="B10" s="6" t="s">
        <v>2794</v>
      </c>
      <c r="C10" s="6" t="s">
        <v>1884</v>
      </c>
      <c r="D10" s="6" t="s">
        <v>963</v>
      </c>
      <c r="E10" s="6" t="s">
        <v>2657</v>
      </c>
      <c r="F10" s="6" t="s">
        <v>964</v>
      </c>
      <c r="G10" s="6" t="s">
        <v>965</v>
      </c>
      <c r="H10" s="6" t="s">
        <v>966</v>
      </c>
      <c r="I10" s="6" t="s">
        <v>967</v>
      </c>
      <c r="J10" s="6" t="s">
        <v>968</v>
      </c>
      <c r="K10" s="6" t="s">
        <v>969</v>
      </c>
      <c r="L10" s="6" t="s">
        <v>970</v>
      </c>
      <c r="M10" s="6" t="s">
        <v>971</v>
      </c>
    </row>
    <row r="11" spans="1:13" x14ac:dyDescent="0.2">
      <c r="A11" s="6">
        <v>9</v>
      </c>
      <c r="B11" s="6" t="s">
        <v>2794</v>
      </c>
      <c r="C11" s="6" t="s">
        <v>1885</v>
      </c>
      <c r="D11" s="6" t="s">
        <v>972</v>
      </c>
      <c r="E11" s="6" t="s">
        <v>973</v>
      </c>
      <c r="F11" s="6" t="s">
        <v>974</v>
      </c>
      <c r="G11" s="6" t="s">
        <v>975</v>
      </c>
      <c r="H11" s="6" t="s">
        <v>976</v>
      </c>
      <c r="I11" s="6" t="s">
        <v>977</v>
      </c>
      <c r="J11" s="6" t="s">
        <v>978</v>
      </c>
      <c r="K11" s="6" t="s">
        <v>979</v>
      </c>
      <c r="L11" s="6" t="s">
        <v>980</v>
      </c>
      <c r="M11" s="6" t="s">
        <v>981</v>
      </c>
    </row>
    <row r="12" spans="1:13" x14ac:dyDescent="0.2">
      <c r="A12" s="6">
        <v>10</v>
      </c>
      <c r="B12" s="6" t="s">
        <v>2794</v>
      </c>
      <c r="C12" s="6" t="s">
        <v>2779</v>
      </c>
      <c r="D12" s="6" t="s">
        <v>953</v>
      </c>
      <c r="E12" s="6" t="s">
        <v>954</v>
      </c>
      <c r="F12" s="6" t="s">
        <v>955</v>
      </c>
      <c r="G12" s="6" t="s">
        <v>956</v>
      </c>
      <c r="H12" s="6" t="s">
        <v>957</v>
      </c>
      <c r="I12" s="6" t="s">
        <v>958</v>
      </c>
      <c r="J12" s="6" t="s">
        <v>959</v>
      </c>
      <c r="K12" s="6" t="s">
        <v>960</v>
      </c>
      <c r="L12" s="6" t="s">
        <v>961</v>
      </c>
      <c r="M12" s="6" t="s">
        <v>962</v>
      </c>
    </row>
    <row r="13" spans="1:13" x14ac:dyDescent="0.2">
      <c r="A13" s="6">
        <v>11</v>
      </c>
      <c r="B13" s="6" t="s">
        <v>2794</v>
      </c>
      <c r="C13" s="6" t="s">
        <v>2780</v>
      </c>
      <c r="D13" s="6" t="str">
        <f>D12&amp;"S"</f>
        <v>R45150S</v>
      </c>
      <c r="E13" s="6" t="str">
        <f t="shared" ref="E13:M13" si="0">E12&amp;"S"</f>
        <v>R45180S</v>
      </c>
      <c r="F13" s="6" t="str">
        <f t="shared" si="0"/>
        <v>R45220S</v>
      </c>
      <c r="G13" s="6" t="str">
        <f t="shared" si="0"/>
        <v>R45280S</v>
      </c>
      <c r="H13" s="6" t="str">
        <f t="shared" si="0"/>
        <v>R45350S</v>
      </c>
      <c r="I13" s="6" t="str">
        <f t="shared" si="0"/>
        <v>R45420S</v>
      </c>
      <c r="J13" s="6" t="str">
        <f t="shared" si="0"/>
        <v>R45540S</v>
      </c>
      <c r="K13" s="6" t="str">
        <f t="shared" si="0"/>
        <v>R45760S</v>
      </c>
      <c r="L13" s="6" t="str">
        <f t="shared" si="0"/>
        <v>R45800S</v>
      </c>
      <c r="M13" s="6" t="str">
        <f t="shared" si="0"/>
        <v>R45108S</v>
      </c>
    </row>
    <row r="14" spans="1:13" x14ac:dyDescent="0.2">
      <c r="A14" s="6">
        <v>12</v>
      </c>
      <c r="B14" s="6" t="s">
        <v>2794</v>
      </c>
      <c r="C14" s="6" t="s">
        <v>1886</v>
      </c>
      <c r="D14" s="6" t="s">
        <v>2735</v>
      </c>
      <c r="E14" s="6" t="s">
        <v>2735</v>
      </c>
      <c r="F14" s="6" t="s">
        <v>2735</v>
      </c>
      <c r="G14" s="6" t="s">
        <v>1036</v>
      </c>
      <c r="H14" s="6" t="s">
        <v>1902</v>
      </c>
      <c r="I14" s="6" t="s">
        <v>1044</v>
      </c>
      <c r="J14" s="6" t="s">
        <v>1049</v>
      </c>
      <c r="K14" s="6" t="s">
        <v>1051</v>
      </c>
      <c r="L14" s="6" t="s">
        <v>1897</v>
      </c>
      <c r="M14" s="6" t="s">
        <v>1055</v>
      </c>
    </row>
    <row r="15" spans="1:13" x14ac:dyDescent="0.2">
      <c r="A15" s="6">
        <v>13</v>
      </c>
      <c r="B15" s="6" t="s">
        <v>2794</v>
      </c>
      <c r="C15" s="6" t="s">
        <v>1098</v>
      </c>
      <c r="D15" s="6" t="s">
        <v>1097</v>
      </c>
      <c r="E15" s="6" t="s">
        <v>1099</v>
      </c>
      <c r="F15" s="6" t="s">
        <v>1100</v>
      </c>
      <c r="G15" s="6" t="s">
        <v>1101</v>
      </c>
      <c r="H15" s="6" t="s">
        <v>1102</v>
      </c>
      <c r="I15" s="6" t="s">
        <v>1103</v>
      </c>
      <c r="J15" s="6" t="s">
        <v>1104</v>
      </c>
      <c r="K15" s="6" t="s">
        <v>1105</v>
      </c>
      <c r="L15" s="6" t="s">
        <v>1106</v>
      </c>
      <c r="M15" s="6" t="s">
        <v>1107</v>
      </c>
    </row>
    <row r="16" spans="1:13" x14ac:dyDescent="0.2">
      <c r="A16" s="6">
        <v>14</v>
      </c>
      <c r="B16" s="6" t="s">
        <v>2794</v>
      </c>
      <c r="C16" s="6" t="s">
        <v>1887</v>
      </c>
      <c r="D16" s="6" t="s">
        <v>2735</v>
      </c>
      <c r="E16" s="6" t="s">
        <v>2735</v>
      </c>
      <c r="F16" s="6" t="s">
        <v>1135</v>
      </c>
      <c r="G16" s="6" t="s">
        <v>1138</v>
      </c>
      <c r="H16" s="6" t="s">
        <v>1142</v>
      </c>
      <c r="I16" s="6" t="s">
        <v>1146</v>
      </c>
      <c r="J16" s="6" t="s">
        <v>1151</v>
      </c>
      <c r="K16" s="6" t="s">
        <v>1156</v>
      </c>
      <c r="L16" s="6" t="s">
        <v>1898</v>
      </c>
      <c r="M16" s="6" t="s">
        <v>1168</v>
      </c>
    </row>
    <row r="17" spans="1:13" x14ac:dyDescent="0.2">
      <c r="A17" s="6">
        <v>15</v>
      </c>
      <c r="B17" s="6" t="s">
        <v>2794</v>
      </c>
      <c r="C17" s="6" t="s">
        <v>1907</v>
      </c>
      <c r="D17" s="6" t="s">
        <v>1108</v>
      </c>
      <c r="E17" s="6" t="s">
        <v>1110</v>
      </c>
      <c r="F17" s="6" t="s">
        <v>1112</v>
      </c>
      <c r="G17" s="6" t="s">
        <v>1114</v>
      </c>
      <c r="H17" s="6" t="s">
        <v>1117</v>
      </c>
      <c r="I17" s="6" t="s">
        <v>1120</v>
      </c>
      <c r="J17" s="6" t="s">
        <v>1123</v>
      </c>
      <c r="K17" s="6" t="s">
        <v>1126</v>
      </c>
      <c r="L17" s="6" t="s">
        <v>1129</v>
      </c>
      <c r="M17" s="6" t="s">
        <v>1131</v>
      </c>
    </row>
    <row r="18" spans="1:13" x14ac:dyDescent="0.2">
      <c r="A18" s="6">
        <v>16</v>
      </c>
      <c r="B18" s="6" t="s">
        <v>2794</v>
      </c>
      <c r="C18" s="6" t="s">
        <v>1908</v>
      </c>
      <c r="D18" s="6" t="s">
        <v>1108</v>
      </c>
      <c r="E18" s="6" t="s">
        <v>1111</v>
      </c>
      <c r="F18" s="6" t="s">
        <v>1113</v>
      </c>
      <c r="G18" s="6" t="s">
        <v>1115</v>
      </c>
      <c r="H18" s="6" t="s">
        <v>1119</v>
      </c>
      <c r="I18" s="6" t="s">
        <v>1122</v>
      </c>
      <c r="J18" s="6" t="s">
        <v>1125</v>
      </c>
      <c r="K18" s="6" t="s">
        <v>1128</v>
      </c>
      <c r="L18" s="6" t="s">
        <v>1130</v>
      </c>
      <c r="M18" s="6" t="s">
        <v>1132</v>
      </c>
    </row>
    <row r="19" spans="1:13" x14ac:dyDescent="0.2">
      <c r="A19" s="6">
        <v>17</v>
      </c>
      <c r="B19" s="6" t="s">
        <v>1888</v>
      </c>
      <c r="C19" s="6" t="s">
        <v>2753</v>
      </c>
      <c r="D19" s="6" t="s">
        <v>1708</v>
      </c>
      <c r="E19" s="6" t="s">
        <v>1709</v>
      </c>
      <c r="F19" s="6" t="s">
        <v>1710</v>
      </c>
      <c r="G19" s="6" t="s">
        <v>1711</v>
      </c>
      <c r="H19" s="6" t="s">
        <v>1712</v>
      </c>
      <c r="I19" s="6" t="s">
        <v>1713</v>
      </c>
      <c r="J19" s="6" t="s">
        <v>1714</v>
      </c>
      <c r="K19" s="6" t="s">
        <v>1715</v>
      </c>
      <c r="L19" s="6" t="s">
        <v>1716</v>
      </c>
      <c r="M19" s="6" t="s">
        <v>2735</v>
      </c>
    </row>
    <row r="20" spans="1:13" x14ac:dyDescent="0.2">
      <c r="A20" s="6">
        <v>18</v>
      </c>
      <c r="B20" s="6" t="s">
        <v>1888</v>
      </c>
      <c r="C20" s="6" t="s">
        <v>2752</v>
      </c>
      <c r="D20" s="6" t="s">
        <v>1725</v>
      </c>
      <c r="E20" s="6" t="s">
        <v>1726</v>
      </c>
      <c r="F20" s="6" t="s">
        <v>1727</v>
      </c>
      <c r="G20" s="6" t="s">
        <v>1728</v>
      </c>
      <c r="H20" s="6" t="s">
        <v>1729</v>
      </c>
      <c r="I20" s="6" t="s">
        <v>1730</v>
      </c>
      <c r="J20" s="6" t="s">
        <v>1731</v>
      </c>
      <c r="K20" s="6" t="s">
        <v>1732</v>
      </c>
      <c r="L20" s="6" t="s">
        <v>2757</v>
      </c>
      <c r="M20" s="6" t="s">
        <v>2735</v>
      </c>
    </row>
    <row r="21" spans="1:13" x14ac:dyDescent="0.2">
      <c r="A21" s="6">
        <v>19</v>
      </c>
      <c r="B21" s="6" t="s">
        <v>1888</v>
      </c>
      <c r="C21" s="6" t="s">
        <v>2755</v>
      </c>
      <c r="D21" s="6" t="str">
        <f>D19&amp;".CAD.I"</f>
        <v>VBP38FF.CAD.I</v>
      </c>
      <c r="E21" s="6" t="str">
        <f t="shared" ref="E21:L21" si="1">E19&amp;".CAD.I"</f>
        <v>VBP12FF.CAD.I</v>
      </c>
      <c r="F21" s="6" t="str">
        <f t="shared" si="1"/>
        <v>VBP34FF.CAD.I</v>
      </c>
      <c r="G21" s="6" t="str">
        <f t="shared" si="1"/>
        <v>VBP1FF.CAD.I</v>
      </c>
      <c r="H21" s="6" t="str">
        <f t="shared" si="1"/>
        <v>VBP114FF.CAD.I</v>
      </c>
      <c r="I21" s="6" t="str">
        <f t="shared" si="1"/>
        <v>VBP112FF.CAD.I</v>
      </c>
      <c r="J21" s="6" t="str">
        <f t="shared" si="1"/>
        <v>VBP2FF.CAD.I</v>
      </c>
      <c r="K21" s="6" t="str">
        <f t="shared" si="1"/>
        <v>VBP212FF.CAD.I</v>
      </c>
      <c r="L21" s="6" t="str">
        <f t="shared" si="1"/>
        <v>VBP3FF.CAD.I</v>
      </c>
      <c r="M21" s="6" t="s">
        <v>2735</v>
      </c>
    </row>
    <row r="22" spans="1:13" x14ac:dyDescent="0.2">
      <c r="A22" s="6">
        <v>20</v>
      </c>
      <c r="B22" s="6" t="s">
        <v>1888</v>
      </c>
      <c r="C22" s="6" t="s">
        <v>2756</v>
      </c>
      <c r="D22" s="6" t="str">
        <f>D20&amp;".CAD.I"</f>
        <v>VBP38MF.CAD.I</v>
      </c>
      <c r="E22" s="6" t="str">
        <f t="shared" ref="E22:L22" si="2">E20&amp;".CAD.I"</f>
        <v>VBP12MF.CAD.I</v>
      </c>
      <c r="F22" s="6" t="str">
        <f t="shared" si="2"/>
        <v>VBP34MF.CAD.I</v>
      </c>
      <c r="G22" s="6" t="str">
        <f t="shared" si="2"/>
        <v>VBP1MF.CAD.I</v>
      </c>
      <c r="H22" s="6" t="str">
        <f t="shared" si="2"/>
        <v>VBP114MF.CAD.I</v>
      </c>
      <c r="I22" s="6" t="str">
        <f t="shared" si="2"/>
        <v>VBP112MF.CAD.I</v>
      </c>
      <c r="J22" s="6" t="str">
        <f t="shared" si="2"/>
        <v>VBP2MF.CAD.I</v>
      </c>
      <c r="K22" s="6" t="str">
        <f t="shared" si="2"/>
        <v>VBP212MF.CAD.I</v>
      </c>
      <c r="L22" s="6" t="str">
        <f t="shared" si="2"/>
        <v>VBP3MF.CAD.I</v>
      </c>
      <c r="M22" s="6" t="s">
        <v>2735</v>
      </c>
    </row>
    <row r="23" spans="1:13" x14ac:dyDescent="0.2">
      <c r="A23" s="6">
        <v>21</v>
      </c>
      <c r="B23" s="6" t="s">
        <v>2794</v>
      </c>
      <c r="C23" s="6" t="s">
        <v>2754</v>
      </c>
      <c r="D23" s="6" t="s">
        <v>1075</v>
      </c>
      <c r="E23" s="6" t="s">
        <v>1078</v>
      </c>
      <c r="F23" s="6" t="s">
        <v>1081</v>
      </c>
      <c r="G23" s="6" t="s">
        <v>1085</v>
      </c>
      <c r="H23" s="6" t="s">
        <v>1088</v>
      </c>
      <c r="I23" s="6" t="s">
        <v>1091</v>
      </c>
      <c r="J23" s="6" t="s">
        <v>1093</v>
      </c>
      <c r="K23" s="6" t="s">
        <v>1094</v>
      </c>
      <c r="L23" s="6" t="s">
        <v>1095</v>
      </c>
      <c r="M23" s="6" t="s">
        <v>1096</v>
      </c>
    </row>
    <row r="24" spans="1:13" x14ac:dyDescent="0.2">
      <c r="A24" s="6">
        <v>22</v>
      </c>
      <c r="B24" s="6" t="s">
        <v>2794</v>
      </c>
      <c r="C24" s="6" t="s">
        <v>2781</v>
      </c>
      <c r="D24" s="6" t="s">
        <v>2758</v>
      </c>
      <c r="E24" s="6" t="s">
        <v>1059</v>
      </c>
      <c r="F24" s="6" t="s">
        <v>1062</v>
      </c>
      <c r="G24" s="6" t="s">
        <v>1085</v>
      </c>
      <c r="H24" s="6" t="s">
        <v>1069</v>
      </c>
      <c r="I24" s="6" t="s">
        <v>1072</v>
      </c>
      <c r="J24" s="6" t="s">
        <v>1074</v>
      </c>
      <c r="K24" s="6" t="s">
        <v>2735</v>
      </c>
      <c r="L24" s="6" t="s">
        <v>2735</v>
      </c>
      <c r="M24" s="6" t="s">
        <v>2735</v>
      </c>
    </row>
    <row r="25" spans="1:13" x14ac:dyDescent="0.2">
      <c r="A25" s="6">
        <v>23</v>
      </c>
      <c r="B25" s="6" t="s">
        <v>1888</v>
      </c>
      <c r="C25" s="6" t="s">
        <v>2708</v>
      </c>
      <c r="D25" s="6" t="s">
        <v>2735</v>
      </c>
      <c r="E25" s="6" t="s">
        <v>2735</v>
      </c>
      <c r="F25" s="6" t="s">
        <v>2735</v>
      </c>
      <c r="G25" s="6" t="s">
        <v>2735</v>
      </c>
      <c r="H25" s="6" t="s">
        <v>2735</v>
      </c>
      <c r="I25" s="6" t="s">
        <v>2735</v>
      </c>
      <c r="J25" s="6" t="s">
        <v>1745</v>
      </c>
      <c r="K25" s="6" t="s">
        <v>1746</v>
      </c>
      <c r="L25" s="6" t="s">
        <v>1747</v>
      </c>
      <c r="M25" s="6" t="s">
        <v>1748</v>
      </c>
    </row>
    <row r="26" spans="1:13" x14ac:dyDescent="0.2">
      <c r="A26" s="6">
        <v>24</v>
      </c>
      <c r="B26" s="6" t="s">
        <v>2794</v>
      </c>
      <c r="C26" s="6" t="s">
        <v>1906</v>
      </c>
      <c r="D26" s="6" t="s">
        <v>2735</v>
      </c>
      <c r="E26" s="6" t="s">
        <v>2735</v>
      </c>
      <c r="F26" s="6" t="s">
        <v>2735</v>
      </c>
      <c r="G26" s="6" t="s">
        <v>2735</v>
      </c>
      <c r="H26" s="6" t="s">
        <v>2735</v>
      </c>
      <c r="I26" s="6" t="s">
        <v>2735</v>
      </c>
      <c r="J26" s="6" t="s">
        <v>910</v>
      </c>
      <c r="K26" s="6" t="s">
        <v>911</v>
      </c>
      <c r="L26" s="6" t="s">
        <v>912</v>
      </c>
      <c r="M26" s="6" t="s">
        <v>913</v>
      </c>
    </row>
    <row r="27" spans="1:13" x14ac:dyDescent="0.2">
      <c r="A27" s="6">
        <v>25</v>
      </c>
      <c r="B27" s="6" t="s">
        <v>2795</v>
      </c>
      <c r="C27" s="6" t="s">
        <v>2783</v>
      </c>
      <c r="D27" s="6" t="s">
        <v>2735</v>
      </c>
      <c r="E27" s="6" t="s">
        <v>2735</v>
      </c>
      <c r="F27" s="6" t="s">
        <v>2735</v>
      </c>
      <c r="G27" s="6" t="s">
        <v>2735</v>
      </c>
      <c r="H27" s="6" t="s">
        <v>2735</v>
      </c>
      <c r="I27" s="6" t="s">
        <v>2735</v>
      </c>
      <c r="J27" s="6" t="s">
        <v>2735</v>
      </c>
      <c r="K27" t="s">
        <v>124</v>
      </c>
      <c r="L27" t="s">
        <v>125</v>
      </c>
      <c r="M27" t="s">
        <v>126</v>
      </c>
    </row>
    <row r="28" spans="1:13" x14ac:dyDescent="0.2">
      <c r="A28" s="6">
        <v>26</v>
      </c>
      <c r="B28" s="6" t="s">
        <v>130</v>
      </c>
      <c r="C28" s="6" t="s">
        <v>1904</v>
      </c>
      <c r="D28" s="6" t="s">
        <v>168</v>
      </c>
      <c r="E28" s="6" t="s">
        <v>169</v>
      </c>
      <c r="F28" s="6" t="s">
        <v>170</v>
      </c>
      <c r="G28" s="6" t="s">
        <v>171</v>
      </c>
      <c r="H28" s="6" t="s">
        <v>172</v>
      </c>
      <c r="I28" s="6" t="s">
        <v>173</v>
      </c>
      <c r="J28" s="6" t="s">
        <v>174</v>
      </c>
      <c r="K28" s="6" t="s">
        <v>175</v>
      </c>
      <c r="L28" s="6" t="s">
        <v>176</v>
      </c>
      <c r="M28" s="6" t="s">
        <v>177</v>
      </c>
    </row>
    <row r="29" spans="1:13" x14ac:dyDescent="0.2">
      <c r="A29" s="6">
        <v>27</v>
      </c>
      <c r="B29" s="6" t="s">
        <v>130</v>
      </c>
      <c r="C29" s="6" t="s">
        <v>1903</v>
      </c>
      <c r="D29" s="6" t="s">
        <v>178</v>
      </c>
      <c r="E29" s="6" t="s">
        <v>179</v>
      </c>
      <c r="F29" s="6" t="s">
        <v>180</v>
      </c>
      <c r="G29" s="6" t="s">
        <v>181</v>
      </c>
      <c r="H29" s="6" t="s">
        <v>182</v>
      </c>
      <c r="I29" s="6" t="s">
        <v>183</v>
      </c>
      <c r="J29" s="6" t="s">
        <v>184</v>
      </c>
      <c r="K29" s="6" t="s">
        <v>185</v>
      </c>
      <c r="L29" s="6" t="s">
        <v>186</v>
      </c>
      <c r="M29" s="6" t="s">
        <v>187</v>
      </c>
    </row>
    <row r="30" spans="1:13" x14ac:dyDescent="0.2">
      <c r="A30" s="6">
        <v>28</v>
      </c>
      <c r="B30" s="6" t="s">
        <v>130</v>
      </c>
      <c r="C30" s="6" t="s">
        <v>2709</v>
      </c>
      <c r="D30" s="6">
        <v>30953</v>
      </c>
      <c r="E30" s="6">
        <v>30953</v>
      </c>
      <c r="F30" s="6">
        <v>30953</v>
      </c>
      <c r="G30" s="6">
        <v>30953</v>
      </c>
      <c r="H30" s="6">
        <v>30953</v>
      </c>
      <c r="I30" s="6">
        <v>30953</v>
      </c>
      <c r="J30" s="6">
        <v>30953</v>
      </c>
      <c r="K30" s="6" t="s">
        <v>223</v>
      </c>
      <c r="L30" s="6" t="s">
        <v>223</v>
      </c>
      <c r="M30" s="6" t="s">
        <v>223</v>
      </c>
    </row>
    <row r="31" spans="1:13" x14ac:dyDescent="0.2">
      <c r="A31" s="6">
        <v>29</v>
      </c>
      <c r="B31" s="6" t="s">
        <v>2794</v>
      </c>
      <c r="C31" s="6" t="s">
        <v>699</v>
      </c>
      <c r="D31" s="6" t="s">
        <v>890</v>
      </c>
      <c r="E31" s="6" t="s">
        <v>891</v>
      </c>
      <c r="F31" s="6" t="s">
        <v>892</v>
      </c>
      <c r="G31" s="6" t="s">
        <v>893</v>
      </c>
      <c r="H31" s="6" t="s">
        <v>894</v>
      </c>
      <c r="I31" s="6" t="s">
        <v>895</v>
      </c>
      <c r="J31" s="6" t="s">
        <v>896</v>
      </c>
      <c r="K31" s="6" t="s">
        <v>897</v>
      </c>
      <c r="L31" s="6" t="s">
        <v>898</v>
      </c>
      <c r="M31" s="6" t="s">
        <v>899</v>
      </c>
    </row>
    <row r="32" spans="1:13" x14ac:dyDescent="0.2">
      <c r="A32" s="6">
        <v>30</v>
      </c>
      <c r="B32" s="6" t="s">
        <v>2794</v>
      </c>
      <c r="C32" s="6" t="s">
        <v>1905</v>
      </c>
      <c r="D32" s="6" t="s">
        <v>900</v>
      </c>
      <c r="E32" s="6" t="s">
        <v>901</v>
      </c>
      <c r="F32" s="6" t="s">
        <v>902</v>
      </c>
      <c r="G32" s="6" t="s">
        <v>903</v>
      </c>
      <c r="H32" s="6" t="s">
        <v>904</v>
      </c>
      <c r="I32" s="6" t="s">
        <v>905</v>
      </c>
      <c r="J32" s="6" t="s">
        <v>906</v>
      </c>
      <c r="K32" s="6" t="s">
        <v>907</v>
      </c>
      <c r="L32" s="6" t="s">
        <v>908</v>
      </c>
      <c r="M32" s="6" t="s">
        <v>909</v>
      </c>
    </row>
    <row r="33" spans="1:13" x14ac:dyDescent="0.2">
      <c r="A33" s="6">
        <v>31</v>
      </c>
      <c r="B33" s="6" t="s">
        <v>2794</v>
      </c>
      <c r="C33" s="6" t="s">
        <v>1906</v>
      </c>
      <c r="D33" s="6" t="s">
        <v>2735</v>
      </c>
      <c r="E33" s="6" t="s">
        <v>2735</v>
      </c>
      <c r="F33" s="6" t="s">
        <v>2735</v>
      </c>
      <c r="G33" s="6" t="s">
        <v>2735</v>
      </c>
      <c r="H33" s="6" t="s">
        <v>2735</v>
      </c>
      <c r="I33" s="6" t="s">
        <v>2735</v>
      </c>
      <c r="J33" s="6" t="s">
        <v>910</v>
      </c>
      <c r="K33" s="6" t="s">
        <v>911</v>
      </c>
      <c r="L33" s="6" t="s">
        <v>912</v>
      </c>
      <c r="M33" s="6" t="s">
        <v>913</v>
      </c>
    </row>
    <row r="34" spans="1:13" x14ac:dyDescent="0.2">
      <c r="A34" s="6">
        <v>32</v>
      </c>
      <c r="B34" s="6" t="s">
        <v>130</v>
      </c>
      <c r="C34" s="6" t="s">
        <v>2664</v>
      </c>
      <c r="D34" s="6" t="s">
        <v>201</v>
      </c>
      <c r="E34" s="6" t="s">
        <v>201</v>
      </c>
      <c r="F34" s="6" t="s">
        <v>201</v>
      </c>
      <c r="G34" s="6" t="s">
        <v>201</v>
      </c>
      <c r="H34" s="6" t="s">
        <v>201</v>
      </c>
      <c r="I34" s="6" t="s">
        <v>201</v>
      </c>
      <c r="J34" s="6" t="s">
        <v>201</v>
      </c>
      <c r="K34" s="6">
        <v>40142</v>
      </c>
      <c r="L34" s="6">
        <v>40142</v>
      </c>
      <c r="M34" s="6">
        <v>40142</v>
      </c>
    </row>
    <row r="35" spans="1:13" x14ac:dyDescent="0.2">
      <c r="A35" s="6">
        <v>33</v>
      </c>
      <c r="B35" s="6" t="s">
        <v>130</v>
      </c>
      <c r="C35" s="6" t="s">
        <v>2751</v>
      </c>
      <c r="D35" s="4">
        <v>33707</v>
      </c>
      <c r="E35" s="4">
        <v>33707</v>
      </c>
      <c r="F35" s="4">
        <v>33707</v>
      </c>
      <c r="G35" s="4">
        <v>33707</v>
      </c>
      <c r="H35" s="4">
        <v>33707</v>
      </c>
      <c r="I35" s="4">
        <v>33707</v>
      </c>
      <c r="J35" s="4">
        <v>33707</v>
      </c>
      <c r="K35" s="4">
        <v>32921</v>
      </c>
      <c r="L35" s="4">
        <v>32921</v>
      </c>
      <c r="M35" s="4">
        <v>32921</v>
      </c>
    </row>
    <row r="36" spans="1:13" x14ac:dyDescent="0.2">
      <c r="A36" s="6">
        <v>34</v>
      </c>
      <c r="B36" s="6" t="s">
        <v>2796</v>
      </c>
      <c r="C36" s="6" t="s">
        <v>2760</v>
      </c>
      <c r="D36" s="5" t="str">
        <f>"1G"&amp;D$5</f>
        <v>1G38</v>
      </c>
      <c r="E36" s="5" t="str">
        <f t="shared" ref="E36:M36" si="3">"1G"&amp;E$5</f>
        <v>1G12</v>
      </c>
      <c r="F36" s="5" t="str">
        <f t="shared" si="3"/>
        <v>1G34</v>
      </c>
      <c r="G36" s="5" t="str">
        <f t="shared" si="3"/>
        <v>1G1</v>
      </c>
      <c r="H36" s="5" t="str">
        <f t="shared" si="3"/>
        <v>1G114</v>
      </c>
      <c r="I36" s="5" t="str">
        <f t="shared" si="3"/>
        <v>1G112</v>
      </c>
      <c r="J36" s="5" t="str">
        <f t="shared" si="3"/>
        <v>1G2</v>
      </c>
      <c r="K36" s="5" t="str">
        <f t="shared" si="3"/>
        <v>1G212</v>
      </c>
      <c r="L36" s="5" t="str">
        <f t="shared" si="3"/>
        <v>1G3</v>
      </c>
      <c r="M36" s="5" t="str">
        <f t="shared" si="3"/>
        <v>1G4</v>
      </c>
    </row>
    <row r="37" spans="1:13" x14ac:dyDescent="0.2">
      <c r="A37" s="6">
        <v>35</v>
      </c>
      <c r="B37" s="6" t="s">
        <v>2796</v>
      </c>
      <c r="C37" s="6" t="s">
        <v>2761</v>
      </c>
      <c r="D37" s="4" t="str">
        <f>"2G"&amp;D5</f>
        <v>2G38</v>
      </c>
      <c r="E37" s="4" t="str">
        <f t="shared" ref="E37:M37" si="4">"2G"&amp;E5</f>
        <v>2G12</v>
      </c>
      <c r="F37" s="4" t="str">
        <f t="shared" si="4"/>
        <v>2G34</v>
      </c>
      <c r="G37" s="4" t="str">
        <f t="shared" si="4"/>
        <v>2G1</v>
      </c>
      <c r="H37" s="4" t="str">
        <f t="shared" si="4"/>
        <v>2G114</v>
      </c>
      <c r="I37" s="4" t="str">
        <f t="shared" si="4"/>
        <v>2G112</v>
      </c>
      <c r="J37" s="4" t="str">
        <f t="shared" si="4"/>
        <v>2G2</v>
      </c>
      <c r="K37" s="4" t="str">
        <f t="shared" si="4"/>
        <v>2G212</v>
      </c>
      <c r="L37" s="4" t="str">
        <f t="shared" si="4"/>
        <v>2G3</v>
      </c>
      <c r="M37" s="4" t="str">
        <f t="shared" si="4"/>
        <v>2G4</v>
      </c>
    </row>
    <row r="38" spans="1:13" x14ac:dyDescent="0.2">
      <c r="A38" s="6">
        <v>36</v>
      </c>
      <c r="B38" s="6" t="s">
        <v>2796</v>
      </c>
      <c r="C38" s="6" t="s">
        <v>2762</v>
      </c>
      <c r="D38" s="5" t="str">
        <f>"90G"&amp;D$5</f>
        <v>90G38</v>
      </c>
      <c r="E38" s="5" t="str">
        <f t="shared" ref="E38:M38" si="5">"90G"&amp;E$5</f>
        <v>90G12</v>
      </c>
      <c r="F38" s="5" t="str">
        <f t="shared" si="5"/>
        <v>90G34</v>
      </c>
      <c r="G38" s="5" t="str">
        <f t="shared" si="5"/>
        <v>90G1</v>
      </c>
      <c r="H38" s="5" t="str">
        <f t="shared" si="5"/>
        <v>90G114</v>
      </c>
      <c r="I38" s="5" t="str">
        <f t="shared" si="5"/>
        <v>90G112</v>
      </c>
      <c r="J38" s="5" t="str">
        <f t="shared" si="5"/>
        <v>90G2</v>
      </c>
      <c r="K38" s="5" t="str">
        <f t="shared" si="5"/>
        <v>90G212</v>
      </c>
      <c r="L38" s="5" t="str">
        <f t="shared" si="5"/>
        <v>90G3</v>
      </c>
      <c r="M38" s="5" t="str">
        <f t="shared" si="5"/>
        <v>90G4</v>
      </c>
    </row>
    <row r="39" spans="1:13" x14ac:dyDescent="0.2">
      <c r="A39" s="6">
        <v>37</v>
      </c>
      <c r="B39" s="6" t="s">
        <v>2796</v>
      </c>
      <c r="C39" s="6" t="s">
        <v>2763</v>
      </c>
      <c r="D39" s="5" t="str">
        <f>"92G"&amp;D$5</f>
        <v>92G38</v>
      </c>
      <c r="E39" s="5" t="str">
        <f t="shared" ref="E39:M39" si="6">"92G"&amp;E$5</f>
        <v>92G12</v>
      </c>
      <c r="F39" s="5" t="str">
        <f t="shared" si="6"/>
        <v>92G34</v>
      </c>
      <c r="G39" s="5" t="str">
        <f t="shared" si="6"/>
        <v>92G1</v>
      </c>
      <c r="H39" s="5" t="str">
        <f t="shared" si="6"/>
        <v>92G114</v>
      </c>
      <c r="I39" s="5" t="str">
        <f t="shared" si="6"/>
        <v>92G112</v>
      </c>
      <c r="J39" s="5" t="str">
        <f t="shared" si="6"/>
        <v>92G2</v>
      </c>
      <c r="K39" s="5" t="str">
        <f t="shared" si="6"/>
        <v>92G212</v>
      </c>
      <c r="L39" s="5" t="str">
        <f t="shared" si="6"/>
        <v>92G3</v>
      </c>
      <c r="M39" s="5" t="str">
        <f t="shared" si="6"/>
        <v>92G4</v>
      </c>
    </row>
    <row r="40" spans="1:13" x14ac:dyDescent="0.2">
      <c r="A40" s="6">
        <v>38</v>
      </c>
      <c r="B40" s="6" t="s">
        <v>2796</v>
      </c>
      <c r="C40" s="6" t="s">
        <v>2764</v>
      </c>
      <c r="D40" s="5" t="str">
        <f>"96G"&amp;D$5</f>
        <v>96G38</v>
      </c>
      <c r="E40" s="5" t="str">
        <f t="shared" ref="E40:M40" si="7">"96G"&amp;E$5</f>
        <v>96G12</v>
      </c>
      <c r="F40" s="5" t="str">
        <f t="shared" si="7"/>
        <v>96G34</v>
      </c>
      <c r="G40" s="5" t="str">
        <f t="shared" si="7"/>
        <v>96G1</v>
      </c>
      <c r="H40" s="5" t="str">
        <f t="shared" si="7"/>
        <v>96G114</v>
      </c>
      <c r="I40" s="5" t="str">
        <f t="shared" si="7"/>
        <v>96G112</v>
      </c>
      <c r="J40" s="5" t="str">
        <f t="shared" si="7"/>
        <v>96G2</v>
      </c>
      <c r="K40" s="5" t="str">
        <f t="shared" si="7"/>
        <v>96G212</v>
      </c>
      <c r="L40" s="5" t="str">
        <f t="shared" si="7"/>
        <v>96G3</v>
      </c>
      <c r="M40" s="5" t="str">
        <f t="shared" si="7"/>
        <v>96G4</v>
      </c>
    </row>
    <row r="41" spans="1:13" x14ac:dyDescent="0.2">
      <c r="A41" s="6">
        <v>39</v>
      </c>
      <c r="B41" s="6" t="s">
        <v>2796</v>
      </c>
      <c r="C41" s="6" t="s">
        <v>2765</v>
      </c>
      <c r="D41" s="5" t="str">
        <f>"98G"&amp;D$5</f>
        <v>98G38</v>
      </c>
      <c r="E41" s="5" t="str">
        <f t="shared" ref="E41:M41" si="8">"98G"&amp;E$5</f>
        <v>98G12</v>
      </c>
      <c r="F41" s="5" t="str">
        <f t="shared" si="8"/>
        <v>98G34</v>
      </c>
      <c r="G41" s="5" t="str">
        <f t="shared" si="8"/>
        <v>98G1</v>
      </c>
      <c r="H41" s="5" t="str">
        <f t="shared" si="8"/>
        <v>98G114</v>
      </c>
      <c r="I41" s="5" t="str">
        <f t="shared" si="8"/>
        <v>98G112</v>
      </c>
      <c r="J41" s="5" t="str">
        <f t="shared" si="8"/>
        <v>98G2</v>
      </c>
      <c r="K41" s="5" t="str">
        <f t="shared" si="8"/>
        <v>98G212</v>
      </c>
      <c r="L41" s="5" t="str">
        <f t="shared" si="8"/>
        <v>98G3</v>
      </c>
      <c r="M41" s="5" t="str">
        <f t="shared" si="8"/>
        <v>98G4</v>
      </c>
    </row>
    <row r="42" spans="1:13" x14ac:dyDescent="0.2">
      <c r="A42" s="6">
        <v>40</v>
      </c>
      <c r="B42" s="6" t="s">
        <v>2796</v>
      </c>
      <c r="C42" s="6" t="s">
        <v>605</v>
      </c>
      <c r="D42" s="5" t="str">
        <f>"130G"&amp;D$5</f>
        <v>130G38</v>
      </c>
      <c r="E42" s="5" t="str">
        <f t="shared" ref="E42:M42" si="9">"130G"&amp;E$5</f>
        <v>130G12</v>
      </c>
      <c r="F42" s="5" t="str">
        <f t="shared" si="9"/>
        <v>130G34</v>
      </c>
      <c r="G42" s="5" t="str">
        <f t="shared" si="9"/>
        <v>130G1</v>
      </c>
      <c r="H42" s="5" t="str">
        <f t="shared" si="9"/>
        <v>130G114</v>
      </c>
      <c r="I42" s="5" t="str">
        <f t="shared" si="9"/>
        <v>130G112</v>
      </c>
      <c r="J42" s="5" t="str">
        <f t="shared" si="9"/>
        <v>130G2</v>
      </c>
      <c r="K42" s="5" t="str">
        <f t="shared" si="9"/>
        <v>130G212</v>
      </c>
      <c r="L42" s="5" t="str">
        <f t="shared" si="9"/>
        <v>130G3</v>
      </c>
      <c r="M42" s="5" t="str">
        <f t="shared" si="9"/>
        <v>130G4</v>
      </c>
    </row>
    <row r="43" spans="1:13" x14ac:dyDescent="0.2">
      <c r="A43" s="6">
        <v>41</v>
      </c>
      <c r="B43" s="6" t="s">
        <v>2796</v>
      </c>
      <c r="C43" s="6" t="s">
        <v>2766</v>
      </c>
      <c r="D43" s="5" t="str">
        <f>"220G"&amp;D$5</f>
        <v>220G38</v>
      </c>
      <c r="E43" s="5" t="str">
        <f t="shared" ref="E43:M43" si="10">"220G"&amp;E$5</f>
        <v>220G12</v>
      </c>
      <c r="F43" s="5" t="str">
        <f t="shared" si="10"/>
        <v>220G34</v>
      </c>
      <c r="G43" s="5" t="str">
        <f t="shared" si="10"/>
        <v>220G1</v>
      </c>
      <c r="H43" s="5" t="str">
        <f t="shared" si="10"/>
        <v>220G114</v>
      </c>
      <c r="I43" s="5" t="str">
        <f t="shared" si="10"/>
        <v>220G112</v>
      </c>
      <c r="J43" s="5" t="str">
        <f t="shared" si="10"/>
        <v>220G2</v>
      </c>
      <c r="K43" s="5" t="str">
        <f t="shared" si="10"/>
        <v>220G212</v>
      </c>
      <c r="L43" s="5" t="str">
        <f t="shared" si="10"/>
        <v>220G3</v>
      </c>
      <c r="M43" s="5" t="str">
        <f t="shared" si="10"/>
        <v>220G4</v>
      </c>
    </row>
    <row r="44" spans="1:13" x14ac:dyDescent="0.2">
      <c r="A44" s="6">
        <v>42</v>
      </c>
      <c r="B44" s="6" t="s">
        <v>2796</v>
      </c>
      <c r="C44" s="6" t="s">
        <v>2767</v>
      </c>
      <c r="D44" s="5" t="str">
        <f>"270G"&amp;D$5</f>
        <v>270G38</v>
      </c>
      <c r="E44" s="5" t="str">
        <f t="shared" ref="E44:M44" si="11">"270G"&amp;E$5</f>
        <v>270G12</v>
      </c>
      <c r="F44" s="5" t="str">
        <f t="shared" si="11"/>
        <v>270G34</v>
      </c>
      <c r="G44" s="5" t="str">
        <f t="shared" si="11"/>
        <v>270G1</v>
      </c>
      <c r="H44" s="5" t="str">
        <f t="shared" si="11"/>
        <v>270G114</v>
      </c>
      <c r="I44" s="5" t="str">
        <f t="shared" si="11"/>
        <v>270G112</v>
      </c>
      <c r="J44" s="5" t="str">
        <f t="shared" si="11"/>
        <v>270G2</v>
      </c>
      <c r="K44" s="5" t="str">
        <f t="shared" si="11"/>
        <v>270G212</v>
      </c>
      <c r="L44" s="5" t="str">
        <f t="shared" si="11"/>
        <v>270G3</v>
      </c>
      <c r="M44" s="5" t="str">
        <f t="shared" si="11"/>
        <v>270G4</v>
      </c>
    </row>
    <row r="45" spans="1:13" x14ac:dyDescent="0.2">
      <c r="A45" s="6">
        <v>43</v>
      </c>
      <c r="B45" s="6" t="s">
        <v>2796</v>
      </c>
      <c r="C45" s="6" t="s">
        <v>2768</v>
      </c>
      <c r="D45" s="5" t="str">
        <f>"280G"&amp;D$5</f>
        <v>280G38</v>
      </c>
      <c r="E45" s="5" t="str">
        <f t="shared" ref="E45:M45" si="12">"280G"&amp;E$5</f>
        <v>280G12</v>
      </c>
      <c r="F45" s="5" t="str">
        <f t="shared" si="12"/>
        <v>280G34</v>
      </c>
      <c r="G45" s="5" t="str">
        <f t="shared" si="12"/>
        <v>280G1</v>
      </c>
      <c r="H45" s="5" t="str">
        <f t="shared" si="12"/>
        <v>280G114</v>
      </c>
      <c r="I45" s="5" t="str">
        <f t="shared" si="12"/>
        <v>280G112</v>
      </c>
      <c r="J45" s="5" t="str">
        <f t="shared" si="12"/>
        <v>280G2</v>
      </c>
      <c r="K45" s="5" t="str">
        <f t="shared" si="12"/>
        <v>280G212</v>
      </c>
      <c r="L45" s="5" t="str">
        <f t="shared" si="12"/>
        <v>280G3</v>
      </c>
      <c r="M45" s="5" t="str">
        <f t="shared" si="12"/>
        <v>280G4</v>
      </c>
    </row>
    <row r="46" spans="1:13" x14ac:dyDescent="0.2">
      <c r="A46" s="6">
        <v>44</v>
      </c>
      <c r="B46" s="6" t="s">
        <v>2796</v>
      </c>
      <c r="C46" s="6" t="s">
        <v>2770</v>
      </c>
      <c r="D46" s="5" t="str">
        <f>"290G"&amp;D$5</f>
        <v>290G38</v>
      </c>
      <c r="E46" s="5" t="str">
        <f t="shared" ref="E46:M46" si="13">"290G"&amp;E$5</f>
        <v>290G12</v>
      </c>
      <c r="F46" s="5" t="str">
        <f t="shared" si="13"/>
        <v>290G34</v>
      </c>
      <c r="G46" s="5" t="str">
        <f t="shared" si="13"/>
        <v>290G1</v>
      </c>
      <c r="H46" s="5" t="str">
        <f t="shared" si="13"/>
        <v>290G114</v>
      </c>
      <c r="I46" s="5" t="str">
        <f t="shared" si="13"/>
        <v>290G112</v>
      </c>
      <c r="J46" s="5" t="str">
        <f t="shared" si="13"/>
        <v>290G2</v>
      </c>
      <c r="K46" s="5" t="str">
        <f t="shared" si="13"/>
        <v>290G212</v>
      </c>
      <c r="L46" s="5" t="str">
        <f t="shared" si="13"/>
        <v>290G3</v>
      </c>
      <c r="M46" s="5" t="str">
        <f t="shared" si="13"/>
        <v>290G4</v>
      </c>
    </row>
    <row r="47" spans="1:13" x14ac:dyDescent="0.2">
      <c r="A47" s="6">
        <v>45</v>
      </c>
      <c r="B47" s="6" t="s">
        <v>2796</v>
      </c>
      <c r="C47" s="6" t="s">
        <v>2769</v>
      </c>
      <c r="D47" s="5" t="str">
        <f>"300G"&amp;D$5</f>
        <v>300G38</v>
      </c>
      <c r="E47" s="5" t="str">
        <f t="shared" ref="E47:M47" si="14">"300G"&amp;E$5</f>
        <v>300G12</v>
      </c>
      <c r="F47" s="5" t="str">
        <f t="shared" si="14"/>
        <v>300G34</v>
      </c>
      <c r="G47" s="5" t="str">
        <f t="shared" si="14"/>
        <v>300G1</v>
      </c>
      <c r="H47" s="5" t="str">
        <f t="shared" si="14"/>
        <v>300G114</v>
      </c>
      <c r="I47" s="5" t="str">
        <f t="shared" si="14"/>
        <v>300G112</v>
      </c>
      <c r="J47" s="5" t="str">
        <f t="shared" si="14"/>
        <v>300G2</v>
      </c>
      <c r="K47" s="5" t="str">
        <f t="shared" si="14"/>
        <v>300G212</v>
      </c>
      <c r="L47" s="5" t="str">
        <f t="shared" si="14"/>
        <v>300G3</v>
      </c>
      <c r="M47" s="5" t="str">
        <f t="shared" si="14"/>
        <v>300G4</v>
      </c>
    </row>
    <row r="48" spans="1:13" x14ac:dyDescent="0.2">
      <c r="A48" s="6">
        <v>46</v>
      </c>
      <c r="B48" s="6" t="s">
        <v>2796</v>
      </c>
      <c r="C48" s="6" t="s">
        <v>2771</v>
      </c>
      <c r="D48" s="5" t="str">
        <f>"340G"&amp;D$5</f>
        <v>340G38</v>
      </c>
      <c r="E48" s="5" t="str">
        <f t="shared" ref="E48:M48" si="15">"340G"&amp;E$5</f>
        <v>340G12</v>
      </c>
      <c r="F48" s="5" t="str">
        <f t="shared" si="15"/>
        <v>340G34</v>
      </c>
      <c r="G48" s="5" t="str">
        <f t="shared" si="15"/>
        <v>340G1</v>
      </c>
      <c r="H48" s="5" t="str">
        <f t="shared" si="15"/>
        <v>340G114</v>
      </c>
      <c r="I48" s="5" t="str">
        <f t="shared" si="15"/>
        <v>340G112</v>
      </c>
      <c r="J48" s="5" t="str">
        <f t="shared" si="15"/>
        <v>340G2</v>
      </c>
      <c r="K48" s="5" t="str">
        <f t="shared" si="15"/>
        <v>340G212</v>
      </c>
      <c r="L48" s="5" t="str">
        <f t="shared" si="15"/>
        <v>340G3</v>
      </c>
      <c r="M48" s="5" t="str">
        <f t="shared" si="15"/>
        <v>340G4</v>
      </c>
    </row>
    <row r="49" spans="1:13" x14ac:dyDescent="0.2">
      <c r="A49" s="6">
        <v>47</v>
      </c>
      <c r="B49" s="6" t="s">
        <v>2796</v>
      </c>
      <c r="C49" s="6" t="s">
        <v>2772</v>
      </c>
      <c r="D49" s="5" t="str">
        <f>"341G"&amp;D$5</f>
        <v>341G38</v>
      </c>
      <c r="E49" s="5" t="str">
        <f t="shared" ref="E49:M49" si="16">"341G"&amp;E$5</f>
        <v>341G12</v>
      </c>
      <c r="F49" s="5" t="str">
        <f t="shared" si="16"/>
        <v>341G34</v>
      </c>
      <c r="G49" s="5" t="str">
        <f t="shared" si="16"/>
        <v>341G1</v>
      </c>
      <c r="H49" s="5" t="str">
        <f t="shared" si="16"/>
        <v>341G114</v>
      </c>
      <c r="I49" s="5" t="str">
        <f t="shared" si="16"/>
        <v>341G112</v>
      </c>
      <c r="J49" s="5" t="str">
        <f t="shared" si="16"/>
        <v>341G2</v>
      </c>
      <c r="K49" s="5" t="str">
        <f t="shared" si="16"/>
        <v>341G212</v>
      </c>
      <c r="L49" s="5" t="str">
        <f t="shared" si="16"/>
        <v>341G3</v>
      </c>
      <c r="M49" s="5" t="str">
        <f t="shared" si="16"/>
        <v>341G4</v>
      </c>
    </row>
    <row r="50" spans="1:13" x14ac:dyDescent="0.2">
      <c r="A50" s="6">
        <v>48</v>
      </c>
      <c r="B50" s="6" t="s">
        <v>2796</v>
      </c>
      <c r="C50" s="6" t="s">
        <v>653</v>
      </c>
      <c r="D50" s="5" t="str">
        <f>"344G"&amp;D$5</f>
        <v>344G38</v>
      </c>
      <c r="E50" s="5" t="str">
        <f t="shared" ref="E50:M50" si="17">"344G"&amp;E$5</f>
        <v>344G12</v>
      </c>
      <c r="F50" s="5" t="str">
        <f t="shared" si="17"/>
        <v>344G34</v>
      </c>
      <c r="G50" s="5" t="str">
        <f t="shared" si="17"/>
        <v>344G1</v>
      </c>
      <c r="H50" s="5" t="str">
        <f t="shared" si="17"/>
        <v>344G114</v>
      </c>
      <c r="I50" s="5" t="str">
        <f t="shared" si="17"/>
        <v>344G112</v>
      </c>
      <c r="J50" s="5" t="str">
        <f t="shared" si="17"/>
        <v>344G2</v>
      </c>
      <c r="K50" s="5" t="str">
        <f t="shared" si="17"/>
        <v>344G212</v>
      </c>
      <c r="L50" s="5" t="str">
        <f t="shared" si="17"/>
        <v>344G3</v>
      </c>
      <c r="M50" s="5" t="str">
        <f t="shared" si="17"/>
        <v>344G4</v>
      </c>
    </row>
    <row r="51" spans="1:13" x14ac:dyDescent="0.2">
      <c r="A51" s="6">
        <v>49</v>
      </c>
      <c r="B51" s="6" t="s">
        <v>2796</v>
      </c>
      <c r="C51" s="6" t="s">
        <v>2773</v>
      </c>
      <c r="D51" s="1" t="s">
        <v>2775</v>
      </c>
      <c r="E51" t="s">
        <v>585</v>
      </c>
      <c r="F51" t="s">
        <v>584</v>
      </c>
      <c r="G51" t="s">
        <v>583</v>
      </c>
      <c r="H51" t="s">
        <v>582</v>
      </c>
      <c r="I51" t="s">
        <v>581</v>
      </c>
      <c r="J51" s="6" t="s">
        <v>2735</v>
      </c>
      <c r="K51" s="6" t="s">
        <v>2735</v>
      </c>
      <c r="L51" s="6" t="s">
        <v>2735</v>
      </c>
      <c r="M51" s="6" t="s">
        <v>2735</v>
      </c>
    </row>
    <row r="52" spans="1:13" x14ac:dyDescent="0.2">
      <c r="A52" s="6">
        <v>50</v>
      </c>
      <c r="B52" s="6" t="s">
        <v>2703</v>
      </c>
      <c r="C52" s="6" t="s">
        <v>2926</v>
      </c>
      <c r="D52" s="42">
        <v>6</v>
      </c>
      <c r="E52" s="42">
        <v>6</v>
      </c>
      <c r="F52" s="42">
        <v>6</v>
      </c>
      <c r="G52" s="42">
        <v>6</v>
      </c>
      <c r="H52" s="42">
        <v>6</v>
      </c>
      <c r="I52" s="42">
        <v>5.5</v>
      </c>
      <c r="J52" s="42">
        <v>5.5</v>
      </c>
      <c r="K52" s="42">
        <v>5</v>
      </c>
      <c r="L52" s="42">
        <v>5</v>
      </c>
      <c r="M52" s="42">
        <v>5</v>
      </c>
    </row>
    <row r="53" spans="1:13" ht="15" x14ac:dyDescent="0.25">
      <c r="A53" s="6">
        <v>51</v>
      </c>
      <c r="B53" s="6" t="s">
        <v>2703</v>
      </c>
      <c r="C53" s="6" t="s">
        <v>2927</v>
      </c>
      <c r="D53" s="43">
        <v>4.5</v>
      </c>
      <c r="E53" s="42">
        <v>4.5</v>
      </c>
      <c r="F53" s="42">
        <v>4.5</v>
      </c>
      <c r="G53" s="42">
        <v>4.5</v>
      </c>
      <c r="H53" s="42">
        <v>4.5</v>
      </c>
      <c r="I53" s="42">
        <v>4</v>
      </c>
      <c r="J53" s="42">
        <v>4</v>
      </c>
      <c r="K53" s="42">
        <v>3.5</v>
      </c>
      <c r="L53" s="42">
        <v>3.5</v>
      </c>
      <c r="M53" s="42">
        <v>3.5</v>
      </c>
    </row>
    <row r="54" spans="1:13" x14ac:dyDescent="0.2">
      <c r="A54" s="6">
        <v>52</v>
      </c>
      <c r="B54" s="6" t="s">
        <v>2703</v>
      </c>
      <c r="C54" s="6" t="s">
        <v>2928</v>
      </c>
      <c r="D54" s="42">
        <v>4</v>
      </c>
      <c r="E54" s="42">
        <v>4</v>
      </c>
      <c r="F54" s="42">
        <v>4</v>
      </c>
      <c r="G54" s="42">
        <v>4</v>
      </c>
      <c r="H54" s="42">
        <v>4</v>
      </c>
      <c r="I54" s="42">
        <v>3.5</v>
      </c>
      <c r="J54" s="42">
        <v>3.5</v>
      </c>
      <c r="K54" s="42">
        <v>3</v>
      </c>
      <c r="L54" s="42">
        <v>3</v>
      </c>
      <c r="M54" s="42">
        <v>3</v>
      </c>
    </row>
    <row r="55" spans="1:13" x14ac:dyDescent="0.2">
      <c r="A55" s="6">
        <v>53</v>
      </c>
      <c r="B55" s="6" t="s">
        <v>2749</v>
      </c>
      <c r="C55" s="6" t="s">
        <v>2750</v>
      </c>
      <c r="D55" s="6">
        <v>6</v>
      </c>
      <c r="E55" s="6">
        <v>6</v>
      </c>
      <c r="F55" s="6">
        <v>6</v>
      </c>
      <c r="G55" s="6">
        <v>6</v>
      </c>
      <c r="H55" s="6">
        <v>6</v>
      </c>
      <c r="I55" s="6">
        <v>6</v>
      </c>
      <c r="J55" s="6">
        <v>6</v>
      </c>
      <c r="K55" s="6">
        <v>9</v>
      </c>
      <c r="L55" s="6">
        <v>9</v>
      </c>
      <c r="M55" s="6">
        <v>9</v>
      </c>
    </row>
    <row r="56" spans="1:13" x14ac:dyDescent="0.2">
      <c r="A56" s="6">
        <v>54</v>
      </c>
      <c r="B56" s="6" t="s">
        <v>2749</v>
      </c>
      <c r="C56" s="6" t="s">
        <v>2664</v>
      </c>
      <c r="D56" s="6" t="s">
        <v>201</v>
      </c>
      <c r="E56" s="6" t="s">
        <v>201</v>
      </c>
      <c r="F56" s="6" t="s">
        <v>201</v>
      </c>
      <c r="G56" s="6" t="s">
        <v>201</v>
      </c>
      <c r="H56" s="6" t="s">
        <v>201</v>
      </c>
      <c r="I56" s="6" t="s">
        <v>201</v>
      </c>
      <c r="J56" s="6" t="s">
        <v>201</v>
      </c>
      <c r="K56" s="6">
        <v>40142</v>
      </c>
      <c r="L56" s="6">
        <v>40142</v>
      </c>
      <c r="M56" s="6">
        <v>40142</v>
      </c>
    </row>
    <row r="57" spans="1:13" x14ac:dyDescent="0.2">
      <c r="A57" s="6">
        <v>55</v>
      </c>
      <c r="B57" s="6" t="s">
        <v>2749</v>
      </c>
      <c r="C57" s="6" t="s">
        <v>2751</v>
      </c>
      <c r="D57" s="4">
        <v>33707</v>
      </c>
      <c r="E57" s="4">
        <v>33707</v>
      </c>
      <c r="F57" s="4">
        <v>33707</v>
      </c>
      <c r="G57" s="4">
        <v>33707</v>
      </c>
      <c r="H57" s="4">
        <v>33707</v>
      </c>
      <c r="I57" s="4">
        <v>33707</v>
      </c>
      <c r="J57" s="4">
        <v>33707</v>
      </c>
      <c r="K57" s="4">
        <v>32921</v>
      </c>
      <c r="L57" s="4">
        <v>32921</v>
      </c>
      <c r="M57" s="4">
        <v>32921</v>
      </c>
    </row>
    <row r="58" spans="1:13" x14ac:dyDescent="0.2">
      <c r="A58" s="6">
        <v>56</v>
      </c>
      <c r="B58" s="6" t="s">
        <v>2749</v>
      </c>
      <c r="C58" s="6" t="s">
        <v>2776</v>
      </c>
      <c r="D58" s="6" t="s">
        <v>2735</v>
      </c>
      <c r="E58" t="s">
        <v>698</v>
      </c>
      <c r="F58" t="s">
        <v>697</v>
      </c>
      <c r="G58" t="s">
        <v>696</v>
      </c>
      <c r="H58" t="s">
        <v>695</v>
      </c>
      <c r="I58" t="s">
        <v>694</v>
      </c>
      <c r="J58" t="s">
        <v>693</v>
      </c>
      <c r="K58" t="s">
        <v>979</v>
      </c>
      <c r="L58" t="s">
        <v>980</v>
      </c>
      <c r="M58" t="s">
        <v>981</v>
      </c>
    </row>
    <row r="59" spans="1:13" x14ac:dyDescent="0.2">
      <c r="A59" s="6">
        <v>57</v>
      </c>
      <c r="B59" s="6" t="s">
        <v>2749</v>
      </c>
      <c r="C59" s="6" t="s">
        <v>2774</v>
      </c>
      <c r="D59" s="6" t="s">
        <v>2735</v>
      </c>
      <c r="E59" t="s">
        <v>251</v>
      </c>
      <c r="F59" t="s">
        <v>260</v>
      </c>
      <c r="G59" t="s">
        <v>269</v>
      </c>
      <c r="H59" t="s">
        <v>240</v>
      </c>
      <c r="I59" t="s">
        <v>243</v>
      </c>
      <c r="J59" t="s">
        <v>245</v>
      </c>
      <c r="K59" s="6" t="s">
        <v>2735</v>
      </c>
      <c r="L59" s="6" t="s">
        <v>2735</v>
      </c>
      <c r="M59" s="6" t="s">
        <v>2735</v>
      </c>
    </row>
    <row r="60" spans="1:13" x14ac:dyDescent="0.2">
      <c r="A60" s="6">
        <v>58</v>
      </c>
      <c r="B60" s="6" t="s">
        <v>2749</v>
      </c>
      <c r="C60" s="6" t="s">
        <v>2782</v>
      </c>
      <c r="D60" s="6" t="s">
        <v>2735</v>
      </c>
      <c r="E60" s="6" t="s">
        <v>2735</v>
      </c>
      <c r="F60" s="6" t="s">
        <v>2735</v>
      </c>
      <c r="G60" s="6" t="s">
        <v>2735</v>
      </c>
      <c r="H60" s="6" t="s">
        <v>2735</v>
      </c>
      <c r="I60" s="6" t="s">
        <v>2735</v>
      </c>
      <c r="J60" s="6" t="s">
        <v>2735</v>
      </c>
      <c r="K60" t="s">
        <v>229</v>
      </c>
      <c r="L60" t="s">
        <v>230</v>
      </c>
      <c r="M60" t="s">
        <v>2269</v>
      </c>
    </row>
    <row r="61" spans="1:13" x14ac:dyDescent="0.2">
      <c r="A61" s="6">
        <v>59</v>
      </c>
      <c r="B61" s="6" t="s">
        <v>2749</v>
      </c>
      <c r="C61" s="6" t="s">
        <v>2784</v>
      </c>
      <c r="D61" s="6" t="s">
        <v>2735</v>
      </c>
      <c r="E61" s="4" t="s">
        <v>1003</v>
      </c>
      <c r="F61" s="4" t="s">
        <v>1006</v>
      </c>
      <c r="G61" s="4" t="s">
        <v>2448</v>
      </c>
      <c r="H61" s="4" t="s">
        <v>1009</v>
      </c>
      <c r="I61" s="4" t="s">
        <v>1010</v>
      </c>
      <c r="J61" s="4" t="s">
        <v>1011</v>
      </c>
      <c r="K61" s="6" t="s">
        <v>2735</v>
      </c>
      <c r="L61" s="6" t="s">
        <v>2735</v>
      </c>
      <c r="M61" s="6" t="s">
        <v>2735</v>
      </c>
    </row>
    <row r="62" spans="1:13" x14ac:dyDescent="0.2">
      <c r="A62" s="6">
        <v>60</v>
      </c>
      <c r="B62" s="6" t="s">
        <v>2785</v>
      </c>
      <c r="C62" s="6" t="s">
        <v>2786</v>
      </c>
      <c r="D62" s="6" t="s">
        <v>2735</v>
      </c>
      <c r="E62" s="4" t="s">
        <v>1059</v>
      </c>
      <c r="F62" s="4" t="s">
        <v>1062</v>
      </c>
      <c r="G62" s="4" t="s">
        <v>1066</v>
      </c>
      <c r="H62" s="4" t="s">
        <v>1068</v>
      </c>
      <c r="I62" s="4" t="s">
        <v>1071</v>
      </c>
      <c r="J62" s="6" t="s">
        <v>2735</v>
      </c>
      <c r="K62" s="6" t="s">
        <v>2735</v>
      </c>
      <c r="L62" s="6" t="s">
        <v>2735</v>
      </c>
      <c r="M62" s="6" t="s">
        <v>2735</v>
      </c>
    </row>
    <row r="63" spans="1:13" x14ac:dyDescent="0.2">
      <c r="A63" s="6">
        <v>61</v>
      </c>
      <c r="B63" s="6" t="s">
        <v>2785</v>
      </c>
      <c r="C63" s="6" t="s">
        <v>2788</v>
      </c>
      <c r="D63" s="6" t="s">
        <v>2735</v>
      </c>
      <c r="E63" s="4" t="s">
        <v>2787</v>
      </c>
      <c r="F63" s="4" t="s">
        <v>1547</v>
      </c>
      <c r="G63" s="4" t="s">
        <v>1550</v>
      </c>
      <c r="H63" s="4" t="s">
        <v>1550</v>
      </c>
      <c r="I63" s="4" t="s">
        <v>1550</v>
      </c>
      <c r="J63" s="6" t="s">
        <v>2735</v>
      </c>
      <c r="K63" s="6" t="s">
        <v>2735</v>
      </c>
      <c r="L63" s="6" t="s">
        <v>2735</v>
      </c>
      <c r="M63" s="6" t="s">
        <v>2735</v>
      </c>
    </row>
    <row r="64" spans="1:13" x14ac:dyDescent="0.2">
      <c r="A64" s="6">
        <v>62</v>
      </c>
      <c r="B64" s="6" t="s">
        <v>2785</v>
      </c>
      <c r="C64" s="6" t="s">
        <v>2789</v>
      </c>
      <c r="D64" s="6" t="s">
        <v>2735</v>
      </c>
      <c r="E64" s="4" t="s">
        <v>321</v>
      </c>
      <c r="F64" s="4" t="s">
        <v>323</v>
      </c>
      <c r="G64" s="4" t="s">
        <v>324</v>
      </c>
      <c r="H64" s="4" t="s">
        <v>324</v>
      </c>
      <c r="I64" s="4" t="s">
        <v>324</v>
      </c>
      <c r="J64" s="6" t="s">
        <v>2735</v>
      </c>
      <c r="K64" s="6" t="s">
        <v>2735</v>
      </c>
      <c r="L64" s="6" t="s">
        <v>2735</v>
      </c>
      <c r="M64" s="6" t="s">
        <v>2735</v>
      </c>
    </row>
    <row r="65" spans="1:13" x14ac:dyDescent="0.2">
      <c r="A65" s="6">
        <v>63</v>
      </c>
      <c r="B65" s="6" t="s">
        <v>2785</v>
      </c>
      <c r="C65" s="6" t="s">
        <v>2790</v>
      </c>
      <c r="D65" s="6" t="s">
        <v>2735</v>
      </c>
      <c r="E65" s="4" t="s">
        <v>190</v>
      </c>
      <c r="F65" s="4" t="s">
        <v>191</v>
      </c>
      <c r="G65" s="4" t="s">
        <v>192</v>
      </c>
      <c r="H65" s="4" t="s">
        <v>192</v>
      </c>
      <c r="I65" s="4" t="s">
        <v>192</v>
      </c>
      <c r="J65" s="6" t="s">
        <v>2735</v>
      </c>
      <c r="K65" s="6" t="s">
        <v>2735</v>
      </c>
      <c r="L65" s="6" t="s">
        <v>2735</v>
      </c>
      <c r="M65" s="6" t="s">
        <v>2735</v>
      </c>
    </row>
    <row r="66" spans="1:13" x14ac:dyDescent="0.2">
      <c r="A66" s="6">
        <v>64</v>
      </c>
      <c r="B66" s="6" t="s">
        <v>2785</v>
      </c>
      <c r="C66" s="6" t="s">
        <v>2664</v>
      </c>
      <c r="D66" s="6" t="s">
        <v>2735</v>
      </c>
      <c r="E66" s="4">
        <v>30252</v>
      </c>
      <c r="F66" s="4">
        <v>30252</v>
      </c>
      <c r="G66" s="4" t="s">
        <v>201</v>
      </c>
      <c r="H66" s="4" t="s">
        <v>201</v>
      </c>
      <c r="I66" s="4" t="s">
        <v>201</v>
      </c>
      <c r="J66" s="6" t="s">
        <v>2735</v>
      </c>
      <c r="K66" s="6" t="s">
        <v>2735</v>
      </c>
      <c r="L66" s="6" t="s">
        <v>2735</v>
      </c>
      <c r="M66" s="6" t="s">
        <v>2735</v>
      </c>
    </row>
    <row r="67" spans="1:13" x14ac:dyDescent="0.2">
      <c r="A67" s="6">
        <v>65</v>
      </c>
      <c r="B67" s="6" t="s">
        <v>2785</v>
      </c>
      <c r="C67" s="6" t="s">
        <v>699</v>
      </c>
      <c r="D67" s="6" t="s">
        <v>2735</v>
      </c>
      <c r="E67" s="4">
        <v>14869</v>
      </c>
      <c r="F67" s="4">
        <v>14869</v>
      </c>
      <c r="G67" s="4">
        <v>30953</v>
      </c>
      <c r="H67" s="4">
        <v>30953</v>
      </c>
      <c r="I67" s="4">
        <v>30953</v>
      </c>
      <c r="J67" s="6" t="s">
        <v>2735</v>
      </c>
      <c r="K67" s="6" t="s">
        <v>2735</v>
      </c>
      <c r="L67" s="6" t="s">
        <v>2735</v>
      </c>
      <c r="M67" s="6" t="s">
        <v>2735</v>
      </c>
    </row>
  </sheetData>
  <mergeCells count="1">
    <mergeCell ref="D1:M1"/>
  </mergeCells>
  <phoneticPr fontId="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0E1797-8C31-4D2A-AB19-D5011C0F036A}">
  <sheetPr codeName="Feuil15">
    <tabColor rgb="FF00B050"/>
  </sheetPr>
  <dimension ref="A1:Z27"/>
  <sheetViews>
    <sheetView workbookViewId="0">
      <selection activeCell="S37" sqref="S37"/>
    </sheetView>
  </sheetViews>
  <sheetFormatPr baseColWidth="10" defaultRowHeight="12.75" x14ac:dyDescent="0.2"/>
  <cols>
    <col min="1" max="1" width="3.28515625" style="6" bestFit="1" customWidth="1"/>
    <col min="2" max="2" width="15.140625" style="6" customWidth="1"/>
    <col min="3" max="3" width="5.28515625" style="6" bestFit="1" customWidth="1"/>
    <col min="4" max="12" width="11.140625" style="6" bestFit="1" customWidth="1"/>
    <col min="13" max="13" width="12.140625" style="6" bestFit="1" customWidth="1"/>
    <col min="14" max="22" width="12.5703125" style="6" bestFit="1" customWidth="1"/>
    <col min="23" max="26" width="13.5703125" style="6" bestFit="1" customWidth="1"/>
    <col min="27" max="16384" width="11.42578125" style="6"/>
  </cols>
  <sheetData>
    <row r="1" spans="1:26" ht="23.25" x14ac:dyDescent="0.35">
      <c r="D1" s="164" t="s">
        <v>2710</v>
      </c>
      <c r="E1" s="165"/>
      <c r="F1" s="165"/>
      <c r="G1" s="165"/>
      <c r="H1" s="165"/>
      <c r="I1" s="165"/>
      <c r="J1" s="165"/>
      <c r="K1" s="165"/>
      <c r="L1" s="165"/>
      <c r="M1" s="166"/>
      <c r="N1" s="167" t="s">
        <v>2663</v>
      </c>
      <c r="O1" s="168"/>
      <c r="P1" s="168"/>
      <c r="Q1" s="168"/>
      <c r="R1" s="168"/>
      <c r="S1" s="168"/>
      <c r="T1" s="168"/>
      <c r="U1" s="168"/>
      <c r="V1" s="168"/>
      <c r="W1" s="168"/>
      <c r="X1" s="168"/>
      <c r="Y1" s="168"/>
      <c r="Z1" s="169"/>
    </row>
    <row r="2" spans="1:26" ht="13.5" thickBot="1" x14ac:dyDescent="0.25">
      <c r="D2" s="170" t="s">
        <v>2724</v>
      </c>
      <c r="E2" s="170"/>
      <c r="F2" s="170"/>
      <c r="G2" s="170"/>
      <c r="H2" s="170"/>
      <c r="I2" s="170"/>
      <c r="J2" s="170"/>
      <c r="K2" s="170"/>
      <c r="L2" s="170"/>
      <c r="M2" s="170"/>
      <c r="N2" s="170"/>
      <c r="O2" s="170"/>
      <c r="P2" s="170"/>
      <c r="Q2" s="170"/>
      <c r="R2" s="170"/>
      <c r="S2" s="170"/>
      <c r="T2" s="170"/>
      <c r="U2" s="170"/>
      <c r="V2" s="170"/>
      <c r="W2" s="170"/>
      <c r="X2" s="170"/>
      <c r="Y2" s="170"/>
      <c r="Z2" s="170"/>
    </row>
    <row r="3" spans="1:26" ht="13.5" thickBot="1" x14ac:dyDescent="0.25">
      <c r="B3" s="7"/>
      <c r="C3" s="7"/>
      <c r="D3" s="53" t="str">
        <f>B5</f>
        <v>DN10 - Serti 15</v>
      </c>
      <c r="E3" s="54" t="str">
        <f>B6</f>
        <v>DN15 - Serti 18</v>
      </c>
      <c r="F3" s="55" t="str">
        <f>B7</f>
        <v>DN20 - Serti 22</v>
      </c>
      <c r="G3" s="54" t="str">
        <f>B8</f>
        <v>DN25 - Serti 28</v>
      </c>
      <c r="H3" s="55" t="str">
        <f>B9</f>
        <v>DN32 - Serti 35</v>
      </c>
      <c r="I3" s="54" t="str">
        <f>B10</f>
        <v>DN40 - Serti 42</v>
      </c>
      <c r="J3" s="54" t="str">
        <f>B11</f>
        <v>DN50 - Serti 54</v>
      </c>
      <c r="K3" s="54" t="str">
        <f>B12</f>
        <v>DN65 - Serti 76</v>
      </c>
      <c r="L3" s="55" t="str">
        <f>B13</f>
        <v>DN80 - Serti 88</v>
      </c>
      <c r="M3" s="56" t="str">
        <f>B14</f>
        <v>DN100 - Serti 108</v>
      </c>
      <c r="N3" s="21" t="s">
        <v>2711</v>
      </c>
      <c r="O3" s="22" t="s">
        <v>2712</v>
      </c>
      <c r="P3" s="22" t="s">
        <v>2713</v>
      </c>
      <c r="Q3" s="22" t="s">
        <v>2714</v>
      </c>
      <c r="R3" s="22" t="s">
        <v>2715</v>
      </c>
      <c r="S3" s="22" t="s">
        <v>2716</v>
      </c>
      <c r="T3" s="22" t="s">
        <v>2717</v>
      </c>
      <c r="U3" s="22" t="s">
        <v>2718</v>
      </c>
      <c r="V3" s="22" t="s">
        <v>2719</v>
      </c>
      <c r="W3" s="22" t="s">
        <v>2720</v>
      </c>
      <c r="X3" s="22" t="s">
        <v>2721</v>
      </c>
      <c r="Y3" s="22" t="s">
        <v>2722</v>
      </c>
      <c r="Z3" s="23" t="s">
        <v>2723</v>
      </c>
    </row>
    <row r="4" spans="1:26" ht="13.5" thickBot="1" x14ac:dyDescent="0.25">
      <c r="B4" s="7"/>
      <c r="C4" s="8" t="s">
        <v>2725</v>
      </c>
      <c r="D4" s="50">
        <v>15</v>
      </c>
      <c r="E4" s="51">
        <v>18</v>
      </c>
      <c r="F4" s="51">
        <v>22</v>
      </c>
      <c r="G4" s="51">
        <v>28</v>
      </c>
      <c r="H4" s="51">
        <v>35</v>
      </c>
      <c r="I4" s="51">
        <v>42</v>
      </c>
      <c r="J4" s="51">
        <v>54</v>
      </c>
      <c r="K4" s="51">
        <v>76</v>
      </c>
      <c r="L4" s="51">
        <v>88</v>
      </c>
      <c r="M4" s="52">
        <v>108</v>
      </c>
      <c r="N4" s="21"/>
      <c r="O4" s="22"/>
      <c r="P4" s="22"/>
      <c r="Q4" s="22"/>
      <c r="R4" s="22"/>
      <c r="S4" s="22"/>
      <c r="T4" s="22"/>
      <c r="U4" s="22"/>
      <c r="V4" s="22"/>
      <c r="W4" s="22"/>
      <c r="X4" s="22"/>
      <c r="Y4" s="22"/>
      <c r="Z4" s="23"/>
    </row>
    <row r="5" spans="1:26" x14ac:dyDescent="0.2">
      <c r="A5" s="171" t="s">
        <v>2726</v>
      </c>
      <c r="B5" s="24" t="s">
        <v>2825</v>
      </c>
      <c r="C5" s="25">
        <v>15</v>
      </c>
      <c r="D5" s="18" t="s">
        <v>1097</v>
      </c>
      <c r="E5" s="26" t="s">
        <v>2931</v>
      </c>
      <c r="F5" s="26" t="s">
        <v>2932</v>
      </c>
      <c r="G5" s="26" t="s">
        <v>2933</v>
      </c>
      <c r="H5" s="26" t="s">
        <v>2934</v>
      </c>
      <c r="I5" s="26" t="s">
        <v>2935</v>
      </c>
      <c r="J5" s="26" t="s">
        <v>2936</v>
      </c>
      <c r="K5" s="26" t="s">
        <v>2937</v>
      </c>
      <c r="L5" s="26" t="s">
        <v>2938</v>
      </c>
      <c r="M5" s="26" t="s">
        <v>2939</v>
      </c>
      <c r="N5" s="10"/>
      <c r="O5" s="11"/>
      <c r="P5" s="11"/>
      <c r="Q5" s="11"/>
      <c r="R5" s="11"/>
      <c r="S5" s="11"/>
      <c r="T5" s="11"/>
      <c r="U5" s="11"/>
      <c r="V5" s="11"/>
      <c r="W5" s="11"/>
      <c r="X5" s="11"/>
      <c r="Y5" s="11"/>
      <c r="Z5" s="12"/>
    </row>
    <row r="6" spans="1:26" x14ac:dyDescent="0.2">
      <c r="A6" s="171"/>
      <c r="B6" s="27" t="s">
        <v>2827</v>
      </c>
      <c r="C6" s="28">
        <v>18</v>
      </c>
      <c r="D6" s="19" t="str">
        <f>"R14"&amp;$C6&amp;D$4</f>
        <v>R141815</v>
      </c>
      <c r="E6" s="13" t="s">
        <v>1099</v>
      </c>
      <c r="F6" s="29" t="s">
        <v>2940</v>
      </c>
      <c r="G6" s="29" t="s">
        <v>2941</v>
      </c>
      <c r="H6" s="29" t="s">
        <v>2942</v>
      </c>
      <c r="I6" s="29" t="s">
        <v>2943</v>
      </c>
      <c r="J6" s="29" t="s">
        <v>2944</v>
      </c>
      <c r="K6" s="29" t="s">
        <v>2945</v>
      </c>
      <c r="L6" s="29" t="s">
        <v>2946</v>
      </c>
      <c r="M6" s="29" t="s">
        <v>2947</v>
      </c>
      <c r="N6" s="30"/>
      <c r="O6" s="13"/>
      <c r="P6" s="13"/>
      <c r="Q6" s="13"/>
      <c r="R6" s="13"/>
      <c r="S6" s="13"/>
      <c r="T6" s="13"/>
      <c r="U6" s="13"/>
      <c r="V6" s="13"/>
      <c r="W6" s="13"/>
      <c r="X6" s="13"/>
      <c r="Y6" s="13"/>
      <c r="Z6" s="14"/>
    </row>
    <row r="7" spans="1:26" x14ac:dyDescent="0.2">
      <c r="A7" s="171"/>
      <c r="B7" s="31" t="s">
        <v>2826</v>
      </c>
      <c r="C7" s="28">
        <v>22</v>
      </c>
      <c r="D7" s="19" t="str">
        <f>"R14"&amp;$C7&amp;D$4</f>
        <v>R142215</v>
      </c>
      <c r="E7" s="13" t="str">
        <f>"R14"&amp;$C7&amp;E$4</f>
        <v>R142218</v>
      </c>
      <c r="F7" s="13" t="s">
        <v>1100</v>
      </c>
      <c r="G7" s="29" t="s">
        <v>2948</v>
      </c>
      <c r="H7" s="29" t="s">
        <v>2949</v>
      </c>
      <c r="I7" s="29" t="s">
        <v>2950</v>
      </c>
      <c r="J7" s="29" t="s">
        <v>2951</v>
      </c>
      <c r="K7" s="29" t="s">
        <v>2952</v>
      </c>
      <c r="L7" s="29" t="s">
        <v>2953</v>
      </c>
      <c r="M7" s="29" t="s">
        <v>2954</v>
      </c>
      <c r="N7" s="30"/>
      <c r="O7" s="13"/>
      <c r="P7" s="13"/>
      <c r="Q7" s="13"/>
      <c r="R7" s="13"/>
      <c r="S7" s="13"/>
      <c r="T7" s="13"/>
      <c r="U7" s="13"/>
      <c r="V7" s="13"/>
      <c r="W7" s="13"/>
      <c r="X7" s="13"/>
      <c r="Y7" s="13"/>
      <c r="Z7" s="14"/>
    </row>
    <row r="8" spans="1:26" x14ac:dyDescent="0.2">
      <c r="A8" s="171"/>
      <c r="B8" s="27" t="s">
        <v>2828</v>
      </c>
      <c r="C8" s="28">
        <v>28</v>
      </c>
      <c r="D8" s="19" t="str">
        <f>"R14"&amp;$C8&amp;D$4</f>
        <v>R142815</v>
      </c>
      <c r="E8" s="13" t="str">
        <f>"R14"&amp;$C8&amp;E$4</f>
        <v>R142818</v>
      </c>
      <c r="F8" s="13" t="str">
        <f t="shared" ref="F8:F14" si="0">"R14"&amp;$C8&amp;F$4</f>
        <v>R142822</v>
      </c>
      <c r="G8" s="13" t="s">
        <v>1101</v>
      </c>
      <c r="H8" s="29" t="s">
        <v>2955</v>
      </c>
      <c r="I8" s="29" t="s">
        <v>2956</v>
      </c>
      <c r="J8" s="29" t="s">
        <v>2957</v>
      </c>
      <c r="K8" s="29" t="s">
        <v>2958</v>
      </c>
      <c r="L8" s="29" t="s">
        <v>2959</v>
      </c>
      <c r="M8" s="29" t="s">
        <v>2960</v>
      </c>
      <c r="N8" s="30"/>
      <c r="O8" s="13"/>
      <c r="P8" s="13"/>
      <c r="Q8" s="13"/>
      <c r="R8" s="13"/>
      <c r="S8" s="13"/>
      <c r="T8" s="13"/>
      <c r="U8" s="13"/>
      <c r="V8" s="13"/>
      <c r="W8" s="13"/>
      <c r="X8" s="13"/>
      <c r="Y8" s="13"/>
      <c r="Z8" s="14"/>
    </row>
    <row r="9" spans="1:26" x14ac:dyDescent="0.2">
      <c r="A9" s="171"/>
      <c r="B9" s="31" t="s">
        <v>2829</v>
      </c>
      <c r="C9" s="28">
        <v>35</v>
      </c>
      <c r="D9" s="19" t="str">
        <f>"R14"&amp;$C9&amp;D$4</f>
        <v>R143515</v>
      </c>
      <c r="E9" s="13" t="str">
        <f>"R14"&amp;$C9&amp;E$4</f>
        <v>R143518</v>
      </c>
      <c r="F9" s="13" t="str">
        <f t="shared" si="0"/>
        <v>R143522</v>
      </c>
      <c r="G9" s="13" t="str">
        <f t="shared" ref="G9:G14" si="1">"R14"&amp;$C9&amp;G$4</f>
        <v>R143528</v>
      </c>
      <c r="H9" s="13" t="s">
        <v>1102</v>
      </c>
      <c r="I9" s="29" t="s">
        <v>2961</v>
      </c>
      <c r="J9" s="29" t="s">
        <v>2962</v>
      </c>
      <c r="K9" s="29" t="s">
        <v>2963</v>
      </c>
      <c r="L9" s="29" t="s">
        <v>2964</v>
      </c>
      <c r="M9" s="29" t="s">
        <v>2965</v>
      </c>
      <c r="N9" s="30"/>
      <c r="O9" s="13"/>
      <c r="P9" s="13"/>
      <c r="Q9" s="13"/>
      <c r="R9" s="13"/>
      <c r="S9" s="13"/>
      <c r="T9" s="13"/>
      <c r="U9" s="13"/>
      <c r="V9" s="13"/>
      <c r="W9" s="13"/>
      <c r="X9" s="13"/>
      <c r="Y9" s="13"/>
      <c r="Z9" s="14"/>
    </row>
    <row r="10" spans="1:26" x14ac:dyDescent="0.2">
      <c r="A10" s="171"/>
      <c r="B10" s="27" t="s">
        <v>2830</v>
      </c>
      <c r="C10" s="28">
        <v>42</v>
      </c>
      <c r="D10" s="46" t="s">
        <v>2976</v>
      </c>
      <c r="E10" s="13" t="str">
        <f>"R14"&amp;$C10&amp;E$4</f>
        <v>R144218</v>
      </c>
      <c r="F10" s="13" t="str">
        <f t="shared" si="0"/>
        <v>R144222</v>
      </c>
      <c r="G10" s="13" t="str">
        <f t="shared" si="1"/>
        <v>R144228</v>
      </c>
      <c r="H10" s="13" t="str">
        <f>"R14"&amp;$C10&amp;H$4</f>
        <v>R144235</v>
      </c>
      <c r="I10" s="13" t="s">
        <v>1103</v>
      </c>
      <c r="J10" s="29" t="s">
        <v>2966</v>
      </c>
      <c r="K10" s="29" t="s">
        <v>2967</v>
      </c>
      <c r="L10" s="29" t="s">
        <v>2968</v>
      </c>
      <c r="M10" s="29" t="s">
        <v>2969</v>
      </c>
      <c r="N10" s="30"/>
      <c r="O10" s="13"/>
      <c r="P10" s="13"/>
      <c r="Q10" s="13"/>
      <c r="R10" s="13"/>
      <c r="S10" s="13"/>
      <c r="T10" s="13"/>
      <c r="U10" s="13"/>
      <c r="V10" s="13"/>
      <c r="W10" s="13"/>
      <c r="X10" s="13"/>
      <c r="Y10" s="13"/>
      <c r="Z10" s="14"/>
    </row>
    <row r="11" spans="1:26" x14ac:dyDescent="0.2">
      <c r="A11" s="171"/>
      <c r="B11" s="27" t="s">
        <v>2831</v>
      </c>
      <c r="C11" s="28">
        <v>54</v>
      </c>
      <c r="D11" s="46" t="s">
        <v>2977</v>
      </c>
      <c r="E11" s="13" t="str">
        <f>"R14"&amp;$C11&amp;E$4</f>
        <v>R145418</v>
      </c>
      <c r="F11" s="13" t="str">
        <f t="shared" si="0"/>
        <v>R145422</v>
      </c>
      <c r="G11" s="13" t="str">
        <f t="shared" si="1"/>
        <v>R145428</v>
      </c>
      <c r="H11" s="13" t="str">
        <f>"R14"&amp;$C11&amp;H$4</f>
        <v>R145435</v>
      </c>
      <c r="I11" s="13" t="str">
        <f>"R14"&amp;$C11&amp;I$4</f>
        <v>R145442</v>
      </c>
      <c r="J11" s="13" t="s">
        <v>1104</v>
      </c>
      <c r="K11" s="29" t="s">
        <v>2970</v>
      </c>
      <c r="L11" s="29" t="s">
        <v>2971</v>
      </c>
      <c r="M11" s="29" t="s">
        <v>2972</v>
      </c>
      <c r="N11" s="30"/>
      <c r="O11" s="13"/>
      <c r="P11" s="13"/>
      <c r="Q11" s="13"/>
      <c r="R11" s="13"/>
      <c r="S11" s="13"/>
      <c r="T11" s="13"/>
      <c r="U11" s="13"/>
      <c r="V11" s="13"/>
      <c r="W11" s="13"/>
      <c r="X11" s="13"/>
      <c r="Y11" s="13"/>
      <c r="Z11" s="14"/>
    </row>
    <row r="12" spans="1:26" x14ac:dyDescent="0.2">
      <c r="A12" s="171"/>
      <c r="B12" s="27" t="s">
        <v>2832</v>
      </c>
      <c r="C12" s="28">
        <v>76</v>
      </c>
      <c r="D12" s="46" t="s">
        <v>2979</v>
      </c>
      <c r="E12" s="29" t="s">
        <v>2978</v>
      </c>
      <c r="F12" s="13" t="str">
        <f t="shared" si="0"/>
        <v>R147622</v>
      </c>
      <c r="G12" s="13" t="str">
        <f t="shared" si="1"/>
        <v>R147628</v>
      </c>
      <c r="H12" s="13" t="str">
        <f>"R14"&amp;$C12&amp;H$4</f>
        <v>R147635</v>
      </c>
      <c r="I12" s="13" t="str">
        <f>"R14"&amp;$C12&amp;I$4</f>
        <v>R147642</v>
      </c>
      <c r="J12" s="13" t="str">
        <f>"R14"&amp;$C12&amp;J$4</f>
        <v>R147654</v>
      </c>
      <c r="K12" s="13" t="s">
        <v>1105</v>
      </c>
      <c r="L12" s="29" t="s">
        <v>2973</v>
      </c>
      <c r="M12" s="29" t="s">
        <v>2974</v>
      </c>
      <c r="N12" s="30"/>
      <c r="O12" s="13"/>
      <c r="P12" s="13"/>
      <c r="Q12" s="13"/>
      <c r="R12" s="13"/>
      <c r="S12" s="13"/>
      <c r="T12" s="13"/>
      <c r="U12" s="13"/>
      <c r="V12" s="13"/>
      <c r="W12" s="13"/>
      <c r="X12" s="13"/>
      <c r="Y12" s="13"/>
      <c r="Z12" s="14"/>
    </row>
    <row r="13" spans="1:26" x14ac:dyDescent="0.2">
      <c r="A13" s="171"/>
      <c r="B13" s="31" t="s">
        <v>2833</v>
      </c>
      <c r="C13" s="28">
        <v>88</v>
      </c>
      <c r="D13" s="46" t="s">
        <v>2980</v>
      </c>
      <c r="E13" s="29" t="s">
        <v>2982</v>
      </c>
      <c r="F13" s="13" t="str">
        <f t="shared" si="0"/>
        <v>R148822</v>
      </c>
      <c r="G13" s="13" t="str">
        <f t="shared" si="1"/>
        <v>R148828</v>
      </c>
      <c r="H13" s="13" t="str">
        <f>"R14"&amp;$C13&amp;H$4</f>
        <v>R148835</v>
      </c>
      <c r="I13" s="13" t="str">
        <f>"R14"&amp;$C13&amp;I$4</f>
        <v>R148842</v>
      </c>
      <c r="J13" s="13" t="str">
        <f>"R14"&amp;$C13&amp;J$4</f>
        <v>R148854</v>
      </c>
      <c r="K13" s="13" t="str">
        <f>"R14"&amp;$C13&amp;K$4</f>
        <v>R148876</v>
      </c>
      <c r="L13" s="13" t="s">
        <v>1106</v>
      </c>
      <c r="M13" s="29" t="s">
        <v>2975</v>
      </c>
      <c r="N13" s="30"/>
      <c r="O13" s="13"/>
      <c r="P13" s="13"/>
      <c r="Q13" s="13"/>
      <c r="R13" s="13"/>
      <c r="S13" s="13"/>
      <c r="T13" s="13"/>
      <c r="U13" s="13"/>
      <c r="V13" s="13"/>
      <c r="W13" s="13"/>
      <c r="X13" s="13"/>
      <c r="Y13" s="13"/>
      <c r="Z13" s="14"/>
    </row>
    <row r="14" spans="1:26" ht="13.5" thickBot="1" x14ac:dyDescent="0.25">
      <c r="A14" s="171"/>
      <c r="B14" s="32" t="s">
        <v>2834</v>
      </c>
      <c r="C14" s="33">
        <v>108</v>
      </c>
      <c r="D14" s="44" t="s">
        <v>2981</v>
      </c>
      <c r="E14" s="45" t="s">
        <v>2983</v>
      </c>
      <c r="F14" s="15" t="str">
        <f t="shared" si="0"/>
        <v>R1410822</v>
      </c>
      <c r="G14" s="15" t="str">
        <f t="shared" si="1"/>
        <v>R1410828</v>
      </c>
      <c r="H14" s="15" t="str">
        <f>"R14"&amp;$C14&amp;H$4</f>
        <v>R1410835</v>
      </c>
      <c r="I14" s="15" t="str">
        <f>"R14"&amp;$C14&amp;I$4</f>
        <v>R1410842</v>
      </c>
      <c r="J14" s="15" t="str">
        <f>"R14"&amp;$C14&amp;J$4</f>
        <v>R1410854</v>
      </c>
      <c r="K14" s="15" t="str">
        <f>"R14"&amp;$C14&amp;K$4</f>
        <v>R1410876</v>
      </c>
      <c r="L14" s="15" t="str">
        <f>"R14"&amp;$C14&amp;L$4</f>
        <v>R1410888</v>
      </c>
      <c r="M14" s="16" t="str">
        <f>"R15"&amp;C14</f>
        <v>R15108</v>
      </c>
      <c r="N14" s="17"/>
      <c r="O14" s="15"/>
      <c r="P14" s="15"/>
      <c r="Q14" s="15"/>
      <c r="R14" s="15"/>
      <c r="S14" s="15"/>
      <c r="T14" s="15"/>
      <c r="U14" s="15"/>
      <c r="V14" s="15"/>
      <c r="W14" s="15"/>
      <c r="X14" s="15"/>
      <c r="Y14" s="15"/>
      <c r="Z14" s="16"/>
    </row>
    <row r="15" spans="1:26" x14ac:dyDescent="0.2">
      <c r="A15" s="171"/>
      <c r="B15" s="34" t="s">
        <v>2711</v>
      </c>
      <c r="C15" s="34"/>
      <c r="D15" s="35"/>
      <c r="E15" s="36"/>
      <c r="F15" s="36"/>
      <c r="G15" s="36"/>
      <c r="H15" s="36"/>
      <c r="I15" s="36"/>
      <c r="J15" s="36"/>
      <c r="K15" s="36"/>
      <c r="L15" s="36"/>
      <c r="M15" s="37"/>
      <c r="N15" s="18" t="s">
        <v>1097</v>
      </c>
      <c r="O15" s="26" t="s">
        <v>2931</v>
      </c>
      <c r="P15" s="26" t="s">
        <v>2735</v>
      </c>
      <c r="Q15" s="26" t="s">
        <v>2735</v>
      </c>
      <c r="R15" s="26" t="s">
        <v>2735</v>
      </c>
      <c r="S15" s="26" t="s">
        <v>2735</v>
      </c>
      <c r="T15" s="26" t="s">
        <v>2735</v>
      </c>
      <c r="U15" s="26" t="s">
        <v>2735</v>
      </c>
      <c r="V15" s="26" t="s">
        <v>2735</v>
      </c>
      <c r="W15" s="26" t="s">
        <v>2735</v>
      </c>
      <c r="X15" s="36"/>
      <c r="Y15" s="36"/>
      <c r="Z15" s="37"/>
    </row>
    <row r="16" spans="1:26" x14ac:dyDescent="0.2">
      <c r="A16" s="171"/>
      <c r="B16" s="38" t="s">
        <v>2712</v>
      </c>
      <c r="C16" s="38"/>
      <c r="D16" s="19"/>
      <c r="E16" s="13"/>
      <c r="F16" s="13"/>
      <c r="G16" s="13"/>
      <c r="H16" s="13"/>
      <c r="I16" s="13"/>
      <c r="J16" s="13"/>
      <c r="K16" s="13"/>
      <c r="L16" s="13"/>
      <c r="M16" s="14"/>
      <c r="N16" s="19" t="str">
        <f>"R14"&amp;$C16&amp;N$4</f>
        <v>R14</v>
      </c>
      <c r="O16" s="13" t="s">
        <v>1099</v>
      </c>
      <c r="P16" s="29" t="s">
        <v>2735</v>
      </c>
      <c r="Q16" s="29" t="s">
        <v>2735</v>
      </c>
      <c r="R16" s="29" t="s">
        <v>2735</v>
      </c>
      <c r="S16" s="29" t="s">
        <v>2735</v>
      </c>
      <c r="T16" s="29" t="s">
        <v>2735</v>
      </c>
      <c r="U16" s="29" t="s">
        <v>2735</v>
      </c>
      <c r="V16" s="29" t="s">
        <v>2735</v>
      </c>
      <c r="W16" s="29" t="s">
        <v>2735</v>
      </c>
      <c r="X16" s="13"/>
      <c r="Y16" s="13"/>
      <c r="Z16" s="14"/>
    </row>
    <row r="17" spans="1:26" x14ac:dyDescent="0.2">
      <c r="A17" s="171"/>
      <c r="B17" s="38" t="s">
        <v>2713</v>
      </c>
      <c r="C17" s="38"/>
      <c r="D17" s="19"/>
      <c r="E17" s="13"/>
      <c r="F17" s="13"/>
      <c r="G17" s="13"/>
      <c r="H17" s="13"/>
      <c r="I17" s="13"/>
      <c r="J17" s="13"/>
      <c r="K17" s="13"/>
      <c r="L17" s="13"/>
      <c r="M17" s="14"/>
      <c r="N17" s="19" t="str">
        <f>"R14"&amp;$C17&amp;N$4</f>
        <v>R14</v>
      </c>
      <c r="O17" s="13" t="str">
        <f>"R14"&amp;$C17&amp;O$4</f>
        <v>R14</v>
      </c>
      <c r="P17" s="13" t="s">
        <v>1100</v>
      </c>
      <c r="Q17" s="29" t="s">
        <v>2735</v>
      </c>
      <c r="R17" s="29" t="s">
        <v>2735</v>
      </c>
      <c r="S17" s="29" t="s">
        <v>2735</v>
      </c>
      <c r="T17" s="29" t="s">
        <v>2735</v>
      </c>
      <c r="U17" s="29" t="s">
        <v>2735</v>
      </c>
      <c r="V17" s="29" t="s">
        <v>2735</v>
      </c>
      <c r="W17" s="29" t="s">
        <v>2735</v>
      </c>
      <c r="X17" s="13"/>
      <c r="Y17" s="13"/>
      <c r="Z17" s="14"/>
    </row>
    <row r="18" spans="1:26" x14ac:dyDescent="0.2">
      <c r="A18" s="171"/>
      <c r="B18" s="38" t="s">
        <v>2714</v>
      </c>
      <c r="C18" s="38"/>
      <c r="D18" s="19"/>
      <c r="E18" s="13"/>
      <c r="F18" s="13"/>
      <c r="G18" s="13"/>
      <c r="H18" s="13"/>
      <c r="I18" s="13"/>
      <c r="J18" s="13"/>
      <c r="K18" s="13"/>
      <c r="L18" s="13"/>
      <c r="M18" s="14"/>
      <c r="N18" s="19" t="str">
        <f>"R14"&amp;$C18&amp;N$4</f>
        <v>R14</v>
      </c>
      <c r="O18" s="13" t="str">
        <f>"R14"&amp;$C18&amp;O$4</f>
        <v>R14</v>
      </c>
      <c r="P18" s="13" t="str">
        <f t="shared" ref="P18:P24" si="2">"R14"&amp;$C18&amp;P$4</f>
        <v>R14</v>
      </c>
      <c r="Q18" s="13" t="s">
        <v>1101</v>
      </c>
      <c r="R18" s="29" t="s">
        <v>2735</v>
      </c>
      <c r="S18" s="29" t="s">
        <v>2735</v>
      </c>
      <c r="T18" s="29" t="s">
        <v>2735</v>
      </c>
      <c r="U18" s="29" t="s">
        <v>2735</v>
      </c>
      <c r="V18" s="29" t="s">
        <v>2735</v>
      </c>
      <c r="W18" s="29" t="s">
        <v>2735</v>
      </c>
      <c r="X18" s="13"/>
      <c r="Y18" s="13"/>
      <c r="Z18" s="14"/>
    </row>
    <row r="19" spans="1:26" x14ac:dyDescent="0.2">
      <c r="A19" s="171"/>
      <c r="B19" s="38" t="s">
        <v>2715</v>
      </c>
      <c r="C19" s="38"/>
      <c r="D19" s="19"/>
      <c r="E19" s="13"/>
      <c r="F19" s="13"/>
      <c r="G19" s="13"/>
      <c r="H19" s="13"/>
      <c r="I19" s="13"/>
      <c r="J19" s="13"/>
      <c r="K19" s="13"/>
      <c r="L19" s="13"/>
      <c r="M19" s="14"/>
      <c r="N19" s="19" t="str">
        <f>"R14"&amp;$C19&amp;N$4</f>
        <v>R14</v>
      </c>
      <c r="O19" s="13" t="str">
        <f>"R14"&amp;$C19&amp;O$4</f>
        <v>R14</v>
      </c>
      <c r="P19" s="13" t="str">
        <f t="shared" si="2"/>
        <v>R14</v>
      </c>
      <c r="Q19" s="13" t="str">
        <f t="shared" ref="Q19:Q24" si="3">"R14"&amp;$C19&amp;Q$4</f>
        <v>R14</v>
      </c>
      <c r="R19" s="13" t="s">
        <v>1102</v>
      </c>
      <c r="S19" s="29" t="s">
        <v>2735</v>
      </c>
      <c r="T19" s="29" t="s">
        <v>2735</v>
      </c>
      <c r="U19" s="29" t="s">
        <v>2735</v>
      </c>
      <c r="V19" s="29" t="s">
        <v>2735</v>
      </c>
      <c r="W19" s="29" t="s">
        <v>2735</v>
      </c>
      <c r="X19" s="13"/>
      <c r="Y19" s="13"/>
      <c r="Z19" s="14"/>
    </row>
    <row r="20" spans="1:26" x14ac:dyDescent="0.2">
      <c r="A20" s="171"/>
      <c r="B20" s="38" t="s">
        <v>2716</v>
      </c>
      <c r="C20" s="38"/>
      <c r="D20" s="19"/>
      <c r="E20" s="13"/>
      <c r="F20" s="13"/>
      <c r="G20" s="13"/>
      <c r="H20" s="13"/>
      <c r="I20" s="13"/>
      <c r="J20" s="13"/>
      <c r="K20" s="13"/>
      <c r="L20" s="13"/>
      <c r="M20" s="14"/>
      <c r="N20" s="46" t="s">
        <v>2735</v>
      </c>
      <c r="O20" s="13" t="str">
        <f>"R14"&amp;$C20&amp;O$4</f>
        <v>R14</v>
      </c>
      <c r="P20" s="13" t="str">
        <f t="shared" si="2"/>
        <v>R14</v>
      </c>
      <c r="Q20" s="13" t="str">
        <f t="shared" si="3"/>
        <v>R14</v>
      </c>
      <c r="R20" s="13" t="str">
        <f>"R14"&amp;$C20&amp;R$4</f>
        <v>R14</v>
      </c>
      <c r="S20" s="13" t="s">
        <v>1103</v>
      </c>
      <c r="T20" s="29" t="s">
        <v>2735</v>
      </c>
      <c r="U20" s="29" t="s">
        <v>2735</v>
      </c>
      <c r="V20" s="29" t="s">
        <v>2735</v>
      </c>
      <c r="W20" s="29" t="s">
        <v>2735</v>
      </c>
      <c r="X20" s="13"/>
      <c r="Y20" s="13"/>
      <c r="Z20" s="14"/>
    </row>
    <row r="21" spans="1:26" x14ac:dyDescent="0.2">
      <c r="A21" s="171"/>
      <c r="B21" s="38" t="s">
        <v>2717</v>
      </c>
      <c r="C21" s="38"/>
      <c r="D21" s="19"/>
      <c r="E21" s="13"/>
      <c r="F21" s="13"/>
      <c r="G21" s="13"/>
      <c r="H21" s="13"/>
      <c r="I21" s="13"/>
      <c r="J21" s="13"/>
      <c r="K21" s="13"/>
      <c r="L21" s="13"/>
      <c r="M21" s="14"/>
      <c r="N21" s="46" t="s">
        <v>2735</v>
      </c>
      <c r="O21" s="13" t="str">
        <f>"R14"&amp;$C21&amp;O$4</f>
        <v>R14</v>
      </c>
      <c r="P21" s="13" t="str">
        <f t="shared" si="2"/>
        <v>R14</v>
      </c>
      <c r="Q21" s="13" t="str">
        <f t="shared" si="3"/>
        <v>R14</v>
      </c>
      <c r="R21" s="13" t="str">
        <f>"R14"&amp;$C21&amp;R$4</f>
        <v>R14</v>
      </c>
      <c r="S21" s="13" t="str">
        <f>"R14"&amp;$C21&amp;S$4</f>
        <v>R14</v>
      </c>
      <c r="T21" s="13" t="s">
        <v>1104</v>
      </c>
      <c r="U21" s="29" t="s">
        <v>2735</v>
      </c>
      <c r="V21" s="29" t="s">
        <v>2735</v>
      </c>
      <c r="W21" s="29" t="s">
        <v>2735</v>
      </c>
      <c r="X21" s="13"/>
      <c r="Y21" s="13"/>
      <c r="Z21" s="14"/>
    </row>
    <row r="22" spans="1:26" x14ac:dyDescent="0.2">
      <c r="A22" s="171"/>
      <c r="B22" s="38" t="s">
        <v>2718</v>
      </c>
      <c r="C22" s="38"/>
      <c r="D22" s="19"/>
      <c r="E22" s="13"/>
      <c r="F22" s="13"/>
      <c r="G22" s="13"/>
      <c r="H22" s="13"/>
      <c r="I22" s="13"/>
      <c r="J22" s="13"/>
      <c r="K22" s="13"/>
      <c r="L22" s="13"/>
      <c r="M22" s="14"/>
      <c r="N22" s="46" t="s">
        <v>2735</v>
      </c>
      <c r="O22" s="29" t="s">
        <v>2735</v>
      </c>
      <c r="P22" s="13" t="str">
        <f t="shared" si="2"/>
        <v>R14</v>
      </c>
      <c r="Q22" s="13" t="str">
        <f t="shared" si="3"/>
        <v>R14</v>
      </c>
      <c r="R22" s="13" t="str">
        <f>"R14"&amp;$C22&amp;R$4</f>
        <v>R14</v>
      </c>
      <c r="S22" s="13" t="str">
        <f>"R14"&amp;$C22&amp;S$4</f>
        <v>R14</v>
      </c>
      <c r="T22" s="13" t="str">
        <f>"R14"&amp;$C22&amp;T$4</f>
        <v>R14</v>
      </c>
      <c r="U22" s="13" t="s">
        <v>1105</v>
      </c>
      <c r="V22" s="29" t="s">
        <v>2735</v>
      </c>
      <c r="W22" s="29" t="s">
        <v>2735</v>
      </c>
      <c r="X22" s="13"/>
      <c r="Y22" s="13"/>
      <c r="Z22" s="14"/>
    </row>
    <row r="23" spans="1:26" x14ac:dyDescent="0.2">
      <c r="A23" s="171"/>
      <c r="B23" s="38" t="s">
        <v>2719</v>
      </c>
      <c r="C23" s="38"/>
      <c r="D23" s="19"/>
      <c r="E23" s="13"/>
      <c r="F23" s="13"/>
      <c r="G23" s="13"/>
      <c r="H23" s="13"/>
      <c r="I23" s="13"/>
      <c r="J23" s="13"/>
      <c r="K23" s="13"/>
      <c r="L23" s="13"/>
      <c r="M23" s="14"/>
      <c r="N23" s="46" t="s">
        <v>2735</v>
      </c>
      <c r="O23" s="29" t="s">
        <v>2735</v>
      </c>
      <c r="P23" s="13" t="str">
        <f t="shared" si="2"/>
        <v>R14</v>
      </c>
      <c r="Q23" s="13" t="str">
        <f t="shared" si="3"/>
        <v>R14</v>
      </c>
      <c r="R23" s="13" t="str">
        <f>"R14"&amp;$C23&amp;R$4</f>
        <v>R14</v>
      </c>
      <c r="S23" s="13" t="str">
        <f>"R14"&amp;$C23&amp;S$4</f>
        <v>R14</v>
      </c>
      <c r="T23" s="13" t="str">
        <f>"R14"&amp;$C23&amp;T$4</f>
        <v>R14</v>
      </c>
      <c r="U23" s="13" t="str">
        <f>"R14"&amp;$C23&amp;U$4</f>
        <v>R14</v>
      </c>
      <c r="V23" s="13" t="s">
        <v>1106</v>
      </c>
      <c r="W23" s="29" t="s">
        <v>2735</v>
      </c>
      <c r="X23" s="13"/>
      <c r="Y23" s="13"/>
      <c r="Z23" s="14"/>
    </row>
    <row r="24" spans="1:26" ht="13.5" thickBot="1" x14ac:dyDescent="0.25">
      <c r="A24" s="171"/>
      <c r="B24" s="38" t="s">
        <v>2720</v>
      </c>
      <c r="C24" s="38"/>
      <c r="D24" s="19"/>
      <c r="E24" s="13"/>
      <c r="F24" s="13"/>
      <c r="G24" s="13"/>
      <c r="H24" s="13"/>
      <c r="I24" s="13"/>
      <c r="J24" s="13"/>
      <c r="K24" s="13"/>
      <c r="L24" s="13"/>
      <c r="M24" s="14"/>
      <c r="N24" s="44" t="s">
        <v>2735</v>
      </c>
      <c r="O24" s="45" t="s">
        <v>2735</v>
      </c>
      <c r="P24" s="15" t="str">
        <f t="shared" si="2"/>
        <v>R14</v>
      </c>
      <c r="Q24" s="15" t="str">
        <f t="shared" si="3"/>
        <v>R14</v>
      </c>
      <c r="R24" s="15" t="str">
        <f>"R14"&amp;$C24&amp;R$4</f>
        <v>R14</v>
      </c>
      <c r="S24" s="15" t="str">
        <f>"R14"&amp;$C24&amp;S$4</f>
        <v>R14</v>
      </c>
      <c r="T24" s="15" t="str">
        <f>"R14"&amp;$C24&amp;T$4</f>
        <v>R14</v>
      </c>
      <c r="U24" s="15" t="str">
        <f>"R14"&amp;$C24&amp;U$4</f>
        <v>R14</v>
      </c>
      <c r="V24" s="15" t="str">
        <f>"R14"&amp;$C24&amp;V$4</f>
        <v>R14</v>
      </c>
      <c r="W24" s="16" t="str">
        <f>"R15"&amp;M24</f>
        <v>R15</v>
      </c>
      <c r="X24" s="13"/>
      <c r="Y24" s="13"/>
      <c r="Z24" s="14"/>
    </row>
    <row r="25" spans="1:26" x14ac:dyDescent="0.2">
      <c r="A25" s="171"/>
      <c r="B25" s="38" t="s">
        <v>2721</v>
      </c>
      <c r="C25" s="38"/>
      <c r="D25" s="19"/>
      <c r="E25" s="13"/>
      <c r="F25" s="13"/>
      <c r="G25" s="13"/>
      <c r="H25" s="13"/>
      <c r="I25" s="13"/>
      <c r="J25" s="13"/>
      <c r="K25" s="13"/>
      <c r="L25" s="13"/>
      <c r="M25" s="14"/>
      <c r="N25" s="30"/>
      <c r="O25" s="13"/>
      <c r="P25" s="13"/>
      <c r="Q25" s="13"/>
      <c r="R25" s="13"/>
      <c r="S25" s="13"/>
      <c r="T25" s="13"/>
      <c r="U25" s="13"/>
      <c r="V25" s="13"/>
      <c r="W25" s="13"/>
      <c r="X25" s="13"/>
      <c r="Y25" s="13"/>
      <c r="Z25" s="14"/>
    </row>
    <row r="26" spans="1:26" x14ac:dyDescent="0.2">
      <c r="A26" s="171"/>
      <c r="B26" s="38" t="s">
        <v>2722</v>
      </c>
      <c r="C26" s="38"/>
      <c r="D26" s="19"/>
      <c r="E26" s="13"/>
      <c r="F26" s="13"/>
      <c r="G26" s="13"/>
      <c r="H26" s="13"/>
      <c r="I26" s="13"/>
      <c r="J26" s="13"/>
      <c r="K26" s="13"/>
      <c r="L26" s="13"/>
      <c r="M26" s="14"/>
      <c r="N26" s="30"/>
      <c r="O26" s="13"/>
      <c r="P26" s="13"/>
      <c r="Q26" s="13"/>
      <c r="R26" s="13"/>
      <c r="S26" s="13"/>
      <c r="T26" s="13"/>
      <c r="U26" s="13"/>
      <c r="V26" s="13"/>
      <c r="W26" s="13"/>
      <c r="X26" s="13"/>
      <c r="Y26" s="13"/>
      <c r="Z26" s="14"/>
    </row>
    <row r="27" spans="1:26" ht="13.5" thickBot="1" x14ac:dyDescent="0.25">
      <c r="A27" s="171"/>
      <c r="B27" s="39" t="s">
        <v>2723</v>
      </c>
      <c r="C27" s="39"/>
      <c r="D27" s="20"/>
      <c r="E27" s="15"/>
      <c r="F27" s="15"/>
      <c r="G27" s="15"/>
      <c r="H27" s="15"/>
      <c r="I27" s="15"/>
      <c r="J27" s="15"/>
      <c r="K27" s="15"/>
      <c r="L27" s="15"/>
      <c r="M27" s="16"/>
      <c r="N27" s="17"/>
      <c r="O27" s="15"/>
      <c r="P27" s="15"/>
      <c r="Q27" s="15"/>
      <c r="R27" s="15"/>
      <c r="S27" s="15"/>
      <c r="T27" s="15"/>
      <c r="U27" s="15"/>
      <c r="V27" s="15"/>
      <c r="W27" s="15"/>
      <c r="X27" s="15"/>
      <c r="Y27" s="15"/>
      <c r="Z27" s="16"/>
    </row>
  </sheetData>
  <mergeCells count="4">
    <mergeCell ref="D1:M1"/>
    <mergeCell ref="N1:Z1"/>
    <mergeCell ref="D2:Z2"/>
    <mergeCell ref="A5:A27"/>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00235-E49E-4D85-80EA-0D37465E72BB}">
  <sheetPr codeName="Feuil17">
    <tabColor theme="9" tint="0.59999389629810485"/>
  </sheetPr>
  <dimension ref="A1:D2671"/>
  <sheetViews>
    <sheetView workbookViewId="0">
      <selection activeCell="B15" sqref="B15"/>
    </sheetView>
  </sheetViews>
  <sheetFormatPr baseColWidth="10" defaultRowHeight="12.75" x14ac:dyDescent="0.2"/>
  <cols>
    <col min="1" max="1" width="30.5703125" bestFit="1" customWidth="1"/>
    <col min="2" max="2" width="81.140625" bestFit="1" customWidth="1"/>
    <col min="3" max="3" width="15.140625" bestFit="1" customWidth="1"/>
    <col min="4" max="4" width="10.140625" bestFit="1" customWidth="1"/>
  </cols>
  <sheetData>
    <row r="1" spans="1:4" x14ac:dyDescent="0.2">
      <c r="A1" t="s">
        <v>2840</v>
      </c>
      <c r="B1" t="s">
        <v>1</v>
      </c>
      <c r="C1" t="s">
        <v>2841</v>
      </c>
      <c r="D1" t="s">
        <v>1767</v>
      </c>
    </row>
    <row r="2" spans="1:4" x14ac:dyDescent="0.2">
      <c r="A2">
        <v>3000</v>
      </c>
      <c r="B2" t="s">
        <v>2842</v>
      </c>
      <c r="C2">
        <v>2.2000000000000002</v>
      </c>
      <c r="D2" s="2">
        <v>44223</v>
      </c>
    </row>
    <row r="3" spans="1:4" x14ac:dyDescent="0.2">
      <c r="A3" t="s">
        <v>2843</v>
      </c>
      <c r="B3" t="s">
        <v>2844</v>
      </c>
      <c r="C3">
        <v>256.3</v>
      </c>
      <c r="D3" s="2">
        <v>44223</v>
      </c>
    </row>
    <row r="4" spans="1:4" x14ac:dyDescent="0.2">
      <c r="A4" t="s">
        <v>2845</v>
      </c>
      <c r="B4" t="s">
        <v>2846</v>
      </c>
      <c r="C4">
        <v>704</v>
      </c>
      <c r="D4" s="2">
        <v>44223</v>
      </c>
    </row>
    <row r="5" spans="1:4" x14ac:dyDescent="0.2">
      <c r="A5">
        <v>13978</v>
      </c>
      <c r="B5" t="s">
        <v>2847</v>
      </c>
      <c r="C5">
        <v>0.1</v>
      </c>
      <c r="D5" s="2">
        <v>44223</v>
      </c>
    </row>
    <row r="6" spans="1:4" x14ac:dyDescent="0.2">
      <c r="A6">
        <v>14532</v>
      </c>
      <c r="B6" t="s">
        <v>2848</v>
      </c>
      <c r="C6">
        <v>0.30000000000000004</v>
      </c>
      <c r="D6" s="2">
        <v>44223</v>
      </c>
    </row>
    <row r="7" spans="1:4" x14ac:dyDescent="0.2">
      <c r="A7" t="s">
        <v>2849</v>
      </c>
      <c r="B7" t="s">
        <v>2850</v>
      </c>
      <c r="C7">
        <v>0.62</v>
      </c>
      <c r="D7" s="2">
        <v>44418</v>
      </c>
    </row>
    <row r="8" spans="1:4" x14ac:dyDescent="0.2">
      <c r="A8">
        <v>14842</v>
      </c>
      <c r="B8" t="s">
        <v>2851</v>
      </c>
      <c r="C8">
        <v>0.30000000000000004</v>
      </c>
      <c r="D8" s="2">
        <v>44223</v>
      </c>
    </row>
    <row r="9" spans="1:4" x14ac:dyDescent="0.2">
      <c r="A9">
        <v>20214</v>
      </c>
      <c r="B9" t="s">
        <v>2852</v>
      </c>
      <c r="C9">
        <v>8.7999999999999989</v>
      </c>
      <c r="D9" s="2">
        <v>44223</v>
      </c>
    </row>
    <row r="10" spans="1:4" x14ac:dyDescent="0.2">
      <c r="A10">
        <v>30953</v>
      </c>
      <c r="B10" t="s">
        <v>2853</v>
      </c>
      <c r="C10">
        <v>0.6</v>
      </c>
      <c r="D10" s="2">
        <v>44223</v>
      </c>
    </row>
    <row r="11" spans="1:4" x14ac:dyDescent="0.2">
      <c r="A11">
        <v>31904</v>
      </c>
      <c r="B11" t="s">
        <v>2854</v>
      </c>
      <c r="C11">
        <v>0.30000000000000004</v>
      </c>
      <c r="D11" s="2">
        <v>44223</v>
      </c>
    </row>
    <row r="12" spans="1:4" x14ac:dyDescent="0.2">
      <c r="A12">
        <v>31913</v>
      </c>
      <c r="B12" t="s">
        <v>2855</v>
      </c>
      <c r="C12">
        <v>0.2</v>
      </c>
      <c r="D12" s="2">
        <v>44223</v>
      </c>
    </row>
    <row r="13" spans="1:4" x14ac:dyDescent="0.2">
      <c r="A13">
        <v>31916</v>
      </c>
      <c r="B13" t="s">
        <v>2856</v>
      </c>
      <c r="C13">
        <v>0.30000000000000004</v>
      </c>
      <c r="D13" s="2">
        <v>44223</v>
      </c>
    </row>
    <row r="14" spans="1:4" x14ac:dyDescent="0.2">
      <c r="A14">
        <v>31919</v>
      </c>
      <c r="B14" t="s">
        <v>2857</v>
      </c>
      <c r="C14">
        <v>0.30000000000000004</v>
      </c>
      <c r="D14" s="2">
        <v>44223</v>
      </c>
    </row>
    <row r="15" spans="1:4" x14ac:dyDescent="0.2">
      <c r="A15">
        <v>32032</v>
      </c>
      <c r="B15" t="s">
        <v>2858</v>
      </c>
      <c r="C15">
        <v>0.1</v>
      </c>
      <c r="D15" s="2">
        <v>44223</v>
      </c>
    </row>
    <row r="16" spans="1:4" x14ac:dyDescent="0.2">
      <c r="A16" t="s">
        <v>2859</v>
      </c>
      <c r="B16" t="s">
        <v>2860</v>
      </c>
      <c r="C16">
        <v>0.25</v>
      </c>
      <c r="D16" s="2">
        <v>44418</v>
      </c>
    </row>
    <row r="17" spans="1:4" x14ac:dyDescent="0.2">
      <c r="A17" t="s">
        <v>2861</v>
      </c>
      <c r="B17" t="s">
        <v>2862</v>
      </c>
      <c r="C17">
        <v>0.1</v>
      </c>
      <c r="D17" s="2">
        <v>44223</v>
      </c>
    </row>
    <row r="18" spans="1:4" x14ac:dyDescent="0.2">
      <c r="A18" t="s">
        <v>2863</v>
      </c>
      <c r="B18" t="s">
        <v>2864</v>
      </c>
      <c r="C18">
        <v>0.1</v>
      </c>
      <c r="D18" s="2">
        <v>44418</v>
      </c>
    </row>
    <row r="19" spans="1:4" x14ac:dyDescent="0.2">
      <c r="A19">
        <v>37669</v>
      </c>
      <c r="B19" t="s">
        <v>2865</v>
      </c>
      <c r="C19">
        <v>0.4</v>
      </c>
      <c r="D19" s="2">
        <v>44223</v>
      </c>
    </row>
    <row r="20" spans="1:4" x14ac:dyDescent="0.2">
      <c r="A20">
        <v>38830</v>
      </c>
      <c r="B20" t="s">
        <v>2866</v>
      </c>
      <c r="C20">
        <v>9.2999999999999989</v>
      </c>
      <c r="D20" s="2">
        <v>44223</v>
      </c>
    </row>
    <row r="21" spans="1:4" x14ac:dyDescent="0.2">
      <c r="A21">
        <v>39098</v>
      </c>
      <c r="B21" t="s">
        <v>2867</v>
      </c>
      <c r="C21">
        <v>1.6</v>
      </c>
      <c r="D21" s="2">
        <v>44223</v>
      </c>
    </row>
    <row r="22" spans="1:4" x14ac:dyDescent="0.2">
      <c r="A22" t="s">
        <v>2868</v>
      </c>
      <c r="B22" t="s">
        <v>2869</v>
      </c>
      <c r="C22">
        <v>0.5</v>
      </c>
      <c r="D22" s="2">
        <v>44223</v>
      </c>
    </row>
    <row r="23" spans="1:4" x14ac:dyDescent="0.2">
      <c r="A23">
        <v>98023</v>
      </c>
      <c r="B23" t="s">
        <v>2870</v>
      </c>
      <c r="C23">
        <v>0.7</v>
      </c>
      <c r="D23" s="2">
        <v>44223</v>
      </c>
    </row>
    <row r="24" spans="1:4" x14ac:dyDescent="0.2">
      <c r="A24">
        <v>98024</v>
      </c>
      <c r="B24" t="s">
        <v>2871</v>
      </c>
      <c r="C24">
        <v>0.7</v>
      </c>
      <c r="D24" s="2">
        <v>44223</v>
      </c>
    </row>
    <row r="25" spans="1:4" x14ac:dyDescent="0.2">
      <c r="A25">
        <v>98025</v>
      </c>
      <c r="B25" t="s">
        <v>2872</v>
      </c>
      <c r="C25">
        <v>1</v>
      </c>
      <c r="D25" s="2">
        <v>44223</v>
      </c>
    </row>
    <row r="26" spans="1:4" x14ac:dyDescent="0.2">
      <c r="A26" t="s">
        <v>2873</v>
      </c>
      <c r="B26" t="s">
        <v>2874</v>
      </c>
      <c r="C26">
        <v>0.57999999999999996</v>
      </c>
      <c r="D26" s="2">
        <v>44418</v>
      </c>
    </row>
    <row r="27" spans="1:4" x14ac:dyDescent="0.2">
      <c r="A27">
        <v>558241</v>
      </c>
      <c r="B27" t="s">
        <v>2875</v>
      </c>
      <c r="C27">
        <v>6</v>
      </c>
      <c r="D27" s="2">
        <v>44223</v>
      </c>
    </row>
    <row r="28" spans="1:4" x14ac:dyDescent="0.2">
      <c r="A28" t="s">
        <v>2876</v>
      </c>
      <c r="B28" t="s">
        <v>2877</v>
      </c>
      <c r="C28">
        <v>18.97</v>
      </c>
      <c r="D28" s="2">
        <v>44418</v>
      </c>
    </row>
    <row r="29" spans="1:4" x14ac:dyDescent="0.2">
      <c r="A29" t="s">
        <v>2878</v>
      </c>
      <c r="B29" t="s">
        <v>2879</v>
      </c>
      <c r="C29">
        <v>7149.2000000000007</v>
      </c>
      <c r="D29" s="2">
        <v>44223</v>
      </c>
    </row>
    <row r="30" spans="1:4" x14ac:dyDescent="0.2">
      <c r="A30" t="s">
        <v>2880</v>
      </c>
      <c r="B30" t="s">
        <v>2881</v>
      </c>
      <c r="C30">
        <v>27.18</v>
      </c>
      <c r="D30" s="2">
        <v>44223</v>
      </c>
    </row>
    <row r="31" spans="1:4" x14ac:dyDescent="0.2">
      <c r="A31" t="s">
        <v>2668</v>
      </c>
      <c r="B31" t="s">
        <v>2882</v>
      </c>
      <c r="C31">
        <v>382.1</v>
      </c>
      <c r="D31" s="2">
        <v>44223</v>
      </c>
    </row>
    <row r="32" spans="1:4" x14ac:dyDescent="0.2">
      <c r="A32" t="s">
        <v>2883</v>
      </c>
      <c r="B32" t="s">
        <v>2884</v>
      </c>
      <c r="C32">
        <v>4.99</v>
      </c>
      <c r="D32" s="2">
        <v>44418</v>
      </c>
    </row>
    <row r="33" spans="1:4" x14ac:dyDescent="0.2">
      <c r="A33" t="s">
        <v>1868</v>
      </c>
      <c r="C33">
        <v>4.34</v>
      </c>
      <c r="D33" s="2">
        <v>44413</v>
      </c>
    </row>
    <row r="34" spans="1:4" x14ac:dyDescent="0.2">
      <c r="A34" t="s">
        <v>2885</v>
      </c>
      <c r="B34" t="s">
        <v>2886</v>
      </c>
      <c r="C34">
        <v>3475.2</v>
      </c>
      <c r="D34" s="2">
        <v>44462</v>
      </c>
    </row>
    <row r="35" spans="1:4" x14ac:dyDescent="0.2">
      <c r="A35" t="s">
        <v>2887</v>
      </c>
      <c r="B35" t="s">
        <v>1889</v>
      </c>
      <c r="C35">
        <v>458.85</v>
      </c>
      <c r="D35" s="2">
        <v>44462</v>
      </c>
    </row>
    <row r="36" spans="1:4" x14ac:dyDescent="0.2">
      <c r="A36" t="s">
        <v>2888</v>
      </c>
      <c r="B36" t="s">
        <v>1890</v>
      </c>
      <c r="C36">
        <v>13.43</v>
      </c>
      <c r="D36" s="2">
        <v>44462</v>
      </c>
    </row>
    <row r="37" spans="1:4" x14ac:dyDescent="0.2">
      <c r="A37" t="s">
        <v>2889</v>
      </c>
      <c r="B37" t="s">
        <v>1891</v>
      </c>
      <c r="C37">
        <v>31.13</v>
      </c>
      <c r="D37" s="2">
        <v>44462</v>
      </c>
    </row>
    <row r="38" spans="1:4" x14ac:dyDescent="0.2">
      <c r="A38" t="s">
        <v>2890</v>
      </c>
      <c r="B38" t="s">
        <v>2891</v>
      </c>
      <c r="C38">
        <v>399</v>
      </c>
      <c r="D38" s="2">
        <v>44462</v>
      </c>
    </row>
    <row r="39" spans="1:4" x14ac:dyDescent="0.2">
      <c r="A39" t="s">
        <v>2892</v>
      </c>
      <c r="B39" t="s">
        <v>1892</v>
      </c>
      <c r="C39">
        <v>1413.12</v>
      </c>
      <c r="D39" s="2">
        <v>44462</v>
      </c>
    </row>
    <row r="40" spans="1:4" x14ac:dyDescent="0.2">
      <c r="A40">
        <v>14834</v>
      </c>
      <c r="B40" t="s">
        <v>211</v>
      </c>
      <c r="C40">
        <v>0.21</v>
      </c>
      <c r="D40" s="2">
        <v>44580</v>
      </c>
    </row>
    <row r="41" spans="1:4" x14ac:dyDescent="0.2">
      <c r="A41" t="s">
        <v>2893</v>
      </c>
      <c r="B41" t="s">
        <v>2894</v>
      </c>
      <c r="C41">
        <v>0.63</v>
      </c>
      <c r="D41" s="2">
        <v>44580</v>
      </c>
    </row>
    <row r="42" spans="1:4" x14ac:dyDescent="0.2">
      <c r="A42">
        <v>130248</v>
      </c>
      <c r="B42" t="s">
        <v>204</v>
      </c>
      <c r="C42">
        <v>1.91</v>
      </c>
      <c r="D42" s="2">
        <v>44580</v>
      </c>
    </row>
    <row r="43" spans="1:4" x14ac:dyDescent="0.2">
      <c r="A43">
        <v>28800</v>
      </c>
      <c r="B43" t="s">
        <v>2895</v>
      </c>
      <c r="C43">
        <v>0.44</v>
      </c>
      <c r="D43" s="2">
        <v>44580</v>
      </c>
    </row>
    <row r="44" spans="1:4" x14ac:dyDescent="0.2">
      <c r="A44">
        <v>40142</v>
      </c>
      <c r="B44" t="s">
        <v>202</v>
      </c>
      <c r="C44">
        <v>7.62</v>
      </c>
      <c r="D44" s="2">
        <v>44580</v>
      </c>
    </row>
    <row r="45" spans="1:4" x14ac:dyDescent="0.2">
      <c r="A45">
        <v>304032</v>
      </c>
      <c r="B45" t="s">
        <v>2097</v>
      </c>
      <c r="C45">
        <v>0.97</v>
      </c>
      <c r="D45" s="2">
        <v>44580</v>
      </c>
    </row>
    <row r="46" spans="1:4" x14ac:dyDescent="0.2">
      <c r="A46">
        <v>31660812</v>
      </c>
      <c r="B46" t="s">
        <v>1607</v>
      </c>
      <c r="C46">
        <v>5.38</v>
      </c>
      <c r="D46" s="2">
        <v>44580</v>
      </c>
    </row>
    <row r="47" spans="1:4" x14ac:dyDescent="0.2">
      <c r="A47" t="s">
        <v>2576</v>
      </c>
      <c r="C47">
        <v>227</v>
      </c>
      <c r="D47" s="2">
        <v>44562</v>
      </c>
    </row>
    <row r="48" spans="1:4" x14ac:dyDescent="0.2">
      <c r="A48" t="s">
        <v>2577</v>
      </c>
      <c r="C48">
        <v>350</v>
      </c>
      <c r="D48" s="2">
        <v>44563</v>
      </c>
    </row>
    <row r="49" spans="1:4" x14ac:dyDescent="0.2">
      <c r="A49" t="s">
        <v>2578</v>
      </c>
      <c r="C49">
        <v>69</v>
      </c>
      <c r="D49" s="2">
        <v>44564</v>
      </c>
    </row>
    <row r="50" spans="1:4" x14ac:dyDescent="0.2">
      <c r="A50" t="s">
        <v>2579</v>
      </c>
      <c r="C50">
        <v>69</v>
      </c>
      <c r="D50" s="2">
        <v>44565</v>
      </c>
    </row>
    <row r="51" spans="1:4" x14ac:dyDescent="0.2">
      <c r="A51" t="s">
        <v>2580</v>
      </c>
      <c r="C51">
        <v>74</v>
      </c>
      <c r="D51" s="2">
        <v>44566</v>
      </c>
    </row>
    <row r="52" spans="1:4" x14ac:dyDescent="0.2">
      <c r="A52" t="s">
        <v>2581</v>
      </c>
      <c r="C52">
        <v>74</v>
      </c>
      <c r="D52" s="2">
        <v>44567</v>
      </c>
    </row>
    <row r="53" spans="1:4" x14ac:dyDescent="0.2">
      <c r="A53" t="s">
        <v>2582</v>
      </c>
      <c r="C53">
        <v>90</v>
      </c>
      <c r="D53" s="2">
        <v>44568</v>
      </c>
    </row>
    <row r="54" spans="1:4" x14ac:dyDescent="0.2">
      <c r="A54" t="s">
        <v>2583</v>
      </c>
      <c r="C54">
        <v>168</v>
      </c>
      <c r="D54" s="2">
        <v>44569</v>
      </c>
    </row>
    <row r="55" spans="1:4" x14ac:dyDescent="0.2">
      <c r="A55" t="s">
        <v>2584</v>
      </c>
      <c r="C55">
        <v>227.95</v>
      </c>
      <c r="D55" s="2">
        <v>44570</v>
      </c>
    </row>
    <row r="56" spans="1:4" x14ac:dyDescent="0.2">
      <c r="A56" t="s">
        <v>2585</v>
      </c>
      <c r="C56">
        <v>235</v>
      </c>
      <c r="D56" s="2">
        <v>44571</v>
      </c>
    </row>
    <row r="57" spans="1:4" x14ac:dyDescent="0.2">
      <c r="A57" t="s">
        <v>2586</v>
      </c>
      <c r="C57">
        <v>35</v>
      </c>
      <c r="D57" s="2">
        <v>44572</v>
      </c>
    </row>
    <row r="58" spans="1:4" x14ac:dyDescent="0.2">
      <c r="A58" t="s">
        <v>2587</v>
      </c>
      <c r="C58">
        <v>225</v>
      </c>
      <c r="D58" s="2">
        <v>44573</v>
      </c>
    </row>
    <row r="59" spans="1:4" x14ac:dyDescent="0.2">
      <c r="A59" t="s">
        <v>2588</v>
      </c>
      <c r="C59">
        <v>37</v>
      </c>
      <c r="D59" s="2">
        <v>44574</v>
      </c>
    </row>
    <row r="60" spans="1:4" x14ac:dyDescent="0.2">
      <c r="A60" t="s">
        <v>2589</v>
      </c>
      <c r="C60">
        <v>37</v>
      </c>
      <c r="D60" s="2">
        <v>44575</v>
      </c>
    </row>
    <row r="61" spans="1:4" x14ac:dyDescent="0.2">
      <c r="A61" t="s">
        <v>2590</v>
      </c>
      <c r="C61">
        <v>42</v>
      </c>
      <c r="D61" s="2">
        <v>44576</v>
      </c>
    </row>
    <row r="62" spans="1:4" x14ac:dyDescent="0.2">
      <c r="A62" t="s">
        <v>2591</v>
      </c>
      <c r="C62">
        <v>42</v>
      </c>
      <c r="D62" s="2">
        <v>44577</v>
      </c>
    </row>
    <row r="63" spans="1:4" x14ac:dyDescent="0.2">
      <c r="A63" t="s">
        <v>2592</v>
      </c>
      <c r="C63">
        <v>48</v>
      </c>
      <c r="D63" s="2">
        <v>44578</v>
      </c>
    </row>
    <row r="64" spans="1:4" x14ac:dyDescent="0.2">
      <c r="A64" t="s">
        <v>2593</v>
      </c>
      <c r="C64">
        <v>48</v>
      </c>
      <c r="D64" s="2">
        <v>44579</v>
      </c>
    </row>
    <row r="65" spans="1:4" x14ac:dyDescent="0.2">
      <c r="A65" t="s">
        <v>2594</v>
      </c>
      <c r="C65">
        <v>53</v>
      </c>
      <c r="D65" s="2">
        <v>44580</v>
      </c>
    </row>
    <row r="66" spans="1:4" x14ac:dyDescent="0.2">
      <c r="A66" t="s">
        <v>2595</v>
      </c>
      <c r="C66">
        <v>53</v>
      </c>
      <c r="D66" s="2">
        <v>44581</v>
      </c>
    </row>
    <row r="67" spans="1:4" x14ac:dyDescent="0.2">
      <c r="A67" t="s">
        <v>2596</v>
      </c>
      <c r="C67">
        <v>74</v>
      </c>
      <c r="D67" s="2">
        <v>44582</v>
      </c>
    </row>
    <row r="68" spans="1:4" x14ac:dyDescent="0.2">
      <c r="A68" t="s">
        <v>2597</v>
      </c>
      <c r="C68">
        <v>11</v>
      </c>
      <c r="D68" s="2">
        <v>44583</v>
      </c>
    </row>
    <row r="69" spans="1:4" x14ac:dyDescent="0.2">
      <c r="A69" t="s">
        <v>2598</v>
      </c>
      <c r="C69">
        <v>21</v>
      </c>
      <c r="D69" s="2">
        <v>44584</v>
      </c>
    </row>
    <row r="70" spans="1:4" x14ac:dyDescent="0.2">
      <c r="A70" t="s">
        <v>2599</v>
      </c>
      <c r="C70">
        <v>26</v>
      </c>
      <c r="D70" s="2">
        <v>44585</v>
      </c>
    </row>
    <row r="71" spans="1:4" x14ac:dyDescent="0.2">
      <c r="A71" t="s">
        <v>2600</v>
      </c>
      <c r="C71">
        <v>31</v>
      </c>
      <c r="D71" s="2">
        <v>44586</v>
      </c>
    </row>
    <row r="72" spans="1:4" x14ac:dyDescent="0.2">
      <c r="A72" t="s">
        <v>2601</v>
      </c>
      <c r="C72">
        <v>36</v>
      </c>
      <c r="D72" s="2">
        <v>44587</v>
      </c>
    </row>
    <row r="73" spans="1:4" x14ac:dyDescent="0.2">
      <c r="A73" t="s">
        <v>2602</v>
      </c>
      <c r="C73">
        <v>89</v>
      </c>
      <c r="D73" s="2">
        <v>44588</v>
      </c>
    </row>
    <row r="74" spans="1:4" x14ac:dyDescent="0.2">
      <c r="A74" t="s">
        <v>2603</v>
      </c>
      <c r="C74">
        <v>89</v>
      </c>
      <c r="D74" s="2">
        <v>44589</v>
      </c>
    </row>
    <row r="75" spans="1:4" x14ac:dyDescent="0.2">
      <c r="A75" t="s">
        <v>2604</v>
      </c>
      <c r="C75">
        <v>89</v>
      </c>
      <c r="D75" s="2">
        <v>44590</v>
      </c>
    </row>
    <row r="76" spans="1:4" x14ac:dyDescent="0.2">
      <c r="A76" t="s">
        <v>2605</v>
      </c>
      <c r="C76">
        <v>105</v>
      </c>
      <c r="D76" s="2">
        <v>44591</v>
      </c>
    </row>
    <row r="77" spans="1:4" x14ac:dyDescent="0.2">
      <c r="A77" t="s">
        <v>2606</v>
      </c>
      <c r="C77">
        <v>105</v>
      </c>
      <c r="D77" s="2">
        <v>44592</v>
      </c>
    </row>
    <row r="78" spans="1:4" x14ac:dyDescent="0.2">
      <c r="A78" t="s">
        <v>2607</v>
      </c>
      <c r="C78">
        <v>127</v>
      </c>
      <c r="D78" s="2">
        <v>44593</v>
      </c>
    </row>
    <row r="79" spans="1:4" x14ac:dyDescent="0.2">
      <c r="A79" t="s">
        <v>2608</v>
      </c>
      <c r="C79">
        <v>36</v>
      </c>
      <c r="D79" s="2">
        <v>44594</v>
      </c>
    </row>
    <row r="80" spans="1:4" x14ac:dyDescent="0.2">
      <c r="A80" t="s">
        <v>2609</v>
      </c>
      <c r="C80">
        <v>38</v>
      </c>
      <c r="D80" s="2">
        <v>44595</v>
      </c>
    </row>
    <row r="81" spans="1:4" x14ac:dyDescent="0.2">
      <c r="A81" t="s">
        <v>2610</v>
      </c>
      <c r="C81">
        <v>41</v>
      </c>
      <c r="D81" s="2">
        <v>44596</v>
      </c>
    </row>
    <row r="82" spans="1:4" x14ac:dyDescent="0.2">
      <c r="A82" t="s">
        <v>2611</v>
      </c>
      <c r="C82">
        <v>48</v>
      </c>
      <c r="D82" s="2">
        <v>44597</v>
      </c>
    </row>
    <row r="83" spans="1:4" x14ac:dyDescent="0.2">
      <c r="A83" t="s">
        <v>2612</v>
      </c>
      <c r="C83">
        <v>54</v>
      </c>
      <c r="D83" s="2">
        <v>44598</v>
      </c>
    </row>
    <row r="84" spans="1:4" x14ac:dyDescent="0.2">
      <c r="A84" t="s">
        <v>2613</v>
      </c>
      <c r="C84">
        <v>54</v>
      </c>
      <c r="D84" s="2">
        <v>44599</v>
      </c>
    </row>
    <row r="85" spans="1:4" x14ac:dyDescent="0.2">
      <c r="A85" t="s">
        <v>2614</v>
      </c>
      <c r="C85">
        <v>74</v>
      </c>
      <c r="D85" s="2">
        <v>44600</v>
      </c>
    </row>
    <row r="86" spans="1:4" x14ac:dyDescent="0.2">
      <c r="A86" t="s">
        <v>2615</v>
      </c>
      <c r="C86">
        <v>103</v>
      </c>
      <c r="D86" s="2">
        <v>44601</v>
      </c>
    </row>
    <row r="87" spans="1:4" x14ac:dyDescent="0.2">
      <c r="A87" t="s">
        <v>2616</v>
      </c>
      <c r="C87">
        <v>40</v>
      </c>
      <c r="D87" s="2">
        <v>44602</v>
      </c>
    </row>
    <row r="88" spans="1:4" x14ac:dyDescent="0.2">
      <c r="A88" t="s">
        <v>2617</v>
      </c>
      <c r="C88">
        <v>45</v>
      </c>
      <c r="D88" s="2">
        <v>44603</v>
      </c>
    </row>
    <row r="89" spans="1:4" x14ac:dyDescent="0.2">
      <c r="A89" t="s">
        <v>2618</v>
      </c>
      <c r="C89">
        <v>50</v>
      </c>
      <c r="D89" s="2">
        <v>44604</v>
      </c>
    </row>
    <row r="90" spans="1:4" x14ac:dyDescent="0.2">
      <c r="A90" t="s">
        <v>2619</v>
      </c>
      <c r="C90">
        <v>55</v>
      </c>
      <c r="D90" s="2">
        <v>44605</v>
      </c>
    </row>
    <row r="91" spans="1:4" x14ac:dyDescent="0.2">
      <c r="A91" t="s">
        <v>2620</v>
      </c>
      <c r="C91">
        <v>60</v>
      </c>
      <c r="D91" s="2">
        <v>44606</v>
      </c>
    </row>
    <row r="92" spans="1:4" x14ac:dyDescent="0.2">
      <c r="A92" t="s">
        <v>2621</v>
      </c>
      <c r="C92">
        <v>85</v>
      </c>
      <c r="D92" s="2">
        <v>44607</v>
      </c>
    </row>
    <row r="93" spans="1:4" x14ac:dyDescent="0.2">
      <c r="A93" t="s">
        <v>2622</v>
      </c>
      <c r="C93">
        <v>92</v>
      </c>
      <c r="D93" s="2">
        <v>44608</v>
      </c>
    </row>
    <row r="94" spans="1:4" x14ac:dyDescent="0.2">
      <c r="A94" t="s">
        <v>2623</v>
      </c>
      <c r="C94">
        <v>109</v>
      </c>
      <c r="D94" s="2">
        <v>44609</v>
      </c>
    </row>
    <row r="95" spans="1:4" x14ac:dyDescent="0.2">
      <c r="A95" t="s">
        <v>2624</v>
      </c>
      <c r="C95">
        <v>109</v>
      </c>
      <c r="D95" s="2">
        <v>44610</v>
      </c>
    </row>
    <row r="96" spans="1:4" x14ac:dyDescent="0.2">
      <c r="A96" t="s">
        <v>2625</v>
      </c>
      <c r="C96">
        <v>144</v>
      </c>
      <c r="D96" s="2">
        <v>44611</v>
      </c>
    </row>
    <row r="97" spans="1:4" x14ac:dyDescent="0.2">
      <c r="A97" t="s">
        <v>2626</v>
      </c>
      <c r="C97">
        <v>150</v>
      </c>
      <c r="D97" s="2">
        <v>44612</v>
      </c>
    </row>
    <row r="98" spans="1:4" x14ac:dyDescent="0.2">
      <c r="A98" t="s">
        <v>2652</v>
      </c>
      <c r="C98">
        <v>120</v>
      </c>
      <c r="D98" s="2">
        <v>44613</v>
      </c>
    </row>
    <row r="99" spans="1:4" x14ac:dyDescent="0.2">
      <c r="A99" t="s">
        <v>2627</v>
      </c>
      <c r="C99">
        <v>90</v>
      </c>
      <c r="D99" s="2">
        <v>44614</v>
      </c>
    </row>
    <row r="100" spans="1:4" x14ac:dyDescent="0.2">
      <c r="A100" t="s">
        <v>2628</v>
      </c>
      <c r="C100">
        <v>103</v>
      </c>
      <c r="D100" s="2">
        <v>44615</v>
      </c>
    </row>
    <row r="101" spans="1:4" x14ac:dyDescent="0.2">
      <c r="A101" t="s">
        <v>2629</v>
      </c>
      <c r="C101">
        <v>103</v>
      </c>
      <c r="D101" s="2">
        <v>44616</v>
      </c>
    </row>
    <row r="102" spans="1:4" x14ac:dyDescent="0.2">
      <c r="A102" t="s">
        <v>2630</v>
      </c>
      <c r="C102">
        <v>124</v>
      </c>
      <c r="D102" s="2">
        <v>44617</v>
      </c>
    </row>
    <row r="103" spans="1:4" x14ac:dyDescent="0.2">
      <c r="A103" t="s">
        <v>2631</v>
      </c>
      <c r="C103">
        <v>124</v>
      </c>
      <c r="D103" s="2">
        <v>44618</v>
      </c>
    </row>
    <row r="104" spans="1:4" x14ac:dyDescent="0.2">
      <c r="A104" t="s">
        <v>2632</v>
      </c>
      <c r="C104">
        <v>74</v>
      </c>
      <c r="D104" s="2">
        <v>44619</v>
      </c>
    </row>
    <row r="105" spans="1:4" x14ac:dyDescent="0.2">
      <c r="A105" t="s">
        <v>2633</v>
      </c>
      <c r="C105">
        <v>80</v>
      </c>
      <c r="D105" s="2">
        <v>44620</v>
      </c>
    </row>
    <row r="106" spans="1:4" x14ac:dyDescent="0.2">
      <c r="A106" t="s">
        <v>2634</v>
      </c>
      <c r="C106">
        <v>110</v>
      </c>
      <c r="D106" s="2">
        <v>44621</v>
      </c>
    </row>
    <row r="107" spans="1:4" x14ac:dyDescent="0.2">
      <c r="A107" t="s">
        <v>2635</v>
      </c>
      <c r="C107">
        <v>15</v>
      </c>
      <c r="D107" s="2">
        <v>44622</v>
      </c>
    </row>
    <row r="108" spans="1:4" x14ac:dyDescent="0.2">
      <c r="A108" t="s">
        <v>2636</v>
      </c>
      <c r="C108">
        <v>17</v>
      </c>
      <c r="D108" s="2">
        <v>44623</v>
      </c>
    </row>
    <row r="109" spans="1:4" x14ac:dyDescent="0.2">
      <c r="A109" t="s">
        <v>2637</v>
      </c>
      <c r="C109">
        <v>43</v>
      </c>
      <c r="D109" s="2">
        <v>44624</v>
      </c>
    </row>
    <row r="110" spans="1:4" x14ac:dyDescent="0.2">
      <c r="A110" t="s">
        <v>2638</v>
      </c>
      <c r="C110">
        <v>47</v>
      </c>
      <c r="D110" s="2">
        <v>44625</v>
      </c>
    </row>
    <row r="111" spans="1:4" x14ac:dyDescent="0.2">
      <c r="A111" t="s">
        <v>2639</v>
      </c>
      <c r="C111">
        <v>61</v>
      </c>
      <c r="D111" s="2">
        <v>44626</v>
      </c>
    </row>
    <row r="112" spans="1:4" x14ac:dyDescent="0.2">
      <c r="A112" t="s">
        <v>2640</v>
      </c>
      <c r="C112">
        <v>61</v>
      </c>
      <c r="D112" s="2">
        <v>44627</v>
      </c>
    </row>
    <row r="113" spans="1:4" x14ac:dyDescent="0.2">
      <c r="A113" t="s">
        <v>2641</v>
      </c>
      <c r="C113">
        <v>67</v>
      </c>
      <c r="D113" s="2">
        <v>44628</v>
      </c>
    </row>
    <row r="114" spans="1:4" x14ac:dyDescent="0.2">
      <c r="A114" t="s">
        <v>2642</v>
      </c>
      <c r="C114">
        <v>50</v>
      </c>
      <c r="D114" s="2">
        <v>44629</v>
      </c>
    </row>
    <row r="115" spans="1:4" x14ac:dyDescent="0.2">
      <c r="A115" t="s">
        <v>2643</v>
      </c>
      <c r="C115">
        <v>102</v>
      </c>
      <c r="D115" s="2">
        <v>44630</v>
      </c>
    </row>
    <row r="116" spans="1:4" x14ac:dyDescent="0.2">
      <c r="A116" t="s">
        <v>2644</v>
      </c>
      <c r="C116">
        <v>123</v>
      </c>
      <c r="D116" s="2">
        <v>44631</v>
      </c>
    </row>
    <row r="117" spans="1:4" x14ac:dyDescent="0.2">
      <c r="A117" t="s">
        <v>2645</v>
      </c>
      <c r="C117">
        <v>8</v>
      </c>
      <c r="D117" s="2">
        <v>44632</v>
      </c>
    </row>
    <row r="118" spans="1:4" x14ac:dyDescent="0.2">
      <c r="A118" t="s">
        <v>2646</v>
      </c>
      <c r="C118">
        <v>31</v>
      </c>
      <c r="D118" s="2">
        <v>44633</v>
      </c>
    </row>
    <row r="119" spans="1:4" x14ac:dyDescent="0.2">
      <c r="A119" t="s">
        <v>2647</v>
      </c>
      <c r="C119">
        <v>46</v>
      </c>
      <c r="D119" s="2">
        <v>44634</v>
      </c>
    </row>
    <row r="120" spans="1:4" x14ac:dyDescent="0.2">
      <c r="A120" t="s">
        <v>2648</v>
      </c>
      <c r="C120">
        <v>51</v>
      </c>
      <c r="D120" s="2">
        <v>44635</v>
      </c>
    </row>
    <row r="121" spans="1:4" x14ac:dyDescent="0.2">
      <c r="A121" t="s">
        <v>2649</v>
      </c>
      <c r="C121">
        <v>41</v>
      </c>
      <c r="D121" s="2">
        <v>44636</v>
      </c>
    </row>
    <row r="122" spans="1:4" x14ac:dyDescent="0.2">
      <c r="A122" t="s">
        <v>2650</v>
      </c>
      <c r="C122">
        <v>51</v>
      </c>
      <c r="D122" s="2">
        <v>44637</v>
      </c>
    </row>
    <row r="123" spans="1:4" x14ac:dyDescent="0.2">
      <c r="A123" t="s">
        <v>2651</v>
      </c>
      <c r="C123">
        <v>41</v>
      </c>
      <c r="D123" s="2">
        <v>44638</v>
      </c>
    </row>
    <row r="124" spans="1:4" x14ac:dyDescent="0.2">
      <c r="A124" t="s">
        <v>2497</v>
      </c>
      <c r="C124">
        <v>258.5</v>
      </c>
      <c r="D124" s="2">
        <v>44882</v>
      </c>
    </row>
    <row r="125" spans="1:4" x14ac:dyDescent="0.2">
      <c r="A125" t="s">
        <v>2498</v>
      </c>
      <c r="C125">
        <v>464.20000000000005</v>
      </c>
      <c r="D125" s="2">
        <v>44882</v>
      </c>
    </row>
    <row r="126" spans="1:4" x14ac:dyDescent="0.2">
      <c r="A126" t="s">
        <v>2499</v>
      </c>
      <c r="C126">
        <v>506.00000000000006</v>
      </c>
      <c r="D126" s="2">
        <v>44882</v>
      </c>
    </row>
    <row r="127" spans="1:4" x14ac:dyDescent="0.2">
      <c r="A127" t="s">
        <v>2500</v>
      </c>
      <c r="C127">
        <v>168.3</v>
      </c>
      <c r="D127" s="2">
        <v>44882</v>
      </c>
    </row>
    <row r="128" spans="1:4" x14ac:dyDescent="0.2">
      <c r="A128" t="s">
        <v>2501</v>
      </c>
      <c r="C128">
        <v>127.60000000000001</v>
      </c>
      <c r="D128" s="2">
        <v>44882</v>
      </c>
    </row>
    <row r="129" spans="1:4" x14ac:dyDescent="0.2">
      <c r="A129" t="s">
        <v>2502</v>
      </c>
      <c r="C129">
        <v>158.4</v>
      </c>
      <c r="D129" s="2">
        <v>44882</v>
      </c>
    </row>
    <row r="130" spans="1:4" x14ac:dyDescent="0.2">
      <c r="A130" t="s">
        <v>2503</v>
      </c>
      <c r="C130">
        <v>352</v>
      </c>
      <c r="D130" s="2">
        <v>44882</v>
      </c>
    </row>
    <row r="131" spans="1:4" x14ac:dyDescent="0.2">
      <c r="A131" t="s">
        <v>2490</v>
      </c>
      <c r="C131">
        <v>203.50000000000003</v>
      </c>
      <c r="D131" s="2">
        <v>44882</v>
      </c>
    </row>
    <row r="132" spans="1:4" x14ac:dyDescent="0.2">
      <c r="A132" t="s">
        <v>2504</v>
      </c>
      <c r="C132">
        <v>144.10000000000002</v>
      </c>
      <c r="D132" s="2">
        <v>44882</v>
      </c>
    </row>
    <row r="133" spans="1:4" x14ac:dyDescent="0.2">
      <c r="A133" t="s">
        <v>2505</v>
      </c>
      <c r="C133">
        <v>392.70000000000005</v>
      </c>
      <c r="D133" s="2">
        <v>44882</v>
      </c>
    </row>
    <row r="134" spans="1:4" x14ac:dyDescent="0.2">
      <c r="A134" t="s">
        <v>2506</v>
      </c>
      <c r="C134">
        <v>768.90000000000009</v>
      </c>
      <c r="D134" s="2">
        <v>44882</v>
      </c>
    </row>
    <row r="135" spans="1:4" x14ac:dyDescent="0.2">
      <c r="A135" t="s">
        <v>2507</v>
      </c>
      <c r="C135">
        <v>223.3</v>
      </c>
      <c r="D135" s="2">
        <v>44882</v>
      </c>
    </row>
    <row r="136" spans="1:4" x14ac:dyDescent="0.2">
      <c r="A136" t="s">
        <v>2508</v>
      </c>
      <c r="C136">
        <v>525.80000000000007</v>
      </c>
      <c r="D136" s="2">
        <v>44882</v>
      </c>
    </row>
    <row r="137" spans="1:4" x14ac:dyDescent="0.2">
      <c r="A137" t="s">
        <v>2509</v>
      </c>
      <c r="C137">
        <v>290.40000000000003</v>
      </c>
      <c r="D137" s="2">
        <v>44882</v>
      </c>
    </row>
    <row r="138" spans="1:4" x14ac:dyDescent="0.2">
      <c r="A138" t="s">
        <v>2896</v>
      </c>
      <c r="C138">
        <v>124.74000000000002</v>
      </c>
      <c r="D138" s="2">
        <v>44882</v>
      </c>
    </row>
    <row r="139" spans="1:4" x14ac:dyDescent="0.2">
      <c r="A139" t="s">
        <v>2483</v>
      </c>
      <c r="C139">
        <v>245.52</v>
      </c>
      <c r="D139" s="2">
        <v>44882</v>
      </c>
    </row>
    <row r="140" spans="1:4" x14ac:dyDescent="0.2">
      <c r="A140" t="s">
        <v>2484</v>
      </c>
      <c r="C140">
        <v>349.14</v>
      </c>
      <c r="D140" s="2">
        <v>44882</v>
      </c>
    </row>
    <row r="141" spans="1:4" x14ac:dyDescent="0.2">
      <c r="A141" t="s">
        <v>2489</v>
      </c>
      <c r="C141">
        <v>154.44000000000003</v>
      </c>
      <c r="D141" s="2">
        <v>44882</v>
      </c>
    </row>
    <row r="142" spans="1:4" x14ac:dyDescent="0.2">
      <c r="A142" t="s">
        <v>2486</v>
      </c>
      <c r="C142">
        <v>463.32000000000005</v>
      </c>
      <c r="D142" s="2">
        <v>44882</v>
      </c>
    </row>
    <row r="143" spans="1:4" x14ac:dyDescent="0.2">
      <c r="A143" t="s">
        <v>2487</v>
      </c>
      <c r="C143">
        <v>32.89</v>
      </c>
      <c r="D143" s="2">
        <v>44882</v>
      </c>
    </row>
    <row r="144" spans="1:4" x14ac:dyDescent="0.2">
      <c r="A144" t="s">
        <v>2485</v>
      </c>
      <c r="C144">
        <v>34.110707400000003</v>
      </c>
      <c r="D144" s="2">
        <v>44882</v>
      </c>
    </row>
    <row r="145" spans="1:4" x14ac:dyDescent="0.2">
      <c r="A145" t="s">
        <v>2488</v>
      </c>
      <c r="C145">
        <v>11.990258499999999</v>
      </c>
      <c r="D145" s="2">
        <v>44882</v>
      </c>
    </row>
    <row r="146" spans="1:4" x14ac:dyDescent="0.2">
      <c r="A146" t="s">
        <v>2510</v>
      </c>
      <c r="C146">
        <v>33.660000000000004</v>
      </c>
      <c r="D146" s="2">
        <v>44882</v>
      </c>
    </row>
    <row r="147" spans="1:4" x14ac:dyDescent="0.2">
      <c r="A147" t="s">
        <v>2511</v>
      </c>
      <c r="C147">
        <v>9.3719999999999999</v>
      </c>
      <c r="D147" s="2">
        <v>44882</v>
      </c>
    </row>
    <row r="148" spans="1:4" x14ac:dyDescent="0.2">
      <c r="A148" t="s">
        <v>2897</v>
      </c>
      <c r="C148">
        <v>11.313500000000001</v>
      </c>
      <c r="D148" s="2">
        <v>44882</v>
      </c>
    </row>
    <row r="149" spans="1:4" x14ac:dyDescent="0.2">
      <c r="A149" t="s">
        <v>2898</v>
      </c>
      <c r="C149">
        <v>17.946500000000004</v>
      </c>
      <c r="D149" s="2">
        <v>44882</v>
      </c>
    </row>
    <row r="150" spans="1:4" x14ac:dyDescent="0.2">
      <c r="A150" t="s">
        <v>2899</v>
      </c>
      <c r="C150">
        <v>23.111000000000004</v>
      </c>
      <c r="D150" s="2">
        <v>44882</v>
      </c>
    </row>
    <row r="151" spans="1:4" x14ac:dyDescent="0.2">
      <c r="A151" t="s">
        <v>2900</v>
      </c>
      <c r="C151">
        <v>24.2605</v>
      </c>
      <c r="D151" s="2">
        <v>44882</v>
      </c>
    </row>
    <row r="152" spans="1:4" x14ac:dyDescent="0.2">
      <c r="A152" t="s">
        <v>2512</v>
      </c>
      <c r="C152">
        <v>10.428000000000001</v>
      </c>
      <c r="D152" s="2">
        <v>44882</v>
      </c>
    </row>
    <row r="153" spans="1:4" x14ac:dyDescent="0.2">
      <c r="A153" t="s">
        <v>2513</v>
      </c>
      <c r="C153">
        <v>38.751899999999999</v>
      </c>
      <c r="D153" s="2">
        <v>44882</v>
      </c>
    </row>
    <row r="154" spans="1:4" x14ac:dyDescent="0.2">
      <c r="A154" t="s">
        <v>2514</v>
      </c>
      <c r="C154">
        <v>38.751899999999999</v>
      </c>
      <c r="D154" s="2">
        <v>44882</v>
      </c>
    </row>
    <row r="155" spans="1:4" x14ac:dyDescent="0.2">
      <c r="A155" t="s">
        <v>2515</v>
      </c>
      <c r="C155">
        <v>36.300000000000004</v>
      </c>
      <c r="D155" s="2">
        <v>44882</v>
      </c>
    </row>
    <row r="156" spans="1:4" x14ac:dyDescent="0.2">
      <c r="A156" t="s">
        <v>2516</v>
      </c>
      <c r="C156">
        <v>48.400000000000006</v>
      </c>
      <c r="D156" s="2">
        <v>44882</v>
      </c>
    </row>
    <row r="157" spans="1:4" x14ac:dyDescent="0.2">
      <c r="A157" t="s">
        <v>2517</v>
      </c>
      <c r="C157">
        <v>64.900000000000006</v>
      </c>
      <c r="D157" s="2">
        <v>44882</v>
      </c>
    </row>
    <row r="158" spans="1:4" x14ac:dyDescent="0.2">
      <c r="A158" t="s">
        <v>2518</v>
      </c>
      <c r="C158">
        <v>64.900000000000006</v>
      </c>
      <c r="D158" s="2">
        <v>44882</v>
      </c>
    </row>
    <row r="159" spans="1:4" x14ac:dyDescent="0.2">
      <c r="A159" t="s">
        <v>2519</v>
      </c>
      <c r="C159">
        <v>64.900000000000006</v>
      </c>
      <c r="D159" s="2">
        <v>44882</v>
      </c>
    </row>
    <row r="160" spans="1:4" x14ac:dyDescent="0.2">
      <c r="A160" t="s">
        <v>2520</v>
      </c>
      <c r="C160">
        <v>75.900000000000006</v>
      </c>
      <c r="D160" s="2">
        <v>44882</v>
      </c>
    </row>
    <row r="161" spans="1:4" x14ac:dyDescent="0.2">
      <c r="A161" t="s">
        <v>2521</v>
      </c>
      <c r="C161">
        <v>15.178735</v>
      </c>
      <c r="D161" s="2">
        <v>44882</v>
      </c>
    </row>
    <row r="162" spans="1:4" x14ac:dyDescent="0.2">
      <c r="A162" t="s">
        <v>2545</v>
      </c>
      <c r="C162">
        <v>90.713700000000017</v>
      </c>
      <c r="D162" s="2">
        <v>44882</v>
      </c>
    </row>
    <row r="163" spans="1:4" x14ac:dyDescent="0.2">
      <c r="A163" t="s">
        <v>2546</v>
      </c>
      <c r="C163">
        <v>110.25630000000001</v>
      </c>
      <c r="D163" s="2">
        <v>44882</v>
      </c>
    </row>
    <row r="164" spans="1:4" x14ac:dyDescent="0.2">
      <c r="A164" t="s">
        <v>17</v>
      </c>
      <c r="C164">
        <v>65.912000000000006</v>
      </c>
      <c r="D164" s="2">
        <v>44882</v>
      </c>
    </row>
    <row r="165" spans="1:4" x14ac:dyDescent="0.2">
      <c r="A165" t="s">
        <v>2547</v>
      </c>
      <c r="C165">
        <v>44</v>
      </c>
      <c r="D165" s="2">
        <v>44882</v>
      </c>
    </row>
    <row r="166" spans="1:4" x14ac:dyDescent="0.2">
      <c r="A166" t="s">
        <v>2901</v>
      </c>
      <c r="C166">
        <v>36.300000000000004</v>
      </c>
      <c r="D166" s="2">
        <v>44882</v>
      </c>
    </row>
    <row r="167" spans="1:4" x14ac:dyDescent="0.2">
      <c r="A167" t="s">
        <v>2548</v>
      </c>
      <c r="C167">
        <v>56.298000000000002</v>
      </c>
      <c r="D167" s="2">
        <v>44882</v>
      </c>
    </row>
    <row r="168" spans="1:4" x14ac:dyDescent="0.2">
      <c r="A168" t="s">
        <v>18</v>
      </c>
      <c r="C168">
        <v>16.368000000000002</v>
      </c>
      <c r="D168" s="2">
        <v>44882</v>
      </c>
    </row>
    <row r="169" spans="1:4" x14ac:dyDescent="0.2">
      <c r="A169" t="s">
        <v>2549</v>
      </c>
      <c r="C169">
        <v>27.984000000000005</v>
      </c>
      <c r="D169" s="2">
        <v>44882</v>
      </c>
    </row>
    <row r="170" spans="1:4" x14ac:dyDescent="0.2">
      <c r="A170" t="s">
        <v>2550</v>
      </c>
      <c r="C170">
        <v>42.570000000000007</v>
      </c>
      <c r="D170" s="2">
        <v>44882</v>
      </c>
    </row>
    <row r="171" spans="1:4" x14ac:dyDescent="0.2">
      <c r="A171" t="s">
        <v>2551</v>
      </c>
      <c r="C171">
        <v>69.927000000000007</v>
      </c>
      <c r="D171" s="2">
        <v>44882</v>
      </c>
    </row>
    <row r="172" spans="1:4" x14ac:dyDescent="0.2">
      <c r="A172" t="s">
        <v>2552</v>
      </c>
      <c r="C172">
        <v>124.01400000000001</v>
      </c>
      <c r="D172" s="2">
        <v>44882</v>
      </c>
    </row>
    <row r="173" spans="1:4" x14ac:dyDescent="0.2">
      <c r="A173" t="s">
        <v>2553</v>
      </c>
      <c r="C173">
        <v>138.60000000000002</v>
      </c>
      <c r="D173" s="2">
        <v>44882</v>
      </c>
    </row>
    <row r="174" spans="1:4" x14ac:dyDescent="0.2">
      <c r="A174" t="s">
        <v>2554</v>
      </c>
      <c r="C174">
        <v>260.75500000000005</v>
      </c>
      <c r="D174" s="2">
        <v>44882</v>
      </c>
    </row>
    <row r="175" spans="1:4" x14ac:dyDescent="0.2">
      <c r="A175" t="s">
        <v>2555</v>
      </c>
      <c r="C175">
        <v>51.095000000000006</v>
      </c>
      <c r="D175" s="2">
        <v>44882</v>
      </c>
    </row>
    <row r="176" spans="1:4" x14ac:dyDescent="0.2">
      <c r="A176" t="s">
        <v>2556</v>
      </c>
      <c r="C176">
        <v>5.6650000000000009</v>
      </c>
      <c r="D176" s="2">
        <v>44882</v>
      </c>
    </row>
    <row r="177" spans="1:4" x14ac:dyDescent="0.2">
      <c r="A177" t="s">
        <v>2557</v>
      </c>
      <c r="C177">
        <v>16.104000000000003</v>
      </c>
      <c r="D177" s="2">
        <v>44882</v>
      </c>
    </row>
    <row r="178" spans="1:4" x14ac:dyDescent="0.2">
      <c r="A178" t="s">
        <v>20</v>
      </c>
      <c r="C178">
        <v>16.033600000000003</v>
      </c>
      <c r="D178" s="2">
        <v>44882</v>
      </c>
    </row>
    <row r="179" spans="1:4" x14ac:dyDescent="0.2">
      <c r="A179" t="s">
        <v>2176</v>
      </c>
      <c r="C179">
        <v>384.40600000000001</v>
      </c>
      <c r="D179" s="2">
        <v>44882</v>
      </c>
    </row>
    <row r="180" spans="1:4" x14ac:dyDescent="0.2">
      <c r="A180" t="s">
        <v>2177</v>
      </c>
      <c r="C180">
        <v>384.24100000000004</v>
      </c>
      <c r="D180" s="2">
        <v>44882</v>
      </c>
    </row>
    <row r="181" spans="1:4" x14ac:dyDescent="0.2">
      <c r="A181" t="s">
        <v>2178</v>
      </c>
      <c r="C181">
        <v>384.39500000000004</v>
      </c>
      <c r="D181" s="2">
        <v>44882</v>
      </c>
    </row>
    <row r="182" spans="1:4" x14ac:dyDescent="0.2">
      <c r="A182" t="s">
        <v>2179</v>
      </c>
      <c r="C182">
        <v>384.36200000000002</v>
      </c>
      <c r="D182" s="2">
        <v>44882</v>
      </c>
    </row>
    <row r="183" spans="1:4" x14ac:dyDescent="0.2">
      <c r="A183" t="s">
        <v>2180</v>
      </c>
      <c r="C183">
        <v>395.80200000000002</v>
      </c>
      <c r="D183" s="2">
        <v>44882</v>
      </c>
    </row>
    <row r="184" spans="1:4" x14ac:dyDescent="0.2">
      <c r="A184" t="s">
        <v>2181</v>
      </c>
      <c r="C184">
        <v>395.65900000000005</v>
      </c>
      <c r="D184" s="2">
        <v>44882</v>
      </c>
    </row>
    <row r="185" spans="1:4" x14ac:dyDescent="0.2">
      <c r="A185" t="s">
        <v>2182</v>
      </c>
      <c r="C185">
        <v>407.56100000000004</v>
      </c>
      <c r="D185" s="2">
        <v>44882</v>
      </c>
    </row>
    <row r="186" spans="1:4" x14ac:dyDescent="0.2">
      <c r="A186" t="s">
        <v>2183</v>
      </c>
      <c r="C186">
        <v>403.66700000000009</v>
      </c>
      <c r="D186" s="2">
        <v>44882</v>
      </c>
    </row>
    <row r="187" spans="1:4" x14ac:dyDescent="0.2">
      <c r="A187" t="s">
        <v>2184</v>
      </c>
      <c r="C187">
        <v>463.49600000000004</v>
      </c>
      <c r="D187" s="2">
        <v>44882</v>
      </c>
    </row>
    <row r="188" spans="1:4" x14ac:dyDescent="0.2">
      <c r="A188" t="s">
        <v>2185</v>
      </c>
      <c r="C188">
        <v>463.815</v>
      </c>
      <c r="D188" s="2">
        <v>44882</v>
      </c>
    </row>
    <row r="189" spans="1:4" x14ac:dyDescent="0.2">
      <c r="A189" t="s">
        <v>2186</v>
      </c>
      <c r="C189">
        <v>498.75100000000009</v>
      </c>
      <c r="D189" s="2">
        <v>44882</v>
      </c>
    </row>
    <row r="190" spans="1:4" x14ac:dyDescent="0.2">
      <c r="A190" t="s">
        <v>2187</v>
      </c>
      <c r="C190">
        <v>501.44600000000008</v>
      </c>
      <c r="D190" s="2">
        <v>44882</v>
      </c>
    </row>
    <row r="191" spans="1:4" x14ac:dyDescent="0.2">
      <c r="A191" t="s">
        <v>2188</v>
      </c>
      <c r="C191">
        <v>500.59899999999999</v>
      </c>
      <c r="D191" s="2">
        <v>44882</v>
      </c>
    </row>
    <row r="192" spans="1:4" x14ac:dyDescent="0.2">
      <c r="A192" t="s">
        <v>2189</v>
      </c>
      <c r="C192">
        <v>625.21800000000007</v>
      </c>
      <c r="D192" s="2">
        <v>44882</v>
      </c>
    </row>
    <row r="193" spans="1:4" x14ac:dyDescent="0.2">
      <c r="A193" t="s">
        <v>2190</v>
      </c>
      <c r="C193">
        <v>651.29900000000009</v>
      </c>
      <c r="D193" s="2">
        <v>44882</v>
      </c>
    </row>
    <row r="194" spans="1:4" x14ac:dyDescent="0.2">
      <c r="A194" t="s">
        <v>2191</v>
      </c>
      <c r="C194">
        <v>1000.5600000000001</v>
      </c>
      <c r="D194" s="2">
        <v>44882</v>
      </c>
    </row>
    <row r="195" spans="1:4" x14ac:dyDescent="0.2">
      <c r="A195" t="s">
        <v>2192</v>
      </c>
      <c r="C195">
        <v>1412.7190000000001</v>
      </c>
      <c r="D195" s="2">
        <v>44882</v>
      </c>
    </row>
    <row r="196" spans="1:4" x14ac:dyDescent="0.2">
      <c r="A196" t="s">
        <v>2193</v>
      </c>
      <c r="C196">
        <v>2816.9020000000005</v>
      </c>
      <c r="D196" s="2">
        <v>44882</v>
      </c>
    </row>
    <row r="197" spans="1:4" x14ac:dyDescent="0.2">
      <c r="A197" t="s">
        <v>28</v>
      </c>
      <c r="C197">
        <v>102.5376</v>
      </c>
      <c r="D197" s="2">
        <v>44882</v>
      </c>
    </row>
    <row r="198" spans="1:4" x14ac:dyDescent="0.2">
      <c r="A198" t="s">
        <v>29</v>
      </c>
      <c r="C198">
        <v>72.451499999999996</v>
      </c>
      <c r="D198" s="2">
        <v>44882</v>
      </c>
    </row>
    <row r="199" spans="1:4" x14ac:dyDescent="0.2">
      <c r="A199" t="s">
        <v>2175</v>
      </c>
      <c r="C199">
        <v>71.811300000000003</v>
      </c>
      <c r="D199" s="2">
        <v>44882</v>
      </c>
    </row>
    <row r="200" spans="1:4" x14ac:dyDescent="0.2">
      <c r="A200" t="s">
        <v>26</v>
      </c>
      <c r="C200">
        <v>139.05870000000002</v>
      </c>
      <c r="D200" s="2">
        <v>44882</v>
      </c>
    </row>
    <row r="201" spans="1:4" x14ac:dyDescent="0.2">
      <c r="A201" t="s">
        <v>27</v>
      </c>
      <c r="C201">
        <v>221.1825</v>
      </c>
      <c r="D201" s="2">
        <v>44882</v>
      </c>
    </row>
    <row r="202" spans="1:4" x14ac:dyDescent="0.2">
      <c r="A202" t="s">
        <v>2161</v>
      </c>
      <c r="C202">
        <v>100.13300000000001</v>
      </c>
      <c r="D202" s="2">
        <v>44882</v>
      </c>
    </row>
    <row r="203" spans="1:4" x14ac:dyDescent="0.2">
      <c r="A203" t="s">
        <v>2162</v>
      </c>
      <c r="C203">
        <v>83.479000000000013</v>
      </c>
      <c r="D203" s="2">
        <v>44882</v>
      </c>
    </row>
    <row r="204" spans="1:4" x14ac:dyDescent="0.2">
      <c r="A204" t="s">
        <v>2163</v>
      </c>
      <c r="C204">
        <v>81.664000000000001</v>
      </c>
      <c r="D204" s="2">
        <v>44882</v>
      </c>
    </row>
    <row r="205" spans="1:4" x14ac:dyDescent="0.2">
      <c r="A205" t="s">
        <v>2164</v>
      </c>
      <c r="C205">
        <v>83.38000000000001</v>
      </c>
      <c r="D205" s="2">
        <v>44882</v>
      </c>
    </row>
    <row r="206" spans="1:4" x14ac:dyDescent="0.2">
      <c r="A206" t="s">
        <v>2165</v>
      </c>
      <c r="C206">
        <v>92.653000000000006</v>
      </c>
      <c r="D206" s="2">
        <v>44882</v>
      </c>
    </row>
    <row r="207" spans="1:4" x14ac:dyDescent="0.2">
      <c r="A207" t="s">
        <v>2166</v>
      </c>
      <c r="C207">
        <v>93.357000000000014</v>
      </c>
      <c r="D207" s="2">
        <v>44882</v>
      </c>
    </row>
    <row r="208" spans="1:4" x14ac:dyDescent="0.2">
      <c r="A208" t="s">
        <v>2167</v>
      </c>
      <c r="C208">
        <v>110.08800000000001</v>
      </c>
      <c r="D208" s="2">
        <v>44882</v>
      </c>
    </row>
    <row r="209" spans="1:4" x14ac:dyDescent="0.2">
      <c r="A209" t="s">
        <v>2168</v>
      </c>
      <c r="C209">
        <v>112.58500000000001</v>
      </c>
      <c r="D209" s="2">
        <v>44882</v>
      </c>
    </row>
    <row r="210" spans="1:4" x14ac:dyDescent="0.2">
      <c r="A210" t="s">
        <v>2169</v>
      </c>
      <c r="C210">
        <v>90.849000000000018</v>
      </c>
      <c r="D210" s="2">
        <v>44882</v>
      </c>
    </row>
    <row r="211" spans="1:4" x14ac:dyDescent="0.2">
      <c r="A211" t="s">
        <v>2170</v>
      </c>
      <c r="C211">
        <v>90.849000000000018</v>
      </c>
      <c r="D211" s="2">
        <v>44882</v>
      </c>
    </row>
    <row r="212" spans="1:4" x14ac:dyDescent="0.2">
      <c r="A212" t="s">
        <v>2171</v>
      </c>
      <c r="C212">
        <v>93.709000000000003</v>
      </c>
      <c r="D212" s="2">
        <v>44882</v>
      </c>
    </row>
    <row r="213" spans="1:4" x14ac:dyDescent="0.2">
      <c r="A213" t="s">
        <v>2172</v>
      </c>
      <c r="C213">
        <v>100.92500000000001</v>
      </c>
      <c r="D213" s="2">
        <v>44882</v>
      </c>
    </row>
    <row r="214" spans="1:4" x14ac:dyDescent="0.2">
      <c r="A214" t="s">
        <v>2173</v>
      </c>
      <c r="C214">
        <v>104.94000000000001</v>
      </c>
      <c r="D214" s="2">
        <v>44882</v>
      </c>
    </row>
    <row r="215" spans="1:4" x14ac:dyDescent="0.2">
      <c r="A215" t="s">
        <v>2174</v>
      </c>
      <c r="C215">
        <v>129.91</v>
      </c>
      <c r="D215" s="2">
        <v>44882</v>
      </c>
    </row>
    <row r="216" spans="1:4" x14ac:dyDescent="0.2">
      <c r="A216" t="s">
        <v>2159</v>
      </c>
      <c r="C216">
        <v>162.14000000000001</v>
      </c>
      <c r="D216" s="2">
        <v>44882</v>
      </c>
    </row>
    <row r="217" spans="1:4" x14ac:dyDescent="0.2">
      <c r="A217" t="s">
        <v>2160</v>
      </c>
      <c r="C217">
        <v>402.90800000000002</v>
      </c>
      <c r="D217" s="2">
        <v>44882</v>
      </c>
    </row>
    <row r="218" spans="1:4" x14ac:dyDescent="0.2">
      <c r="A218" t="s">
        <v>21</v>
      </c>
      <c r="C218">
        <v>130.5326</v>
      </c>
      <c r="D218" s="2">
        <v>44882</v>
      </c>
    </row>
    <row r="219" spans="1:4" x14ac:dyDescent="0.2">
      <c r="A219" t="s">
        <v>22</v>
      </c>
      <c r="C219">
        <v>99.751300000000015</v>
      </c>
      <c r="D219" s="2">
        <v>44882</v>
      </c>
    </row>
    <row r="220" spans="1:4" x14ac:dyDescent="0.2">
      <c r="A220" t="s">
        <v>23</v>
      </c>
      <c r="C220">
        <v>109.76460000000002</v>
      </c>
      <c r="D220" s="2">
        <v>44882</v>
      </c>
    </row>
    <row r="221" spans="1:4" x14ac:dyDescent="0.2">
      <c r="A221" t="s">
        <v>24</v>
      </c>
      <c r="C221">
        <v>258.53739999999999</v>
      </c>
      <c r="D221" s="2">
        <v>44882</v>
      </c>
    </row>
    <row r="222" spans="1:4" x14ac:dyDescent="0.2">
      <c r="A222" t="s">
        <v>25</v>
      </c>
      <c r="C222">
        <v>288.86330000000004</v>
      </c>
      <c r="D222" s="2">
        <v>44882</v>
      </c>
    </row>
    <row r="223" spans="1:4" x14ac:dyDescent="0.2">
      <c r="A223" t="s">
        <v>2141</v>
      </c>
      <c r="C223">
        <v>454.58270000000005</v>
      </c>
      <c r="D223" s="2">
        <v>44882</v>
      </c>
    </row>
    <row r="224" spans="1:4" x14ac:dyDescent="0.2">
      <c r="A224" t="s">
        <v>2142</v>
      </c>
      <c r="C224">
        <v>141.79000000000002</v>
      </c>
      <c r="D224" s="2">
        <v>44882</v>
      </c>
    </row>
    <row r="225" spans="1:4" x14ac:dyDescent="0.2">
      <c r="A225" t="s">
        <v>2143</v>
      </c>
      <c r="C225">
        <v>115.87400000000001</v>
      </c>
      <c r="D225" s="2">
        <v>44882</v>
      </c>
    </row>
    <row r="226" spans="1:4" x14ac:dyDescent="0.2">
      <c r="A226" t="s">
        <v>2144</v>
      </c>
      <c r="C226">
        <v>112.87100000000001</v>
      </c>
      <c r="D226" s="2">
        <v>44882</v>
      </c>
    </row>
    <row r="227" spans="1:4" x14ac:dyDescent="0.2">
      <c r="A227" t="s">
        <v>2145</v>
      </c>
      <c r="C227">
        <v>115.75300000000001</v>
      </c>
      <c r="D227" s="2">
        <v>44882</v>
      </c>
    </row>
    <row r="228" spans="1:4" x14ac:dyDescent="0.2">
      <c r="A228" t="s">
        <v>2146</v>
      </c>
      <c r="C228">
        <v>127.072</v>
      </c>
      <c r="D228" s="2">
        <v>44882</v>
      </c>
    </row>
    <row r="229" spans="1:4" x14ac:dyDescent="0.2">
      <c r="A229" t="s">
        <v>2147</v>
      </c>
      <c r="C229">
        <v>132.143</v>
      </c>
      <c r="D229" s="2">
        <v>44882</v>
      </c>
    </row>
    <row r="230" spans="1:4" x14ac:dyDescent="0.2">
      <c r="A230" t="s">
        <v>2148</v>
      </c>
      <c r="C230">
        <v>163.60300000000001</v>
      </c>
      <c r="D230" s="2">
        <v>44882</v>
      </c>
    </row>
    <row r="231" spans="1:4" x14ac:dyDescent="0.2">
      <c r="A231" t="s">
        <v>2149</v>
      </c>
      <c r="C231">
        <v>148.54400000000001</v>
      </c>
      <c r="D231" s="2">
        <v>44882</v>
      </c>
    </row>
    <row r="232" spans="1:4" x14ac:dyDescent="0.2">
      <c r="A232" t="s">
        <v>2150</v>
      </c>
      <c r="C232">
        <v>123.77200000000001</v>
      </c>
      <c r="D232" s="2">
        <v>44882</v>
      </c>
    </row>
    <row r="233" spans="1:4" x14ac:dyDescent="0.2">
      <c r="A233" t="s">
        <v>2151</v>
      </c>
      <c r="C233">
        <v>123.81600000000002</v>
      </c>
      <c r="D233" s="2">
        <v>44882</v>
      </c>
    </row>
    <row r="234" spans="1:4" x14ac:dyDescent="0.2">
      <c r="A234" t="s">
        <v>2152</v>
      </c>
      <c r="C234">
        <v>123.64000000000001</v>
      </c>
      <c r="D234" s="2">
        <v>44882</v>
      </c>
    </row>
    <row r="235" spans="1:4" x14ac:dyDescent="0.2">
      <c r="A235" t="s">
        <v>2153</v>
      </c>
      <c r="C235">
        <v>138.36900000000003</v>
      </c>
      <c r="D235" s="2">
        <v>44882</v>
      </c>
    </row>
    <row r="236" spans="1:4" x14ac:dyDescent="0.2">
      <c r="A236" t="s">
        <v>2154</v>
      </c>
      <c r="C236">
        <v>138.435</v>
      </c>
      <c r="D236" s="2">
        <v>44882</v>
      </c>
    </row>
    <row r="237" spans="1:4" x14ac:dyDescent="0.2">
      <c r="A237" t="s">
        <v>2155</v>
      </c>
      <c r="C237">
        <v>87.317999999999998</v>
      </c>
      <c r="D237" s="2">
        <v>44882</v>
      </c>
    </row>
    <row r="238" spans="1:4" x14ac:dyDescent="0.2">
      <c r="A238" t="s">
        <v>2156</v>
      </c>
      <c r="C238">
        <v>92.647500000000008</v>
      </c>
      <c r="D238" s="2">
        <v>44882</v>
      </c>
    </row>
    <row r="239" spans="1:4" x14ac:dyDescent="0.2">
      <c r="A239" t="s">
        <v>2157</v>
      </c>
      <c r="C239">
        <v>92.873000000000019</v>
      </c>
      <c r="D239" s="2">
        <v>44882</v>
      </c>
    </row>
    <row r="240" spans="1:4" x14ac:dyDescent="0.2">
      <c r="A240" t="s">
        <v>2158</v>
      </c>
      <c r="C240">
        <v>319.19030000000004</v>
      </c>
      <c r="D240" s="2">
        <v>44882</v>
      </c>
    </row>
    <row r="241" spans="1:4" x14ac:dyDescent="0.2">
      <c r="A241" t="s">
        <v>2121</v>
      </c>
      <c r="C241">
        <v>39.767200000000003</v>
      </c>
      <c r="D241" s="2">
        <v>44882</v>
      </c>
    </row>
    <row r="242" spans="1:4" x14ac:dyDescent="0.2">
      <c r="A242" t="s">
        <v>2122</v>
      </c>
      <c r="C242">
        <v>31.262000000000004</v>
      </c>
      <c r="D242" s="2">
        <v>44882</v>
      </c>
    </row>
    <row r="243" spans="1:4" x14ac:dyDescent="0.2">
      <c r="A243" t="s">
        <v>2123</v>
      </c>
      <c r="C243">
        <v>32.945</v>
      </c>
      <c r="D243" s="2">
        <v>44882</v>
      </c>
    </row>
    <row r="244" spans="1:4" x14ac:dyDescent="0.2">
      <c r="A244" t="s">
        <v>2124</v>
      </c>
      <c r="C244">
        <v>36.246100000000006</v>
      </c>
      <c r="D244" s="2">
        <v>44882</v>
      </c>
    </row>
    <row r="245" spans="1:4" x14ac:dyDescent="0.2">
      <c r="A245" t="s">
        <v>2125</v>
      </c>
      <c r="C245">
        <v>24.101000000000003</v>
      </c>
      <c r="D245" s="2">
        <v>44882</v>
      </c>
    </row>
    <row r="246" spans="1:4" x14ac:dyDescent="0.2">
      <c r="A246" t="s">
        <v>2126</v>
      </c>
      <c r="C246">
        <v>24.101000000000003</v>
      </c>
      <c r="D246" s="2">
        <v>44882</v>
      </c>
    </row>
    <row r="247" spans="1:4" x14ac:dyDescent="0.2">
      <c r="A247" t="s">
        <v>2127</v>
      </c>
      <c r="C247">
        <v>26.411000000000005</v>
      </c>
      <c r="D247" s="2">
        <v>44882</v>
      </c>
    </row>
    <row r="248" spans="1:4" x14ac:dyDescent="0.2">
      <c r="A248" t="s">
        <v>2128</v>
      </c>
      <c r="C248">
        <v>27.753000000000004</v>
      </c>
      <c r="D248" s="2">
        <v>44882</v>
      </c>
    </row>
    <row r="249" spans="1:4" x14ac:dyDescent="0.2">
      <c r="A249" t="s">
        <v>2129</v>
      </c>
      <c r="C249">
        <v>28.864000000000001</v>
      </c>
      <c r="D249" s="2">
        <v>44882</v>
      </c>
    </row>
    <row r="250" spans="1:4" x14ac:dyDescent="0.2">
      <c r="A250" t="s">
        <v>2130</v>
      </c>
      <c r="C250">
        <v>33.132000000000005</v>
      </c>
      <c r="D250" s="2">
        <v>44882</v>
      </c>
    </row>
    <row r="251" spans="1:4" x14ac:dyDescent="0.2">
      <c r="A251" t="s">
        <v>2131</v>
      </c>
      <c r="C251">
        <v>80.41</v>
      </c>
      <c r="D251" s="2">
        <v>44882</v>
      </c>
    </row>
    <row r="252" spans="1:4" x14ac:dyDescent="0.2">
      <c r="A252" t="s">
        <v>2132</v>
      </c>
      <c r="C252">
        <v>94.188600000000008</v>
      </c>
      <c r="D252" s="2">
        <v>44882</v>
      </c>
    </row>
    <row r="253" spans="1:4" x14ac:dyDescent="0.2">
      <c r="A253" t="s">
        <v>2133</v>
      </c>
      <c r="C253">
        <v>92.660700000000006</v>
      </c>
      <c r="D253" s="2">
        <v>44882</v>
      </c>
    </row>
    <row r="254" spans="1:4" x14ac:dyDescent="0.2">
      <c r="A254" t="s">
        <v>2134</v>
      </c>
      <c r="C254">
        <v>63.82200000000001</v>
      </c>
      <c r="D254" s="2">
        <v>44882</v>
      </c>
    </row>
    <row r="255" spans="1:4" x14ac:dyDescent="0.2">
      <c r="A255" t="s">
        <v>2135</v>
      </c>
      <c r="C255">
        <v>54.692</v>
      </c>
      <c r="D255" s="2">
        <v>44882</v>
      </c>
    </row>
    <row r="256" spans="1:4" x14ac:dyDescent="0.2">
      <c r="A256" t="s">
        <v>2136</v>
      </c>
      <c r="C256">
        <v>54.483000000000004</v>
      </c>
      <c r="D256" s="2">
        <v>44882</v>
      </c>
    </row>
    <row r="257" spans="1:4" x14ac:dyDescent="0.2">
      <c r="A257" t="s">
        <v>2137</v>
      </c>
      <c r="C257">
        <v>58.333000000000006</v>
      </c>
      <c r="D257" s="2">
        <v>44882</v>
      </c>
    </row>
    <row r="258" spans="1:4" x14ac:dyDescent="0.2">
      <c r="A258" t="s">
        <v>2138</v>
      </c>
      <c r="C258">
        <v>65.208000000000013</v>
      </c>
      <c r="D258" s="2">
        <v>44882</v>
      </c>
    </row>
    <row r="259" spans="1:4" x14ac:dyDescent="0.2">
      <c r="A259" t="s">
        <v>2139</v>
      </c>
      <c r="C259">
        <v>72.688000000000002</v>
      </c>
      <c r="D259" s="2">
        <v>44882</v>
      </c>
    </row>
    <row r="260" spans="1:4" x14ac:dyDescent="0.2">
      <c r="A260" t="s">
        <v>2140</v>
      </c>
      <c r="C260">
        <v>82.83</v>
      </c>
      <c r="D260" s="2">
        <v>44882</v>
      </c>
    </row>
    <row r="261" spans="1:4" x14ac:dyDescent="0.2">
      <c r="A261" t="s">
        <v>15</v>
      </c>
      <c r="C261">
        <v>170.63200000000001</v>
      </c>
      <c r="D261" s="2">
        <v>44882</v>
      </c>
    </row>
    <row r="262" spans="1:4" x14ac:dyDescent="0.2">
      <c r="A262" t="s">
        <v>16</v>
      </c>
      <c r="C262">
        <v>174.9</v>
      </c>
      <c r="D262" s="2">
        <v>44882</v>
      </c>
    </row>
    <row r="263" spans="1:4" x14ac:dyDescent="0.2">
      <c r="A263" t="s">
        <v>2197</v>
      </c>
      <c r="C263">
        <v>252.78000000000003</v>
      </c>
      <c r="D263" s="2">
        <v>44882</v>
      </c>
    </row>
    <row r="264" spans="1:4" x14ac:dyDescent="0.2">
      <c r="A264" t="s">
        <v>30</v>
      </c>
      <c r="C264">
        <v>17.985000000000003</v>
      </c>
      <c r="D264" s="2">
        <v>44882</v>
      </c>
    </row>
    <row r="265" spans="1:4" x14ac:dyDescent="0.2">
      <c r="A265" t="s">
        <v>31</v>
      </c>
      <c r="C265">
        <v>64.680000000000007</v>
      </c>
      <c r="D265" s="2">
        <v>44882</v>
      </c>
    </row>
    <row r="266" spans="1:4" x14ac:dyDescent="0.2">
      <c r="A266" t="s">
        <v>32</v>
      </c>
      <c r="C266">
        <v>163.97315</v>
      </c>
      <c r="D266" s="2">
        <v>44882</v>
      </c>
    </row>
    <row r="267" spans="1:4" x14ac:dyDescent="0.2">
      <c r="A267" t="s">
        <v>33</v>
      </c>
      <c r="C267">
        <v>150.535</v>
      </c>
      <c r="D267" s="2">
        <v>44882</v>
      </c>
    </row>
    <row r="268" spans="1:4" x14ac:dyDescent="0.2">
      <c r="A268" t="s">
        <v>2194</v>
      </c>
      <c r="C268">
        <v>9.7668999999999997</v>
      </c>
      <c r="D268" s="2">
        <v>44882</v>
      </c>
    </row>
    <row r="269" spans="1:4" x14ac:dyDescent="0.2">
      <c r="A269" t="s">
        <v>2195</v>
      </c>
      <c r="C269">
        <v>9.3643000000000001</v>
      </c>
      <c r="D269" s="2">
        <v>44882</v>
      </c>
    </row>
    <row r="270" spans="1:4" x14ac:dyDescent="0.2">
      <c r="A270" t="s">
        <v>2196</v>
      </c>
      <c r="C270">
        <v>9.7668999999999997</v>
      </c>
      <c r="D270" s="2">
        <v>44882</v>
      </c>
    </row>
    <row r="271" spans="1:4" x14ac:dyDescent="0.2">
      <c r="A271" t="s">
        <v>38</v>
      </c>
      <c r="C271">
        <v>1.1990000000000003</v>
      </c>
      <c r="D271" s="2">
        <v>44882</v>
      </c>
    </row>
    <row r="272" spans="1:4" x14ac:dyDescent="0.2">
      <c r="A272" t="s">
        <v>39</v>
      </c>
      <c r="C272">
        <v>2.5630000000000002</v>
      </c>
      <c r="D272" s="2">
        <v>44882</v>
      </c>
    </row>
    <row r="273" spans="1:4" x14ac:dyDescent="0.2">
      <c r="A273" t="s">
        <v>40</v>
      </c>
      <c r="C273">
        <v>5.7585000000000006</v>
      </c>
      <c r="D273" s="2">
        <v>44882</v>
      </c>
    </row>
    <row r="274" spans="1:4" x14ac:dyDescent="0.2">
      <c r="A274" t="s">
        <v>41</v>
      </c>
      <c r="C274">
        <v>7.9585000000000008</v>
      </c>
      <c r="D274" s="2">
        <v>44882</v>
      </c>
    </row>
    <row r="275" spans="1:4" x14ac:dyDescent="0.2">
      <c r="A275" t="s">
        <v>42</v>
      </c>
      <c r="C275">
        <v>9.5942000000000007</v>
      </c>
      <c r="D275" s="2">
        <v>44882</v>
      </c>
    </row>
    <row r="276" spans="1:4" x14ac:dyDescent="0.2">
      <c r="A276" t="s">
        <v>43</v>
      </c>
      <c r="C276">
        <v>12.564200000000001</v>
      </c>
      <c r="D276" s="2">
        <v>44882</v>
      </c>
    </row>
    <row r="277" spans="1:4" x14ac:dyDescent="0.2">
      <c r="A277" t="s">
        <v>44</v>
      </c>
      <c r="C277">
        <v>15.103000000000002</v>
      </c>
      <c r="D277" s="2">
        <v>44882</v>
      </c>
    </row>
    <row r="278" spans="1:4" x14ac:dyDescent="0.2">
      <c r="A278" t="s">
        <v>45</v>
      </c>
      <c r="C278">
        <v>9.2058999999999997</v>
      </c>
      <c r="D278" s="2">
        <v>44882</v>
      </c>
    </row>
    <row r="279" spans="1:4" x14ac:dyDescent="0.2">
      <c r="A279" t="s">
        <v>2198</v>
      </c>
      <c r="C279">
        <v>3.7972000000000001</v>
      </c>
      <c r="D279" s="2">
        <v>44882</v>
      </c>
    </row>
    <row r="280" spans="1:4" x14ac:dyDescent="0.2">
      <c r="A280" t="s">
        <v>46</v>
      </c>
      <c r="C280">
        <v>5.1667000000000005</v>
      </c>
      <c r="D280" s="2">
        <v>44882</v>
      </c>
    </row>
    <row r="281" spans="1:4" x14ac:dyDescent="0.2">
      <c r="A281" t="s">
        <v>47</v>
      </c>
      <c r="C281">
        <v>11.115500000000001</v>
      </c>
      <c r="D281" s="2">
        <v>44882</v>
      </c>
    </row>
    <row r="282" spans="1:4" x14ac:dyDescent="0.2">
      <c r="A282" t="s">
        <v>48</v>
      </c>
      <c r="C282">
        <v>10.050700000000001</v>
      </c>
      <c r="D282" s="2">
        <v>44882</v>
      </c>
    </row>
    <row r="283" spans="1:4" x14ac:dyDescent="0.2">
      <c r="A283" t="s">
        <v>49</v>
      </c>
      <c r="C283">
        <v>12.503700000000002</v>
      </c>
      <c r="D283" s="2">
        <v>44882</v>
      </c>
    </row>
    <row r="284" spans="1:4" x14ac:dyDescent="0.2">
      <c r="A284" t="s">
        <v>50</v>
      </c>
      <c r="C284">
        <v>15.406600000000001</v>
      </c>
      <c r="D284" s="2">
        <v>44882</v>
      </c>
    </row>
    <row r="285" spans="1:4" x14ac:dyDescent="0.2">
      <c r="A285" t="s">
        <v>51</v>
      </c>
      <c r="C285">
        <v>19.257700000000003</v>
      </c>
      <c r="D285" s="2">
        <v>44882</v>
      </c>
    </row>
    <row r="286" spans="1:4" x14ac:dyDescent="0.2">
      <c r="A286" t="s">
        <v>2199</v>
      </c>
      <c r="C286">
        <v>0.95810000000000006</v>
      </c>
      <c r="D286" s="2">
        <v>44882</v>
      </c>
    </row>
    <row r="287" spans="1:4" x14ac:dyDescent="0.2">
      <c r="A287" t="s">
        <v>52</v>
      </c>
      <c r="C287">
        <v>1.0109000000000001</v>
      </c>
      <c r="D287" s="2">
        <v>44882</v>
      </c>
    </row>
    <row r="288" spans="1:4" x14ac:dyDescent="0.2">
      <c r="A288" t="s">
        <v>2200</v>
      </c>
      <c r="C288">
        <v>2.3023000000000002</v>
      </c>
      <c r="D288" s="2">
        <v>44882</v>
      </c>
    </row>
    <row r="289" spans="1:4" x14ac:dyDescent="0.2">
      <c r="A289" t="s">
        <v>2201</v>
      </c>
      <c r="C289">
        <v>0.83490000000000009</v>
      </c>
      <c r="D289" s="2">
        <v>44882</v>
      </c>
    </row>
    <row r="290" spans="1:4" x14ac:dyDescent="0.2">
      <c r="A290" t="s">
        <v>53</v>
      </c>
      <c r="C290">
        <v>1.32</v>
      </c>
      <c r="D290" s="2">
        <v>44882</v>
      </c>
    </row>
    <row r="291" spans="1:4" x14ac:dyDescent="0.2">
      <c r="A291" t="s">
        <v>54</v>
      </c>
      <c r="C291">
        <v>2.9700000000000006</v>
      </c>
      <c r="D291" s="2">
        <v>44882</v>
      </c>
    </row>
    <row r="292" spans="1:4" x14ac:dyDescent="0.2">
      <c r="A292" t="s">
        <v>55</v>
      </c>
      <c r="C292">
        <v>2.7555000000000001</v>
      </c>
      <c r="D292" s="2">
        <v>44882</v>
      </c>
    </row>
    <row r="293" spans="1:4" x14ac:dyDescent="0.2">
      <c r="A293" t="s">
        <v>56</v>
      </c>
      <c r="C293">
        <v>4.1910000000000007</v>
      </c>
      <c r="D293" s="2">
        <v>44882</v>
      </c>
    </row>
    <row r="294" spans="1:4" x14ac:dyDescent="0.2">
      <c r="A294" t="s">
        <v>57</v>
      </c>
      <c r="C294">
        <v>5.4020999999999999</v>
      </c>
      <c r="D294" s="2">
        <v>44882</v>
      </c>
    </row>
    <row r="295" spans="1:4" x14ac:dyDescent="0.2">
      <c r="A295" t="s">
        <v>58</v>
      </c>
      <c r="C295">
        <v>6.7155000000000014</v>
      </c>
      <c r="D295" s="2">
        <v>44882</v>
      </c>
    </row>
    <row r="296" spans="1:4" x14ac:dyDescent="0.2">
      <c r="A296" t="s">
        <v>59</v>
      </c>
      <c r="C296">
        <v>9.9781000000000013</v>
      </c>
      <c r="D296" s="2">
        <v>44882</v>
      </c>
    </row>
    <row r="297" spans="1:4" x14ac:dyDescent="0.2">
      <c r="A297" t="s">
        <v>60</v>
      </c>
      <c r="C297">
        <v>13.2121</v>
      </c>
      <c r="D297" s="2">
        <v>44882</v>
      </c>
    </row>
    <row r="298" spans="1:4" x14ac:dyDescent="0.2">
      <c r="A298" t="s">
        <v>61</v>
      </c>
      <c r="C298">
        <v>15.625500000000001</v>
      </c>
      <c r="D298" s="2">
        <v>44882</v>
      </c>
    </row>
    <row r="299" spans="1:4" x14ac:dyDescent="0.2">
      <c r="A299" t="s">
        <v>62</v>
      </c>
      <c r="C299">
        <v>21.733800000000002</v>
      </c>
      <c r="D299" s="2">
        <v>44882</v>
      </c>
    </row>
    <row r="300" spans="1:4" x14ac:dyDescent="0.2">
      <c r="A300" t="s">
        <v>63</v>
      </c>
      <c r="C300">
        <v>31.020000000000003</v>
      </c>
      <c r="D300" s="2">
        <v>44882</v>
      </c>
    </row>
    <row r="301" spans="1:4" x14ac:dyDescent="0.2">
      <c r="A301" t="s">
        <v>2239</v>
      </c>
      <c r="C301">
        <v>0.84920000000000007</v>
      </c>
      <c r="D301" s="2">
        <v>44882</v>
      </c>
    </row>
    <row r="302" spans="1:4" x14ac:dyDescent="0.2">
      <c r="A302" t="s">
        <v>67</v>
      </c>
      <c r="C302">
        <v>0.99220000000000008</v>
      </c>
      <c r="D302" s="2">
        <v>44882</v>
      </c>
    </row>
    <row r="303" spans="1:4" x14ac:dyDescent="0.2">
      <c r="A303" t="s">
        <v>65</v>
      </c>
      <c r="C303">
        <v>0.87450000000000017</v>
      </c>
      <c r="D303" s="2">
        <v>44882</v>
      </c>
    </row>
    <row r="304" spans="1:4" x14ac:dyDescent="0.2">
      <c r="A304" t="s">
        <v>2240</v>
      </c>
      <c r="C304">
        <v>0.99880000000000013</v>
      </c>
      <c r="D304" s="2">
        <v>44882</v>
      </c>
    </row>
    <row r="305" spans="1:4" x14ac:dyDescent="0.2">
      <c r="A305" t="s">
        <v>66</v>
      </c>
      <c r="C305">
        <v>1.1000000000000001</v>
      </c>
      <c r="D305" s="2">
        <v>44882</v>
      </c>
    </row>
    <row r="306" spans="1:4" x14ac:dyDescent="0.2">
      <c r="A306" t="s">
        <v>90</v>
      </c>
      <c r="C306">
        <v>1.5235000000000001</v>
      </c>
      <c r="D306" s="2">
        <v>44882</v>
      </c>
    </row>
    <row r="307" spans="1:4" x14ac:dyDescent="0.2">
      <c r="A307" t="s">
        <v>71</v>
      </c>
      <c r="C307">
        <v>1.6973</v>
      </c>
      <c r="D307" s="2">
        <v>44882</v>
      </c>
    </row>
    <row r="308" spans="1:4" x14ac:dyDescent="0.2">
      <c r="A308" t="s">
        <v>2241</v>
      </c>
      <c r="C308">
        <v>1.2188000000000001</v>
      </c>
      <c r="D308" s="2">
        <v>44882</v>
      </c>
    </row>
    <row r="309" spans="1:4" x14ac:dyDescent="0.2">
      <c r="A309" t="s">
        <v>2242</v>
      </c>
      <c r="C309">
        <v>1.9503000000000001</v>
      </c>
      <c r="D309" s="2">
        <v>44882</v>
      </c>
    </row>
    <row r="310" spans="1:4" x14ac:dyDescent="0.2">
      <c r="A310" t="s">
        <v>64</v>
      </c>
      <c r="C310">
        <v>1.4872000000000003</v>
      </c>
      <c r="D310" s="2">
        <v>44882</v>
      </c>
    </row>
    <row r="311" spans="1:4" x14ac:dyDescent="0.2">
      <c r="A311" t="s">
        <v>2243</v>
      </c>
      <c r="C311">
        <v>2.5113000000000003</v>
      </c>
      <c r="D311" s="2">
        <v>44882</v>
      </c>
    </row>
    <row r="312" spans="1:4" x14ac:dyDescent="0.2">
      <c r="A312" t="s">
        <v>73</v>
      </c>
      <c r="C312">
        <v>2.0240000000000005</v>
      </c>
      <c r="D312" s="2">
        <v>44882</v>
      </c>
    </row>
    <row r="313" spans="1:4" x14ac:dyDescent="0.2">
      <c r="A313" t="s">
        <v>2244</v>
      </c>
      <c r="C313">
        <v>2.8039000000000001</v>
      </c>
      <c r="D313" s="2">
        <v>44882</v>
      </c>
    </row>
    <row r="314" spans="1:4" x14ac:dyDescent="0.2">
      <c r="A314" t="s">
        <v>74</v>
      </c>
      <c r="C314">
        <v>2.4068000000000005</v>
      </c>
      <c r="D314" s="2">
        <v>44882</v>
      </c>
    </row>
    <row r="315" spans="1:4" x14ac:dyDescent="0.2">
      <c r="A315" t="s">
        <v>2202</v>
      </c>
      <c r="C315">
        <v>1.837</v>
      </c>
      <c r="D315" s="2">
        <v>44882</v>
      </c>
    </row>
    <row r="316" spans="1:4" x14ac:dyDescent="0.2">
      <c r="A316" t="s">
        <v>68</v>
      </c>
      <c r="C316">
        <v>0.32230000000000003</v>
      </c>
      <c r="D316" s="2">
        <v>44882</v>
      </c>
    </row>
    <row r="317" spans="1:4" x14ac:dyDescent="0.2">
      <c r="A317" t="s">
        <v>69</v>
      </c>
      <c r="C317">
        <v>0.49720000000000003</v>
      </c>
      <c r="D317" s="2">
        <v>44882</v>
      </c>
    </row>
    <row r="318" spans="1:4" x14ac:dyDescent="0.2">
      <c r="A318" t="s">
        <v>2203</v>
      </c>
      <c r="C318">
        <v>0.7491000000000001</v>
      </c>
      <c r="D318" s="2">
        <v>44882</v>
      </c>
    </row>
    <row r="319" spans="1:4" x14ac:dyDescent="0.2">
      <c r="A319" t="s">
        <v>70</v>
      </c>
      <c r="C319">
        <v>0.60060000000000013</v>
      </c>
      <c r="D319" s="2">
        <v>44882</v>
      </c>
    </row>
    <row r="320" spans="1:4" x14ac:dyDescent="0.2">
      <c r="A320" t="s">
        <v>2204</v>
      </c>
      <c r="C320">
        <v>1.3794000000000002</v>
      </c>
      <c r="D320" s="2">
        <v>44882</v>
      </c>
    </row>
    <row r="321" spans="1:4" x14ac:dyDescent="0.2">
      <c r="A321" t="s">
        <v>2205</v>
      </c>
      <c r="C321">
        <v>0.43340000000000006</v>
      </c>
      <c r="D321" s="2">
        <v>44882</v>
      </c>
    </row>
    <row r="322" spans="1:4" x14ac:dyDescent="0.2">
      <c r="A322" t="s">
        <v>2206</v>
      </c>
      <c r="C322">
        <v>0.96800000000000008</v>
      </c>
      <c r="D322" s="2">
        <v>44882</v>
      </c>
    </row>
    <row r="323" spans="1:4" x14ac:dyDescent="0.2">
      <c r="A323" t="s">
        <v>2207</v>
      </c>
      <c r="C323">
        <v>0.73480000000000012</v>
      </c>
      <c r="D323" s="2">
        <v>44882</v>
      </c>
    </row>
    <row r="324" spans="1:4" x14ac:dyDescent="0.2">
      <c r="A324" t="s">
        <v>2208</v>
      </c>
      <c r="C324">
        <v>1.6698000000000002</v>
      </c>
      <c r="D324" s="2">
        <v>44882</v>
      </c>
    </row>
    <row r="325" spans="1:4" x14ac:dyDescent="0.2">
      <c r="A325" t="s">
        <v>2209</v>
      </c>
      <c r="C325">
        <v>0.96800000000000008</v>
      </c>
      <c r="D325" s="2">
        <v>44882</v>
      </c>
    </row>
    <row r="326" spans="1:4" x14ac:dyDescent="0.2">
      <c r="A326" t="s">
        <v>2210</v>
      </c>
      <c r="C326">
        <v>1.3343000000000003</v>
      </c>
      <c r="D326" s="2">
        <v>44882</v>
      </c>
    </row>
    <row r="327" spans="1:4" x14ac:dyDescent="0.2">
      <c r="A327" t="s">
        <v>2211</v>
      </c>
      <c r="C327">
        <v>1.5631000000000002</v>
      </c>
      <c r="D327" s="2">
        <v>44882</v>
      </c>
    </row>
    <row r="328" spans="1:4" x14ac:dyDescent="0.2">
      <c r="A328" t="s">
        <v>2212</v>
      </c>
      <c r="C328">
        <v>1.1737</v>
      </c>
      <c r="D328" s="2">
        <v>44882</v>
      </c>
    </row>
    <row r="329" spans="1:4" x14ac:dyDescent="0.2">
      <c r="A329" t="s">
        <v>72</v>
      </c>
      <c r="C329">
        <v>0.1133</v>
      </c>
      <c r="D329" s="2">
        <v>44882</v>
      </c>
    </row>
    <row r="330" spans="1:4" x14ac:dyDescent="0.2">
      <c r="A330" t="s">
        <v>2213</v>
      </c>
      <c r="C330">
        <v>0.12870000000000001</v>
      </c>
      <c r="D330" s="2">
        <v>44882</v>
      </c>
    </row>
    <row r="331" spans="1:4" x14ac:dyDescent="0.2">
      <c r="A331" t="s">
        <v>2214</v>
      </c>
      <c r="C331">
        <v>0.1023</v>
      </c>
      <c r="D331" s="2">
        <v>44882</v>
      </c>
    </row>
    <row r="332" spans="1:4" x14ac:dyDescent="0.2">
      <c r="A332" t="s">
        <v>2215</v>
      </c>
      <c r="C332">
        <v>0.12430000000000001</v>
      </c>
      <c r="D332" s="2">
        <v>44882</v>
      </c>
    </row>
    <row r="333" spans="1:4" x14ac:dyDescent="0.2">
      <c r="A333" t="s">
        <v>2216</v>
      </c>
      <c r="C333">
        <v>0.1023</v>
      </c>
      <c r="D333" s="2">
        <v>44882</v>
      </c>
    </row>
    <row r="334" spans="1:4" x14ac:dyDescent="0.2">
      <c r="A334" t="s">
        <v>2217</v>
      </c>
      <c r="C334">
        <v>0.17710000000000001</v>
      </c>
      <c r="D334" s="2">
        <v>44882</v>
      </c>
    </row>
    <row r="335" spans="1:4" x14ac:dyDescent="0.2">
      <c r="A335" t="s">
        <v>2218</v>
      </c>
      <c r="C335">
        <v>0.17710000000000001</v>
      </c>
      <c r="D335" s="2">
        <v>44882</v>
      </c>
    </row>
    <row r="336" spans="1:4" x14ac:dyDescent="0.2">
      <c r="A336" t="s">
        <v>2219</v>
      </c>
      <c r="C336">
        <v>0.28710000000000002</v>
      </c>
      <c r="D336" s="2">
        <v>44882</v>
      </c>
    </row>
    <row r="337" spans="1:4" x14ac:dyDescent="0.2">
      <c r="A337" t="s">
        <v>2220</v>
      </c>
      <c r="C337">
        <v>0.48290000000000005</v>
      </c>
      <c r="D337" s="2">
        <v>44882</v>
      </c>
    </row>
    <row r="338" spans="1:4" x14ac:dyDescent="0.2">
      <c r="A338" t="s">
        <v>2221</v>
      </c>
      <c r="C338">
        <v>0.48290000000000005</v>
      </c>
      <c r="D338" s="2">
        <v>44882</v>
      </c>
    </row>
    <row r="339" spans="1:4" x14ac:dyDescent="0.2">
      <c r="A339" t="s">
        <v>2222</v>
      </c>
      <c r="C339">
        <v>0.69190000000000007</v>
      </c>
      <c r="D339" s="2">
        <v>44882</v>
      </c>
    </row>
    <row r="340" spans="1:4" x14ac:dyDescent="0.2">
      <c r="A340" t="s">
        <v>2223</v>
      </c>
      <c r="C340">
        <v>1.1946000000000001</v>
      </c>
      <c r="D340" s="2">
        <v>44882</v>
      </c>
    </row>
    <row r="341" spans="1:4" x14ac:dyDescent="0.2">
      <c r="A341" t="s">
        <v>2224</v>
      </c>
      <c r="C341">
        <v>1.8766</v>
      </c>
      <c r="D341" s="2">
        <v>44882</v>
      </c>
    </row>
    <row r="342" spans="1:4" x14ac:dyDescent="0.2">
      <c r="A342" t="s">
        <v>2225</v>
      </c>
      <c r="C342">
        <v>2.9359000000000002</v>
      </c>
      <c r="D342" s="2">
        <v>44882</v>
      </c>
    </row>
    <row r="343" spans="1:4" x14ac:dyDescent="0.2">
      <c r="A343" t="s">
        <v>2226</v>
      </c>
      <c r="C343">
        <v>2.9238</v>
      </c>
      <c r="D343" s="2">
        <v>44882</v>
      </c>
    </row>
    <row r="344" spans="1:4" x14ac:dyDescent="0.2">
      <c r="A344" t="s">
        <v>2227</v>
      </c>
      <c r="C344">
        <v>4.3615000000000004</v>
      </c>
      <c r="D344" s="2">
        <v>44882</v>
      </c>
    </row>
    <row r="345" spans="1:4" x14ac:dyDescent="0.2">
      <c r="A345" t="s">
        <v>2228</v>
      </c>
      <c r="C345">
        <v>6.4372000000000007</v>
      </c>
      <c r="D345" s="2">
        <v>44882</v>
      </c>
    </row>
    <row r="346" spans="1:4" x14ac:dyDescent="0.2">
      <c r="A346" t="s">
        <v>2229</v>
      </c>
      <c r="C346">
        <v>9.0343</v>
      </c>
      <c r="D346" s="2">
        <v>44882</v>
      </c>
    </row>
    <row r="347" spans="1:4" x14ac:dyDescent="0.2">
      <c r="A347" t="s">
        <v>2230</v>
      </c>
      <c r="C347">
        <v>0.80630000000000002</v>
      </c>
      <c r="D347" s="2">
        <v>44882</v>
      </c>
    </row>
    <row r="348" spans="1:4" x14ac:dyDescent="0.2">
      <c r="A348" t="s">
        <v>75</v>
      </c>
      <c r="C348">
        <v>1.1176000000000001</v>
      </c>
      <c r="D348" s="2">
        <v>44882</v>
      </c>
    </row>
    <row r="349" spans="1:4" x14ac:dyDescent="0.2">
      <c r="A349" t="s">
        <v>76</v>
      </c>
      <c r="C349">
        <v>0.94930000000000003</v>
      </c>
      <c r="D349" s="2">
        <v>44882</v>
      </c>
    </row>
    <row r="350" spans="1:4" x14ac:dyDescent="0.2">
      <c r="A350" t="s">
        <v>77</v>
      </c>
      <c r="C350">
        <v>1.2067000000000001</v>
      </c>
      <c r="D350" s="2">
        <v>44882</v>
      </c>
    </row>
    <row r="351" spans="1:4" x14ac:dyDescent="0.2">
      <c r="A351" t="s">
        <v>78</v>
      </c>
      <c r="C351">
        <v>1.3541000000000003</v>
      </c>
      <c r="D351" s="2">
        <v>44882</v>
      </c>
    </row>
    <row r="352" spans="1:4" x14ac:dyDescent="0.2">
      <c r="A352" t="s">
        <v>79</v>
      </c>
      <c r="C352">
        <v>1.7083000000000002</v>
      </c>
      <c r="D352" s="2">
        <v>44882</v>
      </c>
    </row>
    <row r="353" spans="1:4" x14ac:dyDescent="0.2">
      <c r="A353" t="s">
        <v>80</v>
      </c>
      <c r="C353">
        <v>2.3848000000000003</v>
      </c>
      <c r="D353" s="2">
        <v>44882</v>
      </c>
    </row>
    <row r="354" spans="1:4" x14ac:dyDescent="0.2">
      <c r="A354" t="s">
        <v>81</v>
      </c>
      <c r="C354">
        <v>1.9118000000000002</v>
      </c>
      <c r="D354" s="2">
        <v>44882</v>
      </c>
    </row>
    <row r="355" spans="1:4" x14ac:dyDescent="0.2">
      <c r="A355" t="s">
        <v>82</v>
      </c>
      <c r="C355">
        <v>3.6894000000000005</v>
      </c>
      <c r="D355" s="2">
        <v>44882</v>
      </c>
    </row>
    <row r="356" spans="1:4" x14ac:dyDescent="0.2">
      <c r="A356" t="s">
        <v>83</v>
      </c>
      <c r="C356">
        <v>2.7808000000000002</v>
      </c>
      <c r="D356" s="2">
        <v>44882</v>
      </c>
    </row>
    <row r="357" spans="1:4" x14ac:dyDescent="0.2">
      <c r="A357" t="s">
        <v>84</v>
      </c>
      <c r="C357">
        <v>5.1535000000000002</v>
      </c>
      <c r="D357" s="2">
        <v>44882</v>
      </c>
    </row>
    <row r="358" spans="1:4" x14ac:dyDescent="0.2">
      <c r="A358" t="s">
        <v>85</v>
      </c>
      <c r="C358">
        <v>4.2625000000000002</v>
      </c>
      <c r="D358" s="2">
        <v>44882</v>
      </c>
    </row>
    <row r="359" spans="1:4" x14ac:dyDescent="0.2">
      <c r="A359" t="s">
        <v>86</v>
      </c>
      <c r="C359">
        <v>6.2678000000000011</v>
      </c>
      <c r="D359" s="2">
        <v>44882</v>
      </c>
    </row>
    <row r="360" spans="1:4" x14ac:dyDescent="0.2">
      <c r="A360" t="s">
        <v>87</v>
      </c>
      <c r="C360">
        <v>7.5438000000000001</v>
      </c>
      <c r="D360" s="2">
        <v>44882</v>
      </c>
    </row>
    <row r="361" spans="1:4" x14ac:dyDescent="0.2">
      <c r="A361" t="s">
        <v>88</v>
      </c>
      <c r="C361">
        <v>9.0530000000000008</v>
      </c>
      <c r="D361" s="2">
        <v>44882</v>
      </c>
    </row>
    <row r="362" spans="1:4" x14ac:dyDescent="0.2">
      <c r="A362" t="s">
        <v>89</v>
      </c>
      <c r="C362">
        <v>10.9472</v>
      </c>
      <c r="D362" s="2">
        <v>44882</v>
      </c>
    </row>
    <row r="363" spans="1:4" x14ac:dyDescent="0.2">
      <c r="A363" t="s">
        <v>2231</v>
      </c>
      <c r="C363">
        <v>38.165599999999998</v>
      </c>
      <c r="D363" s="2">
        <v>44882</v>
      </c>
    </row>
    <row r="364" spans="1:4" x14ac:dyDescent="0.2">
      <c r="A364" t="s">
        <v>2232</v>
      </c>
      <c r="C364">
        <v>57.565200000000004</v>
      </c>
      <c r="D364" s="2">
        <v>44882</v>
      </c>
    </row>
    <row r="365" spans="1:4" x14ac:dyDescent="0.2">
      <c r="A365" t="s">
        <v>2233</v>
      </c>
      <c r="C365">
        <v>70.510000000000005</v>
      </c>
      <c r="D365" s="2">
        <v>44882</v>
      </c>
    </row>
    <row r="366" spans="1:4" x14ac:dyDescent="0.2">
      <c r="A366" t="s">
        <v>2234</v>
      </c>
      <c r="C366">
        <v>1.1693</v>
      </c>
      <c r="D366" s="2">
        <v>44882</v>
      </c>
    </row>
    <row r="367" spans="1:4" x14ac:dyDescent="0.2">
      <c r="A367" t="s">
        <v>2235</v>
      </c>
      <c r="C367">
        <v>1.2375</v>
      </c>
      <c r="D367" s="2">
        <v>44882</v>
      </c>
    </row>
    <row r="368" spans="1:4" x14ac:dyDescent="0.2">
      <c r="A368" t="s">
        <v>2236</v>
      </c>
      <c r="C368">
        <v>1.8502000000000001</v>
      </c>
      <c r="D368" s="2">
        <v>44882</v>
      </c>
    </row>
    <row r="369" spans="1:4" x14ac:dyDescent="0.2">
      <c r="A369" t="s">
        <v>2237</v>
      </c>
      <c r="C369">
        <v>54.201400000000007</v>
      </c>
      <c r="D369" s="2">
        <v>44882</v>
      </c>
    </row>
    <row r="370" spans="1:4" x14ac:dyDescent="0.2">
      <c r="A370" t="s">
        <v>2238</v>
      </c>
      <c r="C370">
        <v>3.3363</v>
      </c>
      <c r="D370" s="2">
        <v>44882</v>
      </c>
    </row>
    <row r="371" spans="1:4" x14ac:dyDescent="0.2">
      <c r="A371" t="s">
        <v>91</v>
      </c>
      <c r="C371">
        <v>15.823500000000001</v>
      </c>
      <c r="D371" s="2">
        <v>44882</v>
      </c>
    </row>
    <row r="372" spans="1:4" x14ac:dyDescent="0.2">
      <c r="A372" t="s">
        <v>92</v>
      </c>
      <c r="C372">
        <v>18.192900000000002</v>
      </c>
      <c r="D372" s="2">
        <v>44882</v>
      </c>
    </row>
    <row r="373" spans="1:4" x14ac:dyDescent="0.2">
      <c r="A373" t="s">
        <v>93</v>
      </c>
      <c r="C373">
        <v>22.220000000000002</v>
      </c>
      <c r="D373" s="2">
        <v>44882</v>
      </c>
    </row>
    <row r="374" spans="1:4" x14ac:dyDescent="0.2">
      <c r="A374" t="s">
        <v>94</v>
      </c>
      <c r="C374">
        <v>26.639800000000001</v>
      </c>
      <c r="D374" s="2">
        <v>44882</v>
      </c>
    </row>
    <row r="375" spans="1:4" x14ac:dyDescent="0.2">
      <c r="A375" t="s">
        <v>34</v>
      </c>
      <c r="C375">
        <v>0.74360000000000015</v>
      </c>
      <c r="D375" s="2">
        <v>44882</v>
      </c>
    </row>
    <row r="376" spans="1:4" x14ac:dyDescent="0.2">
      <c r="A376" t="s">
        <v>35</v>
      </c>
      <c r="C376">
        <v>0.92620000000000002</v>
      </c>
      <c r="D376" s="2">
        <v>44882</v>
      </c>
    </row>
    <row r="377" spans="1:4" x14ac:dyDescent="0.2">
      <c r="A377" t="s">
        <v>111</v>
      </c>
      <c r="C377">
        <v>0.21780000000000002</v>
      </c>
      <c r="D377" s="2">
        <v>44882</v>
      </c>
    </row>
    <row r="378" spans="1:4" x14ac:dyDescent="0.2">
      <c r="A378" t="s">
        <v>36</v>
      </c>
      <c r="C378">
        <v>4.8004000000000007</v>
      </c>
      <c r="D378" s="2">
        <v>44882</v>
      </c>
    </row>
    <row r="379" spans="1:4" x14ac:dyDescent="0.2">
      <c r="A379" t="s">
        <v>37</v>
      </c>
      <c r="C379">
        <v>6.9916</v>
      </c>
      <c r="D379" s="2">
        <v>44882</v>
      </c>
    </row>
    <row r="380" spans="1:4" x14ac:dyDescent="0.2">
      <c r="A380" t="s">
        <v>2245</v>
      </c>
      <c r="C380">
        <v>11.844800000000001</v>
      </c>
      <c r="D380" s="2">
        <v>44882</v>
      </c>
    </row>
    <row r="381" spans="1:4" x14ac:dyDescent="0.2">
      <c r="A381" t="s">
        <v>110</v>
      </c>
      <c r="C381">
        <v>0.56540000000000001</v>
      </c>
      <c r="D381" s="2">
        <v>44882</v>
      </c>
    </row>
    <row r="382" spans="1:4" x14ac:dyDescent="0.2">
      <c r="A382" t="s">
        <v>95</v>
      </c>
      <c r="C382">
        <v>0.42680000000000007</v>
      </c>
      <c r="D382" s="2">
        <v>44882</v>
      </c>
    </row>
    <row r="383" spans="1:4" x14ac:dyDescent="0.2">
      <c r="A383" t="s">
        <v>2246</v>
      </c>
      <c r="C383">
        <v>0.34430000000000005</v>
      </c>
      <c r="D383" s="2">
        <v>44882</v>
      </c>
    </row>
    <row r="384" spans="1:4" x14ac:dyDescent="0.2">
      <c r="A384" t="s">
        <v>2247</v>
      </c>
      <c r="C384">
        <v>0.42240000000000005</v>
      </c>
      <c r="D384" s="2">
        <v>44882</v>
      </c>
    </row>
    <row r="385" spans="1:4" x14ac:dyDescent="0.2">
      <c r="A385" t="s">
        <v>2248</v>
      </c>
      <c r="C385">
        <v>0.42240000000000005</v>
      </c>
      <c r="D385" s="2">
        <v>44882</v>
      </c>
    </row>
    <row r="386" spans="1:4" x14ac:dyDescent="0.2">
      <c r="A386" t="s">
        <v>2249</v>
      </c>
      <c r="C386">
        <v>0.52139999999999997</v>
      </c>
      <c r="D386" s="2">
        <v>44882</v>
      </c>
    </row>
    <row r="387" spans="1:4" x14ac:dyDescent="0.2">
      <c r="A387" t="s">
        <v>2250</v>
      </c>
      <c r="C387">
        <v>0.52139999999999997</v>
      </c>
      <c r="D387" s="2">
        <v>44882</v>
      </c>
    </row>
    <row r="388" spans="1:4" x14ac:dyDescent="0.2">
      <c r="A388" t="s">
        <v>2251</v>
      </c>
      <c r="C388">
        <v>0.52139999999999997</v>
      </c>
      <c r="D388" s="2">
        <v>44882</v>
      </c>
    </row>
    <row r="389" spans="1:4" x14ac:dyDescent="0.2">
      <c r="A389" t="s">
        <v>2252</v>
      </c>
      <c r="C389">
        <v>0.62149999999999994</v>
      </c>
      <c r="D389" s="2">
        <v>44882</v>
      </c>
    </row>
    <row r="390" spans="1:4" x14ac:dyDescent="0.2">
      <c r="A390" t="s">
        <v>96</v>
      </c>
      <c r="C390">
        <v>0.62149999999999994</v>
      </c>
      <c r="D390" s="2">
        <v>44882</v>
      </c>
    </row>
    <row r="391" spans="1:4" x14ac:dyDescent="0.2">
      <c r="A391" t="s">
        <v>97</v>
      </c>
      <c r="C391">
        <v>0.62149999999999994</v>
      </c>
      <c r="D391" s="2">
        <v>44882</v>
      </c>
    </row>
    <row r="392" spans="1:4" x14ac:dyDescent="0.2">
      <c r="A392" t="s">
        <v>98</v>
      </c>
      <c r="C392">
        <v>1.0076000000000001</v>
      </c>
      <c r="D392" s="2">
        <v>44882</v>
      </c>
    </row>
    <row r="393" spans="1:4" x14ac:dyDescent="0.2">
      <c r="A393" t="s">
        <v>99</v>
      </c>
      <c r="C393">
        <v>1.0076000000000001</v>
      </c>
      <c r="D393" s="2">
        <v>44882</v>
      </c>
    </row>
    <row r="394" spans="1:4" x14ac:dyDescent="0.2">
      <c r="A394" t="s">
        <v>2253</v>
      </c>
      <c r="C394">
        <v>1.4190000000000003</v>
      </c>
      <c r="D394" s="2">
        <v>44882</v>
      </c>
    </row>
    <row r="395" spans="1:4" x14ac:dyDescent="0.2">
      <c r="A395" t="s">
        <v>2254</v>
      </c>
      <c r="C395">
        <v>1.3134000000000001</v>
      </c>
      <c r="D395" s="2">
        <v>44882</v>
      </c>
    </row>
    <row r="396" spans="1:4" x14ac:dyDescent="0.2">
      <c r="A396" t="s">
        <v>2255</v>
      </c>
      <c r="C396">
        <v>1.1440000000000001</v>
      </c>
      <c r="D396" s="2">
        <v>44882</v>
      </c>
    </row>
    <row r="397" spans="1:4" x14ac:dyDescent="0.2">
      <c r="A397" t="s">
        <v>100</v>
      </c>
      <c r="C397">
        <v>2.1537999999999999</v>
      </c>
      <c r="D397" s="2">
        <v>44882</v>
      </c>
    </row>
    <row r="398" spans="1:4" x14ac:dyDescent="0.2">
      <c r="A398" t="s">
        <v>101</v>
      </c>
      <c r="C398">
        <v>2.1537999999999999</v>
      </c>
      <c r="D398" s="2">
        <v>44882</v>
      </c>
    </row>
    <row r="399" spans="1:4" x14ac:dyDescent="0.2">
      <c r="A399" t="s">
        <v>2256</v>
      </c>
      <c r="C399">
        <v>1.7358000000000002</v>
      </c>
      <c r="D399" s="2">
        <v>44882</v>
      </c>
    </row>
    <row r="400" spans="1:4" x14ac:dyDescent="0.2">
      <c r="A400" t="s">
        <v>102</v>
      </c>
      <c r="C400">
        <v>2.6246000000000005</v>
      </c>
      <c r="D400" s="2">
        <v>44882</v>
      </c>
    </row>
    <row r="401" spans="1:4" x14ac:dyDescent="0.2">
      <c r="A401" t="s">
        <v>103</v>
      </c>
      <c r="C401">
        <v>2.9656000000000002</v>
      </c>
      <c r="D401" s="2">
        <v>44882</v>
      </c>
    </row>
    <row r="402" spans="1:4" x14ac:dyDescent="0.2">
      <c r="A402" t="s">
        <v>104</v>
      </c>
      <c r="C402">
        <v>2.6246000000000005</v>
      </c>
      <c r="D402" s="2">
        <v>44882</v>
      </c>
    </row>
    <row r="403" spans="1:4" x14ac:dyDescent="0.2">
      <c r="A403" t="s">
        <v>105</v>
      </c>
      <c r="C403">
        <v>4.2647000000000004</v>
      </c>
      <c r="D403" s="2">
        <v>44882</v>
      </c>
    </row>
    <row r="404" spans="1:4" x14ac:dyDescent="0.2">
      <c r="A404" t="s">
        <v>106</v>
      </c>
      <c r="C404">
        <v>3.5882000000000005</v>
      </c>
      <c r="D404" s="2">
        <v>44882</v>
      </c>
    </row>
    <row r="405" spans="1:4" x14ac:dyDescent="0.2">
      <c r="A405" t="s">
        <v>2257</v>
      </c>
      <c r="C405">
        <v>4.406600000000001</v>
      </c>
      <c r="D405" s="2">
        <v>44882</v>
      </c>
    </row>
    <row r="406" spans="1:4" x14ac:dyDescent="0.2">
      <c r="A406" t="s">
        <v>2258</v>
      </c>
      <c r="C406">
        <v>4.406600000000001</v>
      </c>
      <c r="D406" s="2">
        <v>44882</v>
      </c>
    </row>
    <row r="407" spans="1:4" x14ac:dyDescent="0.2">
      <c r="A407" t="s">
        <v>2259</v>
      </c>
      <c r="C407">
        <v>5.5</v>
      </c>
      <c r="D407" s="2">
        <v>44882</v>
      </c>
    </row>
    <row r="408" spans="1:4" x14ac:dyDescent="0.2">
      <c r="A408" t="s">
        <v>2260</v>
      </c>
      <c r="C408">
        <v>3.2186000000000003</v>
      </c>
      <c r="D408" s="2">
        <v>44882</v>
      </c>
    </row>
    <row r="409" spans="1:4" x14ac:dyDescent="0.2">
      <c r="A409" t="s">
        <v>108</v>
      </c>
      <c r="C409">
        <v>0.80520000000000003</v>
      </c>
      <c r="D409" s="2">
        <v>44882</v>
      </c>
    </row>
    <row r="410" spans="1:4" x14ac:dyDescent="0.2">
      <c r="A410" t="s">
        <v>109</v>
      </c>
      <c r="C410">
        <v>1.0274000000000001</v>
      </c>
      <c r="D410" s="2">
        <v>44882</v>
      </c>
    </row>
    <row r="411" spans="1:4" x14ac:dyDescent="0.2">
      <c r="A411" t="s">
        <v>107</v>
      </c>
      <c r="C411">
        <v>1.5015000000000001</v>
      </c>
      <c r="D411" s="2">
        <v>44882</v>
      </c>
    </row>
    <row r="412" spans="1:4" x14ac:dyDescent="0.2">
      <c r="A412" t="s">
        <v>112</v>
      </c>
      <c r="C412">
        <v>66</v>
      </c>
      <c r="D412" s="2">
        <v>44882</v>
      </c>
    </row>
    <row r="413" spans="1:4" x14ac:dyDescent="0.2">
      <c r="A413" t="s">
        <v>115</v>
      </c>
      <c r="C413">
        <v>66</v>
      </c>
      <c r="D413" s="2">
        <v>44882</v>
      </c>
    </row>
    <row r="414" spans="1:4" x14ac:dyDescent="0.2">
      <c r="A414" t="s">
        <v>2019</v>
      </c>
      <c r="C414">
        <v>66</v>
      </c>
      <c r="D414" s="2">
        <v>44882</v>
      </c>
    </row>
    <row r="415" spans="1:4" x14ac:dyDescent="0.2">
      <c r="A415" t="s">
        <v>117</v>
      </c>
      <c r="C415">
        <v>66</v>
      </c>
      <c r="D415" s="2">
        <v>44882</v>
      </c>
    </row>
    <row r="416" spans="1:4" x14ac:dyDescent="0.2">
      <c r="A416" t="s">
        <v>113</v>
      </c>
      <c r="C416">
        <v>110.00000000000001</v>
      </c>
      <c r="D416" s="2">
        <v>44882</v>
      </c>
    </row>
    <row r="417" spans="1:4" x14ac:dyDescent="0.2">
      <c r="A417" t="s">
        <v>114</v>
      </c>
      <c r="C417">
        <v>176</v>
      </c>
      <c r="D417" s="2">
        <v>44882</v>
      </c>
    </row>
    <row r="418" spans="1:4" x14ac:dyDescent="0.2">
      <c r="A418" t="s">
        <v>116</v>
      </c>
      <c r="C418">
        <v>242.00000000000003</v>
      </c>
      <c r="D418" s="2">
        <v>44882</v>
      </c>
    </row>
    <row r="419" spans="1:4" x14ac:dyDescent="0.2">
      <c r="A419" t="s">
        <v>2271</v>
      </c>
      <c r="C419">
        <v>28.6</v>
      </c>
      <c r="D419" s="2">
        <v>44882</v>
      </c>
    </row>
    <row r="420" spans="1:4" x14ac:dyDescent="0.2">
      <c r="A420" t="s">
        <v>2272</v>
      </c>
      <c r="C420">
        <v>63.371000000000002</v>
      </c>
      <c r="D420" s="2">
        <v>44882</v>
      </c>
    </row>
    <row r="421" spans="1:4" x14ac:dyDescent="0.2">
      <c r="A421" t="s">
        <v>2273</v>
      </c>
      <c r="C421">
        <v>32.175000000000004</v>
      </c>
      <c r="D421" s="2">
        <v>44882</v>
      </c>
    </row>
    <row r="422" spans="1:4" x14ac:dyDescent="0.2">
      <c r="A422" t="s">
        <v>2274</v>
      </c>
      <c r="C422">
        <v>18.480000000000004</v>
      </c>
      <c r="D422" s="2">
        <v>44882</v>
      </c>
    </row>
    <row r="423" spans="1:4" x14ac:dyDescent="0.2">
      <c r="A423" t="s">
        <v>2275</v>
      </c>
      <c r="C423">
        <v>97.240000000000009</v>
      </c>
      <c r="D423" s="2">
        <v>44882</v>
      </c>
    </row>
    <row r="424" spans="1:4" x14ac:dyDescent="0.2">
      <c r="A424" t="s">
        <v>2276</v>
      </c>
      <c r="C424">
        <v>120.83500000000001</v>
      </c>
      <c r="D424" s="2">
        <v>44882</v>
      </c>
    </row>
    <row r="425" spans="1:4" x14ac:dyDescent="0.2">
      <c r="A425" t="s">
        <v>2277</v>
      </c>
      <c r="C425">
        <v>478.50000000000006</v>
      </c>
      <c r="D425" s="2">
        <v>44882</v>
      </c>
    </row>
    <row r="426" spans="1:4" x14ac:dyDescent="0.2">
      <c r="A426" t="s">
        <v>2278</v>
      </c>
      <c r="C426">
        <v>145.86000000000001</v>
      </c>
      <c r="D426" s="2">
        <v>44882</v>
      </c>
    </row>
    <row r="427" spans="1:4" x14ac:dyDescent="0.2">
      <c r="A427" t="s">
        <v>2279</v>
      </c>
      <c r="C427">
        <v>186.61500000000001</v>
      </c>
      <c r="D427" s="2">
        <v>44882</v>
      </c>
    </row>
    <row r="428" spans="1:4" x14ac:dyDescent="0.2">
      <c r="A428" t="s">
        <v>2280</v>
      </c>
      <c r="C428">
        <v>175.17500000000001</v>
      </c>
      <c r="D428" s="2">
        <v>44882</v>
      </c>
    </row>
    <row r="429" spans="1:4" x14ac:dyDescent="0.2">
      <c r="A429" t="s">
        <v>2281</v>
      </c>
      <c r="C429">
        <v>175.17500000000001</v>
      </c>
      <c r="D429" s="2">
        <v>44882</v>
      </c>
    </row>
    <row r="430" spans="1:4" x14ac:dyDescent="0.2">
      <c r="A430" t="s">
        <v>2282</v>
      </c>
      <c r="C430">
        <v>175.17500000000001</v>
      </c>
      <c r="D430" s="2">
        <v>44882</v>
      </c>
    </row>
    <row r="431" spans="1:4" x14ac:dyDescent="0.2">
      <c r="A431" t="s">
        <v>2283</v>
      </c>
      <c r="C431">
        <v>186.61500000000001</v>
      </c>
      <c r="D431" s="2">
        <v>44882</v>
      </c>
    </row>
    <row r="432" spans="1:4" x14ac:dyDescent="0.2">
      <c r="A432" t="s">
        <v>2284</v>
      </c>
      <c r="C432">
        <v>175.17500000000001</v>
      </c>
      <c r="D432" s="2">
        <v>44882</v>
      </c>
    </row>
    <row r="433" spans="1:4" x14ac:dyDescent="0.2">
      <c r="A433" t="s">
        <v>2285</v>
      </c>
      <c r="C433">
        <v>278.85000000000002</v>
      </c>
      <c r="D433" s="2">
        <v>44882</v>
      </c>
    </row>
    <row r="434" spans="1:4" x14ac:dyDescent="0.2">
      <c r="A434" t="s">
        <v>2286</v>
      </c>
      <c r="C434">
        <v>268.84000000000003</v>
      </c>
      <c r="D434" s="2">
        <v>44882</v>
      </c>
    </row>
    <row r="435" spans="1:4" x14ac:dyDescent="0.2">
      <c r="A435" t="s">
        <v>2287</v>
      </c>
      <c r="C435">
        <v>268.84000000000003</v>
      </c>
      <c r="D435" s="2">
        <v>44882</v>
      </c>
    </row>
    <row r="436" spans="1:4" x14ac:dyDescent="0.2">
      <c r="A436" t="s">
        <v>2288</v>
      </c>
      <c r="C436">
        <v>279.56500000000005</v>
      </c>
      <c r="D436" s="2">
        <v>44882</v>
      </c>
    </row>
    <row r="437" spans="1:4" x14ac:dyDescent="0.2">
      <c r="A437" t="s">
        <v>2289</v>
      </c>
      <c r="C437">
        <v>494.78000000000003</v>
      </c>
      <c r="D437" s="2">
        <v>44882</v>
      </c>
    </row>
    <row r="438" spans="1:4" x14ac:dyDescent="0.2">
      <c r="A438" t="s">
        <v>2290</v>
      </c>
      <c r="C438">
        <v>475.47500000000002</v>
      </c>
      <c r="D438" s="2">
        <v>44882</v>
      </c>
    </row>
    <row r="439" spans="1:4" x14ac:dyDescent="0.2">
      <c r="A439" t="s">
        <v>2291</v>
      </c>
      <c r="C439">
        <v>471.90000000000003</v>
      </c>
      <c r="D439" s="2">
        <v>44882</v>
      </c>
    </row>
    <row r="440" spans="1:4" x14ac:dyDescent="0.2">
      <c r="A440" t="s">
        <v>2292</v>
      </c>
      <c r="C440">
        <v>950.23500000000013</v>
      </c>
      <c r="D440" s="2">
        <v>44882</v>
      </c>
    </row>
    <row r="441" spans="1:4" x14ac:dyDescent="0.2">
      <c r="A441" t="s">
        <v>2293</v>
      </c>
      <c r="C441">
        <v>501.21500000000003</v>
      </c>
      <c r="D441" s="2">
        <v>44882</v>
      </c>
    </row>
    <row r="442" spans="1:4" x14ac:dyDescent="0.2">
      <c r="A442" t="s">
        <v>2294</v>
      </c>
      <c r="C442">
        <v>467.61000000000007</v>
      </c>
      <c r="D442" s="2">
        <v>44882</v>
      </c>
    </row>
    <row r="443" spans="1:4" x14ac:dyDescent="0.2">
      <c r="A443" t="s">
        <v>2295</v>
      </c>
      <c r="C443">
        <v>733.59</v>
      </c>
      <c r="D443" s="2">
        <v>44882</v>
      </c>
    </row>
    <row r="444" spans="1:4" x14ac:dyDescent="0.2">
      <c r="A444" t="s">
        <v>2296</v>
      </c>
      <c r="C444">
        <v>541.97</v>
      </c>
      <c r="D444" s="2">
        <v>44882</v>
      </c>
    </row>
    <row r="445" spans="1:4" x14ac:dyDescent="0.2">
      <c r="A445" t="s">
        <v>2297</v>
      </c>
      <c r="C445">
        <v>945.23</v>
      </c>
      <c r="D445" s="2">
        <v>44882</v>
      </c>
    </row>
    <row r="446" spans="1:4" x14ac:dyDescent="0.2">
      <c r="A446" t="s">
        <v>2298</v>
      </c>
      <c r="C446">
        <v>945.23</v>
      </c>
      <c r="D446" s="2">
        <v>44882</v>
      </c>
    </row>
    <row r="447" spans="1:4" x14ac:dyDescent="0.2">
      <c r="A447" t="s">
        <v>2299</v>
      </c>
      <c r="C447">
        <v>712.14</v>
      </c>
      <c r="D447" s="2">
        <v>44882</v>
      </c>
    </row>
    <row r="448" spans="1:4" x14ac:dyDescent="0.2">
      <c r="A448" t="s">
        <v>2300</v>
      </c>
      <c r="C448">
        <v>903.7600000000001</v>
      </c>
      <c r="D448" s="2">
        <v>44882</v>
      </c>
    </row>
    <row r="449" spans="1:4" x14ac:dyDescent="0.2">
      <c r="A449" t="s">
        <v>2020</v>
      </c>
      <c r="C449">
        <v>66</v>
      </c>
      <c r="D449" s="2">
        <v>44882</v>
      </c>
    </row>
    <row r="450" spans="1:4" x14ac:dyDescent="0.2">
      <c r="A450" t="s">
        <v>2021</v>
      </c>
      <c r="C450">
        <v>66</v>
      </c>
      <c r="D450" s="2">
        <v>44882</v>
      </c>
    </row>
    <row r="451" spans="1:4" x14ac:dyDescent="0.2">
      <c r="A451" t="s">
        <v>2022</v>
      </c>
      <c r="C451">
        <v>66</v>
      </c>
      <c r="D451" s="2">
        <v>44882</v>
      </c>
    </row>
    <row r="452" spans="1:4" x14ac:dyDescent="0.2">
      <c r="A452" t="s">
        <v>2023</v>
      </c>
      <c r="C452">
        <v>66</v>
      </c>
      <c r="D452" s="2">
        <v>44882</v>
      </c>
    </row>
    <row r="453" spans="1:4" x14ac:dyDescent="0.2">
      <c r="A453" t="s">
        <v>2024</v>
      </c>
      <c r="C453">
        <v>66</v>
      </c>
      <c r="D453" s="2">
        <v>44882</v>
      </c>
    </row>
    <row r="454" spans="1:4" x14ac:dyDescent="0.2">
      <c r="A454" t="s">
        <v>2025</v>
      </c>
      <c r="C454">
        <v>88</v>
      </c>
      <c r="D454" s="2">
        <v>44882</v>
      </c>
    </row>
    <row r="455" spans="1:4" x14ac:dyDescent="0.2">
      <c r="A455" t="s">
        <v>2026</v>
      </c>
      <c r="C455">
        <v>66</v>
      </c>
      <c r="D455" s="2">
        <v>44882</v>
      </c>
    </row>
    <row r="456" spans="1:4" x14ac:dyDescent="0.2">
      <c r="A456" t="s">
        <v>2027</v>
      </c>
      <c r="C456">
        <v>66</v>
      </c>
      <c r="D456" s="2">
        <v>44882</v>
      </c>
    </row>
    <row r="457" spans="1:4" x14ac:dyDescent="0.2">
      <c r="A457" t="s">
        <v>2028</v>
      </c>
      <c r="C457">
        <v>110.00000000000001</v>
      </c>
      <c r="D457" s="2">
        <v>44882</v>
      </c>
    </row>
    <row r="458" spans="1:4" x14ac:dyDescent="0.2">
      <c r="A458" t="s">
        <v>2031</v>
      </c>
      <c r="C458">
        <v>110.00000000000001</v>
      </c>
      <c r="D458" s="2">
        <v>44882</v>
      </c>
    </row>
    <row r="459" spans="1:4" x14ac:dyDescent="0.2">
      <c r="A459" t="s">
        <v>2032</v>
      </c>
      <c r="C459">
        <v>110.00000000000001</v>
      </c>
      <c r="D459" s="2">
        <v>44882</v>
      </c>
    </row>
    <row r="460" spans="1:4" x14ac:dyDescent="0.2">
      <c r="A460" t="s">
        <v>118</v>
      </c>
      <c r="C460">
        <v>110.00000000000001</v>
      </c>
      <c r="D460" s="2">
        <v>44882</v>
      </c>
    </row>
    <row r="461" spans="1:4" x14ac:dyDescent="0.2">
      <c r="A461" t="s">
        <v>2034</v>
      </c>
      <c r="C461">
        <v>176</v>
      </c>
      <c r="D461" s="2">
        <v>44882</v>
      </c>
    </row>
    <row r="462" spans="1:4" x14ac:dyDescent="0.2">
      <c r="A462" t="s">
        <v>2035</v>
      </c>
      <c r="C462">
        <v>176</v>
      </c>
      <c r="D462" s="2">
        <v>44882</v>
      </c>
    </row>
    <row r="463" spans="1:4" x14ac:dyDescent="0.2">
      <c r="A463" t="s">
        <v>2036</v>
      </c>
      <c r="C463">
        <v>242.00000000000003</v>
      </c>
      <c r="D463" s="2">
        <v>44882</v>
      </c>
    </row>
    <row r="464" spans="1:4" x14ac:dyDescent="0.2">
      <c r="A464" t="s">
        <v>2037</v>
      </c>
      <c r="C464">
        <v>242.00000000000003</v>
      </c>
      <c r="D464" s="2">
        <v>44882</v>
      </c>
    </row>
    <row r="465" spans="1:4" x14ac:dyDescent="0.2">
      <c r="A465" t="s">
        <v>2040</v>
      </c>
      <c r="C465">
        <v>242.00000000000003</v>
      </c>
      <c r="D465" s="2">
        <v>44882</v>
      </c>
    </row>
    <row r="466" spans="1:4" x14ac:dyDescent="0.2">
      <c r="A466" t="s">
        <v>2038</v>
      </c>
      <c r="C466">
        <v>242.00000000000003</v>
      </c>
      <c r="D466" s="2">
        <v>44882</v>
      </c>
    </row>
    <row r="467" spans="1:4" x14ac:dyDescent="0.2">
      <c r="A467" t="s">
        <v>2039</v>
      </c>
      <c r="C467">
        <v>242.00000000000003</v>
      </c>
      <c r="D467" s="2">
        <v>44882</v>
      </c>
    </row>
    <row r="468" spans="1:4" x14ac:dyDescent="0.2">
      <c r="A468" t="s">
        <v>2029</v>
      </c>
      <c r="C468">
        <v>242.00000000000003</v>
      </c>
      <c r="D468" s="2">
        <v>44882</v>
      </c>
    </row>
    <row r="469" spans="1:4" x14ac:dyDescent="0.2">
      <c r="A469" t="s">
        <v>2030</v>
      </c>
      <c r="C469">
        <v>1540.0000000000002</v>
      </c>
      <c r="D469" s="2">
        <v>44882</v>
      </c>
    </row>
    <row r="470" spans="1:4" x14ac:dyDescent="0.2">
      <c r="A470" t="s">
        <v>2033</v>
      </c>
      <c r="C470">
        <v>242.00000000000003</v>
      </c>
      <c r="D470" s="2">
        <v>44882</v>
      </c>
    </row>
    <row r="471" spans="1:4" x14ac:dyDescent="0.2">
      <c r="A471" t="s">
        <v>2401</v>
      </c>
      <c r="C471">
        <v>943.08500000000015</v>
      </c>
      <c r="D471" s="2">
        <v>44882</v>
      </c>
    </row>
    <row r="472" spans="1:4" x14ac:dyDescent="0.2">
      <c r="A472" t="s">
        <v>2402</v>
      </c>
      <c r="C472">
        <v>9784.7750000000015</v>
      </c>
      <c r="D472" s="2">
        <v>44882</v>
      </c>
    </row>
    <row r="473" spans="1:4" x14ac:dyDescent="0.2">
      <c r="A473" t="s">
        <v>2403</v>
      </c>
      <c r="C473">
        <v>15143.7</v>
      </c>
      <c r="D473" s="2">
        <v>44882</v>
      </c>
    </row>
    <row r="474" spans="1:4" x14ac:dyDescent="0.2">
      <c r="A474" t="s">
        <v>2404</v>
      </c>
      <c r="C474">
        <v>572</v>
      </c>
      <c r="D474" s="2">
        <v>44882</v>
      </c>
    </row>
    <row r="475" spans="1:4" x14ac:dyDescent="0.2">
      <c r="A475" t="s">
        <v>2405</v>
      </c>
      <c r="C475">
        <v>627</v>
      </c>
      <c r="D475" s="2">
        <v>44882</v>
      </c>
    </row>
    <row r="476" spans="1:4" x14ac:dyDescent="0.2">
      <c r="A476" t="s">
        <v>2406</v>
      </c>
      <c r="C476">
        <v>737.00000000000011</v>
      </c>
      <c r="D476" s="2">
        <v>44882</v>
      </c>
    </row>
    <row r="477" spans="1:4" x14ac:dyDescent="0.2">
      <c r="A477" t="s">
        <v>2407</v>
      </c>
      <c r="C477">
        <v>957.00000000000011</v>
      </c>
      <c r="D477" s="2">
        <v>44882</v>
      </c>
    </row>
    <row r="478" spans="1:4" x14ac:dyDescent="0.2">
      <c r="A478" t="s">
        <v>2408</v>
      </c>
      <c r="C478">
        <v>1.1000000000000001E-2</v>
      </c>
      <c r="D478" s="2">
        <v>44882</v>
      </c>
    </row>
    <row r="479" spans="1:4" x14ac:dyDescent="0.2">
      <c r="A479" t="s">
        <v>2409</v>
      </c>
      <c r="C479">
        <v>1.1000000000000001E-2</v>
      </c>
      <c r="D479" s="2">
        <v>44882</v>
      </c>
    </row>
    <row r="480" spans="1:4" x14ac:dyDescent="0.2">
      <c r="A480" t="s">
        <v>2410</v>
      </c>
      <c r="C480">
        <v>1.1000000000000001E-2</v>
      </c>
      <c r="D480" s="2">
        <v>44882</v>
      </c>
    </row>
    <row r="481" spans="1:4" x14ac:dyDescent="0.2">
      <c r="A481" t="s">
        <v>2411</v>
      </c>
      <c r="C481">
        <v>1.1000000000000001E-2</v>
      </c>
      <c r="D481" s="2">
        <v>44882</v>
      </c>
    </row>
    <row r="482" spans="1:4" x14ac:dyDescent="0.2">
      <c r="A482" t="s">
        <v>2412</v>
      </c>
      <c r="C482">
        <v>1.1000000000000001E-2</v>
      </c>
      <c r="D482" s="2">
        <v>44882</v>
      </c>
    </row>
    <row r="483" spans="1:4" x14ac:dyDescent="0.2">
      <c r="A483" t="s">
        <v>2413</v>
      </c>
      <c r="C483">
        <v>1.1000000000000001E-2</v>
      </c>
      <c r="D483" s="2">
        <v>44882</v>
      </c>
    </row>
    <row r="484" spans="1:4" x14ac:dyDescent="0.2">
      <c r="A484" t="s">
        <v>2414</v>
      </c>
      <c r="C484">
        <v>104.39000000000001</v>
      </c>
      <c r="D484" s="2">
        <v>44882</v>
      </c>
    </row>
    <row r="485" spans="1:4" x14ac:dyDescent="0.2">
      <c r="A485" t="s">
        <v>2415</v>
      </c>
      <c r="C485">
        <v>220.22</v>
      </c>
      <c r="D485" s="2">
        <v>44882</v>
      </c>
    </row>
    <row r="486" spans="1:4" x14ac:dyDescent="0.2">
      <c r="A486" t="s">
        <v>2416</v>
      </c>
      <c r="C486">
        <v>34.32</v>
      </c>
      <c r="D486" s="2">
        <v>44882</v>
      </c>
    </row>
    <row r="487" spans="1:4" x14ac:dyDescent="0.2">
      <c r="A487" t="s">
        <v>2417</v>
      </c>
      <c r="C487">
        <v>212.52</v>
      </c>
      <c r="D487" s="2">
        <v>44882</v>
      </c>
    </row>
    <row r="488" spans="1:4" x14ac:dyDescent="0.2">
      <c r="A488" t="s">
        <v>2418</v>
      </c>
      <c r="C488">
        <v>334.62</v>
      </c>
      <c r="D488" s="2">
        <v>44882</v>
      </c>
    </row>
    <row r="489" spans="1:4" x14ac:dyDescent="0.2">
      <c r="A489" t="s">
        <v>2419</v>
      </c>
      <c r="C489">
        <v>55.055</v>
      </c>
      <c r="D489" s="2">
        <v>44882</v>
      </c>
    </row>
    <row r="490" spans="1:4" x14ac:dyDescent="0.2">
      <c r="A490" t="s">
        <v>2420</v>
      </c>
      <c r="C490">
        <v>136.1217</v>
      </c>
      <c r="D490" s="2">
        <v>44882</v>
      </c>
    </row>
    <row r="491" spans="1:4" x14ac:dyDescent="0.2">
      <c r="A491" t="s">
        <v>2421</v>
      </c>
      <c r="C491">
        <v>279.18</v>
      </c>
      <c r="D491" s="2">
        <v>44882</v>
      </c>
    </row>
    <row r="492" spans="1:4" x14ac:dyDescent="0.2">
      <c r="A492" t="s">
        <v>2422</v>
      </c>
      <c r="C492">
        <v>463.32000000000005</v>
      </c>
      <c r="D492" s="2">
        <v>44882</v>
      </c>
    </row>
    <row r="493" spans="1:4" x14ac:dyDescent="0.2">
      <c r="A493" t="s">
        <v>2423</v>
      </c>
      <c r="C493">
        <v>433.29</v>
      </c>
      <c r="D493" s="2">
        <v>44882</v>
      </c>
    </row>
    <row r="494" spans="1:4" x14ac:dyDescent="0.2">
      <c r="A494" t="s">
        <v>2424</v>
      </c>
      <c r="C494">
        <v>166.386</v>
      </c>
      <c r="D494" s="2">
        <v>44882</v>
      </c>
    </row>
    <row r="495" spans="1:4" x14ac:dyDescent="0.2">
      <c r="A495" t="s">
        <v>2425</v>
      </c>
      <c r="C495">
        <v>241.23000000000002</v>
      </c>
      <c r="D495" s="2">
        <v>44882</v>
      </c>
    </row>
    <row r="496" spans="1:4" x14ac:dyDescent="0.2">
      <c r="A496" t="s">
        <v>2426</v>
      </c>
      <c r="C496">
        <v>471.18500000000006</v>
      </c>
      <c r="D496" s="2">
        <v>44882</v>
      </c>
    </row>
    <row r="497" spans="1:4" x14ac:dyDescent="0.2">
      <c r="A497" t="s">
        <v>2427</v>
      </c>
      <c r="C497">
        <v>737.00000000000011</v>
      </c>
      <c r="D497" s="2">
        <v>44882</v>
      </c>
    </row>
    <row r="498" spans="1:4" x14ac:dyDescent="0.2">
      <c r="A498" t="s">
        <v>2428</v>
      </c>
      <c r="C498">
        <v>415.8</v>
      </c>
      <c r="D498" s="2">
        <v>44882</v>
      </c>
    </row>
    <row r="499" spans="1:4" x14ac:dyDescent="0.2">
      <c r="A499" t="s">
        <v>2429</v>
      </c>
      <c r="C499">
        <v>415.8</v>
      </c>
      <c r="D499" s="2">
        <v>44882</v>
      </c>
    </row>
    <row r="500" spans="1:4" x14ac:dyDescent="0.2">
      <c r="A500" t="s">
        <v>2430</v>
      </c>
      <c r="C500">
        <v>632.77500000000009</v>
      </c>
      <c r="D500" s="2">
        <v>44882</v>
      </c>
    </row>
    <row r="501" spans="1:4" x14ac:dyDescent="0.2">
      <c r="A501" t="s">
        <v>2431</v>
      </c>
      <c r="C501">
        <v>1281.6342</v>
      </c>
      <c r="D501" s="2">
        <v>44882</v>
      </c>
    </row>
    <row r="502" spans="1:4" x14ac:dyDescent="0.2">
      <c r="A502" t="s">
        <v>2432</v>
      </c>
      <c r="C502">
        <v>268.125</v>
      </c>
      <c r="D502" s="2">
        <v>44882</v>
      </c>
    </row>
    <row r="503" spans="1:4" x14ac:dyDescent="0.2">
      <c r="A503" t="s">
        <v>2433</v>
      </c>
      <c r="C503">
        <v>367.16900000000004</v>
      </c>
      <c r="D503" s="2">
        <v>44882</v>
      </c>
    </row>
    <row r="504" spans="1:4" x14ac:dyDescent="0.2">
      <c r="A504" t="s">
        <v>2434</v>
      </c>
      <c r="C504">
        <v>775.50000000000011</v>
      </c>
      <c r="D504" s="2">
        <v>44882</v>
      </c>
    </row>
    <row r="505" spans="1:4" x14ac:dyDescent="0.2">
      <c r="A505" t="s">
        <v>2435</v>
      </c>
      <c r="C505">
        <v>3069.0000000000005</v>
      </c>
      <c r="D505" s="2">
        <v>44882</v>
      </c>
    </row>
    <row r="506" spans="1:4" x14ac:dyDescent="0.2">
      <c r="A506" t="s">
        <v>2301</v>
      </c>
      <c r="C506">
        <v>371.12768000000005</v>
      </c>
      <c r="D506" s="2">
        <v>44882</v>
      </c>
    </row>
    <row r="507" spans="1:4" x14ac:dyDescent="0.2">
      <c r="A507" t="s">
        <v>2302</v>
      </c>
      <c r="C507">
        <v>448.1400000000001</v>
      </c>
      <c r="D507" s="2">
        <v>44882</v>
      </c>
    </row>
    <row r="508" spans="1:4" x14ac:dyDescent="0.2">
      <c r="A508" t="s">
        <v>2303</v>
      </c>
      <c r="C508">
        <v>378.22399999999999</v>
      </c>
      <c r="D508" s="2">
        <v>44882</v>
      </c>
    </row>
    <row r="509" spans="1:4" x14ac:dyDescent="0.2">
      <c r="A509" t="s">
        <v>2304</v>
      </c>
      <c r="C509">
        <v>396.06335999999999</v>
      </c>
      <c r="D509" s="2">
        <v>44882</v>
      </c>
    </row>
    <row r="510" spans="1:4" x14ac:dyDescent="0.2">
      <c r="A510" t="s">
        <v>2305</v>
      </c>
      <c r="C510">
        <v>1165.7184000000002</v>
      </c>
      <c r="D510" s="2">
        <v>44882</v>
      </c>
    </row>
    <row r="511" spans="1:4" x14ac:dyDescent="0.2">
      <c r="A511" t="s">
        <v>2306</v>
      </c>
      <c r="C511">
        <v>1390.6816000000001</v>
      </c>
      <c r="D511" s="2">
        <v>44882</v>
      </c>
    </row>
    <row r="512" spans="1:4" x14ac:dyDescent="0.2">
      <c r="A512" t="s">
        <v>2307</v>
      </c>
      <c r="C512">
        <v>1104.3648000000001</v>
      </c>
      <c r="D512" s="2">
        <v>44882</v>
      </c>
    </row>
    <row r="513" spans="1:4" x14ac:dyDescent="0.2">
      <c r="A513" t="s">
        <v>2308</v>
      </c>
      <c r="C513">
        <v>2303.84</v>
      </c>
      <c r="D513" s="2">
        <v>44882</v>
      </c>
    </row>
    <row r="514" spans="1:4" x14ac:dyDescent="0.2">
      <c r="A514" t="s">
        <v>2309</v>
      </c>
      <c r="C514">
        <v>1008.0840000000002</v>
      </c>
      <c r="D514" s="2">
        <v>44882</v>
      </c>
    </row>
    <row r="515" spans="1:4" x14ac:dyDescent="0.2">
      <c r="A515" t="s">
        <v>2310</v>
      </c>
      <c r="C515">
        <v>965.0995200000001</v>
      </c>
      <c r="D515" s="2">
        <v>44882</v>
      </c>
    </row>
    <row r="516" spans="1:4" x14ac:dyDescent="0.2">
      <c r="A516" t="s">
        <v>2311</v>
      </c>
      <c r="C516">
        <v>912.91200000000003</v>
      </c>
      <c r="D516" s="2">
        <v>44882</v>
      </c>
    </row>
    <row r="517" spans="1:4" x14ac:dyDescent="0.2">
      <c r="A517" t="s">
        <v>2312</v>
      </c>
      <c r="C517">
        <v>1052.2265600000001</v>
      </c>
      <c r="D517" s="2">
        <v>44882</v>
      </c>
    </row>
    <row r="518" spans="1:4" x14ac:dyDescent="0.2">
      <c r="A518" t="s">
        <v>2313</v>
      </c>
      <c r="C518">
        <v>2032.8000000000002</v>
      </c>
      <c r="D518" s="2">
        <v>44882</v>
      </c>
    </row>
    <row r="519" spans="1:4" x14ac:dyDescent="0.2">
      <c r="A519" t="s">
        <v>2314</v>
      </c>
      <c r="C519">
        <v>1151.92</v>
      </c>
      <c r="D519" s="2">
        <v>44882</v>
      </c>
    </row>
    <row r="520" spans="1:4" x14ac:dyDescent="0.2">
      <c r="A520" t="s">
        <v>2315</v>
      </c>
      <c r="C520">
        <v>1157.7720000000002</v>
      </c>
      <c r="D520" s="2">
        <v>44882</v>
      </c>
    </row>
    <row r="521" spans="1:4" x14ac:dyDescent="0.2">
      <c r="A521" t="s">
        <v>2316</v>
      </c>
      <c r="C521">
        <v>4607.68</v>
      </c>
      <c r="D521" s="2">
        <v>44882</v>
      </c>
    </row>
    <row r="522" spans="1:4" x14ac:dyDescent="0.2">
      <c r="A522" t="s">
        <v>2317</v>
      </c>
      <c r="C522">
        <v>400.40000000000003</v>
      </c>
      <c r="D522" s="2">
        <v>44882</v>
      </c>
    </row>
    <row r="523" spans="1:4" x14ac:dyDescent="0.2">
      <c r="A523" t="s">
        <v>2318</v>
      </c>
      <c r="C523">
        <v>1406.405</v>
      </c>
      <c r="D523" s="2">
        <v>44882</v>
      </c>
    </row>
    <row r="524" spans="1:4" x14ac:dyDescent="0.2">
      <c r="A524" t="s">
        <v>2319</v>
      </c>
      <c r="C524">
        <v>689.2600000000001</v>
      </c>
      <c r="D524" s="2">
        <v>44882</v>
      </c>
    </row>
    <row r="525" spans="1:4" x14ac:dyDescent="0.2">
      <c r="A525" t="s">
        <v>2320</v>
      </c>
      <c r="C525">
        <v>816.53</v>
      </c>
      <c r="D525" s="2">
        <v>44882</v>
      </c>
    </row>
    <row r="526" spans="1:4" x14ac:dyDescent="0.2">
      <c r="A526" t="s">
        <v>2321</v>
      </c>
      <c r="C526">
        <v>827.255</v>
      </c>
      <c r="D526" s="2">
        <v>44882</v>
      </c>
    </row>
    <row r="527" spans="1:4" x14ac:dyDescent="0.2">
      <c r="A527" t="s">
        <v>2322</v>
      </c>
      <c r="C527">
        <v>956.67000000000007</v>
      </c>
      <c r="D527" s="2">
        <v>44882</v>
      </c>
    </row>
    <row r="528" spans="1:4" x14ac:dyDescent="0.2">
      <c r="A528" t="s">
        <v>2323</v>
      </c>
      <c r="C528">
        <v>2674.8150000000005</v>
      </c>
      <c r="D528" s="2">
        <v>44882</v>
      </c>
    </row>
    <row r="529" spans="1:4" x14ac:dyDescent="0.2">
      <c r="A529" t="s">
        <v>2324</v>
      </c>
      <c r="C529">
        <v>959.53</v>
      </c>
      <c r="D529" s="2">
        <v>44882</v>
      </c>
    </row>
    <row r="530" spans="1:4" x14ac:dyDescent="0.2">
      <c r="A530" t="s">
        <v>2325</v>
      </c>
      <c r="C530">
        <v>1091.8050000000001</v>
      </c>
      <c r="D530" s="2">
        <v>44882</v>
      </c>
    </row>
    <row r="531" spans="1:4" x14ac:dyDescent="0.2">
      <c r="A531" t="s">
        <v>2326</v>
      </c>
      <c r="C531">
        <v>1251.9650000000001</v>
      </c>
      <c r="D531" s="2">
        <v>44882</v>
      </c>
    </row>
    <row r="532" spans="1:4" x14ac:dyDescent="0.2">
      <c r="A532" t="s">
        <v>2327</v>
      </c>
      <c r="C532">
        <v>1367.7950000000001</v>
      </c>
      <c r="D532" s="2">
        <v>44882</v>
      </c>
    </row>
    <row r="533" spans="1:4" x14ac:dyDescent="0.2">
      <c r="A533" t="s">
        <v>2328</v>
      </c>
      <c r="C533">
        <v>4069.7800000000007</v>
      </c>
      <c r="D533" s="2">
        <v>44882</v>
      </c>
    </row>
    <row r="534" spans="1:4" x14ac:dyDescent="0.2">
      <c r="A534" t="s">
        <v>2329</v>
      </c>
      <c r="C534">
        <v>1990.5600000000002</v>
      </c>
      <c r="D534" s="2">
        <v>44882</v>
      </c>
    </row>
    <row r="535" spans="1:4" x14ac:dyDescent="0.2">
      <c r="A535" t="s">
        <v>2330</v>
      </c>
      <c r="C535">
        <v>1896.8950000000002</v>
      </c>
      <c r="D535" s="2">
        <v>44882</v>
      </c>
    </row>
    <row r="536" spans="1:4" x14ac:dyDescent="0.2">
      <c r="A536" t="s">
        <v>2331</v>
      </c>
      <c r="C536">
        <v>2426.71</v>
      </c>
      <c r="D536" s="2">
        <v>44882</v>
      </c>
    </row>
    <row r="537" spans="1:4" x14ac:dyDescent="0.2">
      <c r="A537" t="s">
        <v>2332</v>
      </c>
      <c r="C537">
        <v>7433.14</v>
      </c>
      <c r="D537" s="2">
        <v>44882</v>
      </c>
    </row>
    <row r="538" spans="1:4" x14ac:dyDescent="0.2">
      <c r="A538" t="s">
        <v>2333</v>
      </c>
      <c r="C538">
        <v>15557.685000000001</v>
      </c>
      <c r="D538" s="2">
        <v>44882</v>
      </c>
    </row>
    <row r="539" spans="1:4" x14ac:dyDescent="0.2">
      <c r="A539" t="s">
        <v>2334</v>
      </c>
      <c r="C539">
        <v>3542.8250000000003</v>
      </c>
      <c r="D539" s="2">
        <v>44882</v>
      </c>
    </row>
    <row r="540" spans="1:4" x14ac:dyDescent="0.2">
      <c r="A540" t="s">
        <v>2335</v>
      </c>
      <c r="C540">
        <v>4508.0750000000007</v>
      </c>
      <c r="D540" s="2">
        <v>44882</v>
      </c>
    </row>
    <row r="541" spans="1:4" x14ac:dyDescent="0.2">
      <c r="A541" t="s">
        <v>2336</v>
      </c>
      <c r="C541">
        <v>4976.4000000000005</v>
      </c>
      <c r="D541" s="2">
        <v>44882</v>
      </c>
    </row>
    <row r="542" spans="1:4" x14ac:dyDescent="0.2">
      <c r="A542" t="s">
        <v>2337</v>
      </c>
      <c r="C542">
        <v>5996.7050000000008</v>
      </c>
      <c r="D542" s="2">
        <v>44882</v>
      </c>
    </row>
    <row r="543" spans="1:4" x14ac:dyDescent="0.2">
      <c r="A543" t="s">
        <v>2338</v>
      </c>
      <c r="C543">
        <v>8841.69</v>
      </c>
      <c r="D543" s="2">
        <v>44882</v>
      </c>
    </row>
    <row r="544" spans="1:4" x14ac:dyDescent="0.2">
      <c r="A544" t="s">
        <v>2339</v>
      </c>
      <c r="C544">
        <v>12987.975</v>
      </c>
      <c r="D544" s="2">
        <v>44882</v>
      </c>
    </row>
    <row r="545" spans="1:4" x14ac:dyDescent="0.2">
      <c r="A545" t="s">
        <v>2340</v>
      </c>
      <c r="C545">
        <v>14796.925000000001</v>
      </c>
      <c r="D545" s="2">
        <v>44882</v>
      </c>
    </row>
    <row r="546" spans="1:4" x14ac:dyDescent="0.2">
      <c r="A546" t="s">
        <v>2341</v>
      </c>
      <c r="C546">
        <v>21876.140000000003</v>
      </c>
      <c r="D546" s="2">
        <v>44882</v>
      </c>
    </row>
    <row r="547" spans="1:4" x14ac:dyDescent="0.2">
      <c r="A547" t="s">
        <v>2342</v>
      </c>
      <c r="C547">
        <v>17285.84</v>
      </c>
      <c r="D547" s="2">
        <v>44882</v>
      </c>
    </row>
    <row r="548" spans="1:4" x14ac:dyDescent="0.2">
      <c r="A548" t="s">
        <v>2343</v>
      </c>
      <c r="C548">
        <v>27706.965000000004</v>
      </c>
      <c r="D548" s="2">
        <v>44882</v>
      </c>
    </row>
    <row r="549" spans="1:4" x14ac:dyDescent="0.2">
      <c r="A549" t="s">
        <v>2041</v>
      </c>
      <c r="C549">
        <v>418.00000000000006</v>
      </c>
      <c r="D549" s="2">
        <v>44882</v>
      </c>
    </row>
    <row r="550" spans="1:4" x14ac:dyDescent="0.2">
      <c r="A550" t="s">
        <v>2344</v>
      </c>
      <c r="C550">
        <v>462.00000000000006</v>
      </c>
      <c r="D550" s="2">
        <v>44882</v>
      </c>
    </row>
    <row r="551" spans="1:4" x14ac:dyDescent="0.2">
      <c r="A551" t="s">
        <v>2345</v>
      </c>
      <c r="C551">
        <v>550</v>
      </c>
      <c r="D551" s="2">
        <v>44882</v>
      </c>
    </row>
    <row r="552" spans="1:4" x14ac:dyDescent="0.2">
      <c r="A552" t="s">
        <v>2346</v>
      </c>
      <c r="C552">
        <v>594</v>
      </c>
      <c r="D552" s="2">
        <v>44882</v>
      </c>
    </row>
    <row r="553" spans="1:4" x14ac:dyDescent="0.2">
      <c r="A553" t="s">
        <v>2347</v>
      </c>
      <c r="C553">
        <v>946.00000000000011</v>
      </c>
      <c r="D553" s="2">
        <v>44882</v>
      </c>
    </row>
    <row r="554" spans="1:4" x14ac:dyDescent="0.2">
      <c r="A554" t="s">
        <v>2348</v>
      </c>
      <c r="C554">
        <v>654.5</v>
      </c>
      <c r="D554" s="2">
        <v>44882</v>
      </c>
    </row>
    <row r="555" spans="1:4" x14ac:dyDescent="0.2">
      <c r="A555" t="s">
        <v>2349</v>
      </c>
      <c r="C555">
        <v>1133</v>
      </c>
      <c r="D555" s="2">
        <v>44882</v>
      </c>
    </row>
    <row r="556" spans="1:4" x14ac:dyDescent="0.2">
      <c r="A556" t="s">
        <v>2350</v>
      </c>
      <c r="C556">
        <v>1375</v>
      </c>
      <c r="D556" s="2">
        <v>44882</v>
      </c>
    </row>
    <row r="557" spans="1:4" x14ac:dyDescent="0.2">
      <c r="A557" t="s">
        <v>2351</v>
      </c>
      <c r="C557">
        <v>1408</v>
      </c>
      <c r="D557" s="2">
        <v>44882</v>
      </c>
    </row>
    <row r="558" spans="1:4" x14ac:dyDescent="0.2">
      <c r="A558" t="s">
        <v>2103</v>
      </c>
      <c r="C558">
        <v>1408</v>
      </c>
      <c r="D558" s="2">
        <v>44882</v>
      </c>
    </row>
    <row r="559" spans="1:4" x14ac:dyDescent="0.2">
      <c r="A559" t="s">
        <v>2042</v>
      </c>
      <c r="C559">
        <v>1760.0000000000002</v>
      </c>
      <c r="D559" s="2">
        <v>44882</v>
      </c>
    </row>
    <row r="560" spans="1:4" x14ac:dyDescent="0.2">
      <c r="A560" t="s">
        <v>2043</v>
      </c>
      <c r="C560">
        <v>1.1000000000000001E-2</v>
      </c>
      <c r="D560" s="2">
        <v>44882</v>
      </c>
    </row>
    <row r="561" spans="1:4" x14ac:dyDescent="0.2">
      <c r="A561" t="s">
        <v>120</v>
      </c>
      <c r="C561">
        <v>2420</v>
      </c>
      <c r="D561" s="2">
        <v>44882</v>
      </c>
    </row>
    <row r="562" spans="1:4" x14ac:dyDescent="0.2">
      <c r="A562" t="s">
        <v>2044</v>
      </c>
      <c r="C562">
        <v>1.1000000000000001E-2</v>
      </c>
      <c r="D562" s="2">
        <v>44882</v>
      </c>
    </row>
    <row r="563" spans="1:4" x14ac:dyDescent="0.2">
      <c r="A563" t="s">
        <v>119</v>
      </c>
      <c r="C563">
        <v>3080.0000000000005</v>
      </c>
      <c r="D563" s="2">
        <v>44882</v>
      </c>
    </row>
    <row r="564" spans="1:4" x14ac:dyDescent="0.2">
      <c r="A564" t="s">
        <v>2045</v>
      </c>
      <c r="C564">
        <v>2530</v>
      </c>
      <c r="D564" s="2">
        <v>44882</v>
      </c>
    </row>
    <row r="565" spans="1:4" x14ac:dyDescent="0.2">
      <c r="A565" t="s">
        <v>2046</v>
      </c>
      <c r="C565">
        <v>4620</v>
      </c>
      <c r="D565" s="2">
        <v>44882</v>
      </c>
    </row>
    <row r="566" spans="1:4" x14ac:dyDescent="0.2">
      <c r="A566" t="s">
        <v>2047</v>
      </c>
      <c r="C566">
        <v>1.1000000000000001E-2</v>
      </c>
      <c r="D566" s="2">
        <v>44882</v>
      </c>
    </row>
    <row r="567" spans="1:4" x14ac:dyDescent="0.2">
      <c r="A567" t="s">
        <v>2048</v>
      </c>
      <c r="C567">
        <v>6490.0000000000009</v>
      </c>
      <c r="D567" s="2">
        <v>44882</v>
      </c>
    </row>
    <row r="568" spans="1:4" x14ac:dyDescent="0.2">
      <c r="A568" t="s">
        <v>2049</v>
      </c>
      <c r="C568">
        <v>1.1000000000000001E-2</v>
      </c>
      <c r="D568" s="2">
        <v>44882</v>
      </c>
    </row>
    <row r="569" spans="1:4" x14ac:dyDescent="0.2">
      <c r="A569" t="s">
        <v>2352</v>
      </c>
      <c r="C569">
        <v>1.1000000000000001E-2</v>
      </c>
      <c r="D569" s="2">
        <v>44882</v>
      </c>
    </row>
    <row r="570" spans="1:4" x14ac:dyDescent="0.2">
      <c r="A570" t="s">
        <v>2353</v>
      </c>
      <c r="C570">
        <v>1.1000000000000001E-2</v>
      </c>
      <c r="D570" s="2">
        <v>44882</v>
      </c>
    </row>
    <row r="571" spans="1:4" x14ac:dyDescent="0.2">
      <c r="A571" t="s">
        <v>2051</v>
      </c>
      <c r="C571">
        <v>1.1000000000000001E-2</v>
      </c>
      <c r="D571" s="2">
        <v>44882</v>
      </c>
    </row>
    <row r="572" spans="1:4" x14ac:dyDescent="0.2">
      <c r="A572" t="s">
        <v>2052</v>
      </c>
      <c r="C572">
        <v>1.1000000000000001E-2</v>
      </c>
      <c r="D572" s="2">
        <v>44882</v>
      </c>
    </row>
    <row r="573" spans="1:4" x14ac:dyDescent="0.2">
      <c r="A573" t="s">
        <v>2053</v>
      </c>
      <c r="C573">
        <v>1.1000000000000001E-2</v>
      </c>
      <c r="D573" s="2">
        <v>44882</v>
      </c>
    </row>
    <row r="574" spans="1:4" x14ac:dyDescent="0.2">
      <c r="A574" t="s">
        <v>2054</v>
      </c>
      <c r="C574">
        <v>1.1000000000000001E-2</v>
      </c>
      <c r="D574" s="2">
        <v>44882</v>
      </c>
    </row>
    <row r="575" spans="1:4" x14ac:dyDescent="0.2">
      <c r="A575" t="s">
        <v>2354</v>
      </c>
      <c r="C575">
        <v>220.22</v>
      </c>
      <c r="D575" s="2">
        <v>44882</v>
      </c>
    </row>
    <row r="576" spans="1:4" x14ac:dyDescent="0.2">
      <c r="A576" t="s">
        <v>2355</v>
      </c>
      <c r="C576">
        <v>286</v>
      </c>
      <c r="D576" s="2">
        <v>44882</v>
      </c>
    </row>
    <row r="577" spans="1:4" x14ac:dyDescent="0.2">
      <c r="A577" t="s">
        <v>2356</v>
      </c>
      <c r="C577">
        <v>211.20000000000002</v>
      </c>
      <c r="D577" s="2">
        <v>44882</v>
      </c>
    </row>
    <row r="578" spans="1:4" x14ac:dyDescent="0.2">
      <c r="A578" t="s">
        <v>2357</v>
      </c>
      <c r="C578">
        <v>482.62500000000006</v>
      </c>
      <c r="D578" s="2">
        <v>44882</v>
      </c>
    </row>
    <row r="579" spans="1:4" x14ac:dyDescent="0.2">
      <c r="A579" t="s">
        <v>2358</v>
      </c>
      <c r="C579">
        <v>414.70000000000005</v>
      </c>
      <c r="D579" s="2">
        <v>44882</v>
      </c>
    </row>
    <row r="580" spans="1:4" x14ac:dyDescent="0.2">
      <c r="A580" t="s">
        <v>2359</v>
      </c>
      <c r="C580">
        <v>271.92</v>
      </c>
      <c r="D580" s="2">
        <v>44882</v>
      </c>
    </row>
    <row r="581" spans="1:4" x14ac:dyDescent="0.2">
      <c r="A581" t="s">
        <v>2360</v>
      </c>
      <c r="C581">
        <v>481.91000000000008</v>
      </c>
      <c r="D581" s="2">
        <v>44882</v>
      </c>
    </row>
    <row r="582" spans="1:4" x14ac:dyDescent="0.2">
      <c r="A582" t="s">
        <v>2361</v>
      </c>
      <c r="C582">
        <v>403.92</v>
      </c>
      <c r="D582" s="2">
        <v>44882</v>
      </c>
    </row>
    <row r="583" spans="1:4" x14ac:dyDescent="0.2">
      <c r="A583" t="s">
        <v>2362</v>
      </c>
      <c r="C583">
        <v>361.52600000000007</v>
      </c>
      <c r="D583" s="2">
        <v>44882</v>
      </c>
    </row>
    <row r="584" spans="1:4" x14ac:dyDescent="0.2">
      <c r="A584" t="s">
        <v>2363</v>
      </c>
      <c r="C584">
        <v>272.44800000000004</v>
      </c>
      <c r="D584" s="2">
        <v>44882</v>
      </c>
    </row>
    <row r="585" spans="1:4" x14ac:dyDescent="0.2">
      <c r="A585" t="s">
        <v>2364</v>
      </c>
      <c r="C585">
        <v>239.25000000000003</v>
      </c>
      <c r="D585" s="2">
        <v>44882</v>
      </c>
    </row>
    <row r="586" spans="1:4" x14ac:dyDescent="0.2">
      <c r="A586" t="s">
        <v>2365</v>
      </c>
      <c r="C586">
        <v>389.40000000000003</v>
      </c>
      <c r="D586" s="2">
        <v>44882</v>
      </c>
    </row>
    <row r="587" spans="1:4" x14ac:dyDescent="0.2">
      <c r="A587" t="s">
        <v>2366</v>
      </c>
      <c r="C587">
        <v>579.15000000000009</v>
      </c>
      <c r="D587" s="2">
        <v>44882</v>
      </c>
    </row>
    <row r="588" spans="1:4" x14ac:dyDescent="0.2">
      <c r="A588" t="s">
        <v>2367</v>
      </c>
      <c r="C588">
        <v>738.59500000000014</v>
      </c>
      <c r="D588" s="2">
        <v>44882</v>
      </c>
    </row>
    <row r="589" spans="1:4" x14ac:dyDescent="0.2">
      <c r="A589" t="s">
        <v>2368</v>
      </c>
      <c r="C589">
        <v>723.29399999999998</v>
      </c>
      <c r="D589" s="2">
        <v>44882</v>
      </c>
    </row>
    <row r="590" spans="1:4" x14ac:dyDescent="0.2">
      <c r="A590" t="s">
        <v>2369</v>
      </c>
      <c r="C590">
        <v>402.6</v>
      </c>
      <c r="D590" s="2">
        <v>44882</v>
      </c>
    </row>
    <row r="591" spans="1:4" x14ac:dyDescent="0.2">
      <c r="A591" t="s">
        <v>2370</v>
      </c>
      <c r="C591">
        <v>451.88000000000005</v>
      </c>
      <c r="D591" s="2">
        <v>44882</v>
      </c>
    </row>
    <row r="592" spans="1:4" x14ac:dyDescent="0.2">
      <c r="A592" t="s">
        <v>2371</v>
      </c>
      <c r="C592">
        <v>586.74</v>
      </c>
      <c r="D592" s="2">
        <v>44882</v>
      </c>
    </row>
    <row r="593" spans="1:4" x14ac:dyDescent="0.2">
      <c r="A593" t="s">
        <v>2372</v>
      </c>
      <c r="C593">
        <v>616.88</v>
      </c>
      <c r="D593" s="2">
        <v>44882</v>
      </c>
    </row>
    <row r="594" spans="1:4" x14ac:dyDescent="0.2">
      <c r="A594" t="s">
        <v>2373</v>
      </c>
      <c r="C594">
        <v>838.2</v>
      </c>
      <c r="D594" s="2">
        <v>44882</v>
      </c>
    </row>
    <row r="595" spans="1:4" x14ac:dyDescent="0.2">
      <c r="A595" t="s">
        <v>2374</v>
      </c>
      <c r="C595">
        <v>469.92</v>
      </c>
      <c r="D595" s="2">
        <v>44882</v>
      </c>
    </row>
    <row r="596" spans="1:4" x14ac:dyDescent="0.2">
      <c r="A596" t="s">
        <v>2375</v>
      </c>
      <c r="C596">
        <v>673.2</v>
      </c>
      <c r="D596" s="2">
        <v>44882</v>
      </c>
    </row>
    <row r="597" spans="1:4" x14ac:dyDescent="0.2">
      <c r="A597" t="s">
        <v>2376</v>
      </c>
      <c r="C597">
        <v>456.06000000000006</v>
      </c>
      <c r="D597" s="2">
        <v>44882</v>
      </c>
    </row>
    <row r="598" spans="1:4" x14ac:dyDescent="0.2">
      <c r="A598" t="s">
        <v>2377</v>
      </c>
      <c r="C598">
        <v>1182.6099999999999</v>
      </c>
      <c r="D598" s="2">
        <v>44882</v>
      </c>
    </row>
    <row r="599" spans="1:4" x14ac:dyDescent="0.2">
      <c r="A599" t="s">
        <v>2378</v>
      </c>
      <c r="C599">
        <v>1117.5450000000001</v>
      </c>
      <c r="D599" s="2">
        <v>44882</v>
      </c>
    </row>
    <row r="600" spans="1:4" x14ac:dyDescent="0.2">
      <c r="A600" t="s">
        <v>2379</v>
      </c>
      <c r="C600">
        <v>1122</v>
      </c>
      <c r="D600" s="2">
        <v>44882</v>
      </c>
    </row>
    <row r="601" spans="1:4" x14ac:dyDescent="0.2">
      <c r="A601" t="s">
        <v>2380</v>
      </c>
      <c r="C601">
        <v>703.99560000000019</v>
      </c>
      <c r="D601" s="2">
        <v>44882</v>
      </c>
    </row>
    <row r="602" spans="1:4" x14ac:dyDescent="0.2">
      <c r="A602" t="s">
        <v>2381</v>
      </c>
      <c r="C602">
        <v>1140.48</v>
      </c>
      <c r="D602" s="2">
        <v>44882</v>
      </c>
    </row>
    <row r="603" spans="1:4" x14ac:dyDescent="0.2">
      <c r="A603" t="s">
        <v>2382</v>
      </c>
      <c r="C603">
        <v>1234.2</v>
      </c>
      <c r="D603" s="2">
        <v>44882</v>
      </c>
    </row>
    <row r="604" spans="1:4" x14ac:dyDescent="0.2">
      <c r="A604" t="s">
        <v>2383</v>
      </c>
      <c r="C604">
        <v>1153.1520000000003</v>
      </c>
      <c r="D604" s="2">
        <v>44882</v>
      </c>
    </row>
    <row r="605" spans="1:4" x14ac:dyDescent="0.2">
      <c r="A605" t="s">
        <v>2384</v>
      </c>
      <c r="C605">
        <v>1368.51</v>
      </c>
      <c r="D605" s="2">
        <v>44882</v>
      </c>
    </row>
    <row r="606" spans="1:4" x14ac:dyDescent="0.2">
      <c r="A606" t="s">
        <v>2385</v>
      </c>
      <c r="C606">
        <v>4354.3500000000004</v>
      </c>
      <c r="D606" s="2">
        <v>44882</v>
      </c>
    </row>
    <row r="607" spans="1:4" x14ac:dyDescent="0.2">
      <c r="A607" t="s">
        <v>2386</v>
      </c>
      <c r="C607">
        <v>2733.4450000000002</v>
      </c>
      <c r="D607" s="2">
        <v>44882</v>
      </c>
    </row>
    <row r="608" spans="1:4" x14ac:dyDescent="0.2">
      <c r="A608" t="s">
        <v>2387</v>
      </c>
      <c r="C608">
        <v>11605.000000000002</v>
      </c>
      <c r="D608" s="2">
        <v>44882</v>
      </c>
    </row>
    <row r="609" spans="1:4" x14ac:dyDescent="0.2">
      <c r="A609" t="s">
        <v>2388</v>
      </c>
      <c r="C609">
        <v>1369.5</v>
      </c>
      <c r="D609" s="2">
        <v>44882</v>
      </c>
    </row>
    <row r="610" spans="1:4" x14ac:dyDescent="0.2">
      <c r="A610" t="s">
        <v>2389</v>
      </c>
      <c r="C610">
        <v>880.00000000000011</v>
      </c>
      <c r="D610" s="2">
        <v>44882</v>
      </c>
    </row>
    <row r="611" spans="1:4" x14ac:dyDescent="0.2">
      <c r="A611" t="s">
        <v>2390</v>
      </c>
      <c r="C611">
        <v>1002.5400000000001</v>
      </c>
      <c r="D611" s="2">
        <v>44882</v>
      </c>
    </row>
    <row r="612" spans="1:4" x14ac:dyDescent="0.2">
      <c r="A612" t="s">
        <v>2391</v>
      </c>
      <c r="C612">
        <v>1174.8000000000002</v>
      </c>
      <c r="D612" s="2">
        <v>44882</v>
      </c>
    </row>
    <row r="613" spans="1:4" x14ac:dyDescent="0.2">
      <c r="A613" t="s">
        <v>2392</v>
      </c>
      <c r="C613">
        <v>1862.0800000000002</v>
      </c>
      <c r="D613" s="2">
        <v>44882</v>
      </c>
    </row>
    <row r="614" spans="1:4" x14ac:dyDescent="0.2">
      <c r="A614" t="s">
        <v>2393</v>
      </c>
      <c r="C614">
        <v>3270.6300000000006</v>
      </c>
      <c r="D614" s="2">
        <v>44882</v>
      </c>
    </row>
    <row r="615" spans="1:4" x14ac:dyDescent="0.2">
      <c r="A615" t="s">
        <v>2394</v>
      </c>
      <c r="C615">
        <v>1394.8000000000002</v>
      </c>
      <c r="D615" s="2">
        <v>44882</v>
      </c>
    </row>
    <row r="616" spans="1:4" x14ac:dyDescent="0.2">
      <c r="A616" t="s">
        <v>2395</v>
      </c>
      <c r="C616">
        <v>1691.3600000000001</v>
      </c>
      <c r="D616" s="2">
        <v>44882</v>
      </c>
    </row>
    <row r="617" spans="1:4" x14ac:dyDescent="0.2">
      <c r="A617" t="s">
        <v>2396</v>
      </c>
      <c r="C617">
        <v>1925.4400000000003</v>
      </c>
      <c r="D617" s="2">
        <v>44882</v>
      </c>
    </row>
    <row r="618" spans="1:4" x14ac:dyDescent="0.2">
      <c r="A618" t="s">
        <v>2397</v>
      </c>
      <c r="C618">
        <v>7631.8</v>
      </c>
      <c r="D618" s="2">
        <v>44882</v>
      </c>
    </row>
    <row r="619" spans="1:4" x14ac:dyDescent="0.2">
      <c r="A619" t="s">
        <v>2398</v>
      </c>
      <c r="C619">
        <v>10083.700000000001</v>
      </c>
      <c r="D619" s="2">
        <v>44882</v>
      </c>
    </row>
    <row r="620" spans="1:4" x14ac:dyDescent="0.2">
      <c r="A620" t="s">
        <v>2399</v>
      </c>
      <c r="C620">
        <v>26541.218000000004</v>
      </c>
      <c r="D620" s="2">
        <v>44882</v>
      </c>
    </row>
    <row r="621" spans="1:4" x14ac:dyDescent="0.2">
      <c r="A621" t="s">
        <v>2400</v>
      </c>
      <c r="C621">
        <v>1.1000000000000001E-2</v>
      </c>
      <c r="D621" s="2">
        <v>44882</v>
      </c>
    </row>
    <row r="622" spans="1:4" x14ac:dyDescent="0.2">
      <c r="A622" t="s">
        <v>2050</v>
      </c>
      <c r="C622">
        <v>1.1000000000000001E-2</v>
      </c>
      <c r="D622" s="2">
        <v>44882</v>
      </c>
    </row>
    <row r="623" spans="1:4" x14ac:dyDescent="0.2">
      <c r="A623" t="s">
        <v>2055</v>
      </c>
      <c r="C623">
        <v>1.1000000000000001E-2</v>
      </c>
      <c r="D623" s="2">
        <v>44882</v>
      </c>
    </row>
    <row r="624" spans="1:4" x14ac:dyDescent="0.2">
      <c r="A624" t="s">
        <v>2056</v>
      </c>
      <c r="C624">
        <v>1.1000000000000001E-2</v>
      </c>
      <c r="D624" s="2">
        <v>44882</v>
      </c>
    </row>
    <row r="625" spans="1:4" x14ac:dyDescent="0.2">
      <c r="A625" t="s">
        <v>131</v>
      </c>
      <c r="C625">
        <v>0.55110000000000003</v>
      </c>
      <c r="D625" s="2">
        <v>44882</v>
      </c>
    </row>
    <row r="626" spans="1:4" x14ac:dyDescent="0.2">
      <c r="A626" t="s">
        <v>132</v>
      </c>
      <c r="C626">
        <v>0.47300000000000003</v>
      </c>
      <c r="D626" s="2">
        <v>44882</v>
      </c>
    </row>
    <row r="627" spans="1:4" x14ac:dyDescent="0.2">
      <c r="A627" t="s">
        <v>133</v>
      </c>
      <c r="C627">
        <v>0.63800000000000001</v>
      </c>
      <c r="D627" s="2">
        <v>44882</v>
      </c>
    </row>
    <row r="628" spans="1:4" x14ac:dyDescent="0.2">
      <c r="A628" t="s">
        <v>135</v>
      </c>
      <c r="C628">
        <v>2.9854000000000003</v>
      </c>
      <c r="D628" s="2">
        <v>44882</v>
      </c>
    </row>
    <row r="629" spans="1:4" x14ac:dyDescent="0.2">
      <c r="A629" t="s">
        <v>136</v>
      </c>
      <c r="C629">
        <v>1.2056000000000002</v>
      </c>
      <c r="D629" s="2">
        <v>44882</v>
      </c>
    </row>
    <row r="630" spans="1:4" x14ac:dyDescent="0.2">
      <c r="A630" t="s">
        <v>137</v>
      </c>
      <c r="C630">
        <v>0.29700000000000004</v>
      </c>
      <c r="D630" s="2">
        <v>44882</v>
      </c>
    </row>
    <row r="631" spans="1:4" x14ac:dyDescent="0.2">
      <c r="A631" t="s">
        <v>138</v>
      </c>
      <c r="C631">
        <v>4.3109000000000002</v>
      </c>
      <c r="D631" s="2">
        <v>44882</v>
      </c>
    </row>
    <row r="632" spans="1:4" x14ac:dyDescent="0.2">
      <c r="A632" t="s">
        <v>149</v>
      </c>
      <c r="C632">
        <v>0.7370000000000001</v>
      </c>
      <c r="D632" s="2">
        <v>44882</v>
      </c>
    </row>
    <row r="633" spans="1:4" x14ac:dyDescent="0.2">
      <c r="A633" t="s">
        <v>150</v>
      </c>
      <c r="C633">
        <v>0.7370000000000001</v>
      </c>
      <c r="D633" s="2">
        <v>44882</v>
      </c>
    </row>
    <row r="634" spans="1:4" x14ac:dyDescent="0.2">
      <c r="A634" t="s">
        <v>151</v>
      </c>
      <c r="C634">
        <v>0.79200000000000004</v>
      </c>
      <c r="D634" s="2">
        <v>44882</v>
      </c>
    </row>
    <row r="635" spans="1:4" x14ac:dyDescent="0.2">
      <c r="A635" t="s">
        <v>152</v>
      </c>
      <c r="C635">
        <v>0.79200000000000004</v>
      </c>
      <c r="D635" s="2">
        <v>44882</v>
      </c>
    </row>
    <row r="636" spans="1:4" x14ac:dyDescent="0.2">
      <c r="A636" t="s">
        <v>153</v>
      </c>
      <c r="C636">
        <v>1.1440000000000001</v>
      </c>
      <c r="D636" s="2">
        <v>44882</v>
      </c>
    </row>
    <row r="637" spans="1:4" x14ac:dyDescent="0.2">
      <c r="A637" t="s">
        <v>154</v>
      </c>
      <c r="C637">
        <v>0.79200000000000004</v>
      </c>
      <c r="D637" s="2">
        <v>44882</v>
      </c>
    </row>
    <row r="638" spans="1:4" x14ac:dyDescent="0.2">
      <c r="A638" t="s">
        <v>155</v>
      </c>
      <c r="C638">
        <v>1.573</v>
      </c>
      <c r="D638" s="2">
        <v>44882</v>
      </c>
    </row>
    <row r="639" spans="1:4" x14ac:dyDescent="0.2">
      <c r="A639" t="s">
        <v>156</v>
      </c>
      <c r="C639">
        <v>0.19800000000000001</v>
      </c>
      <c r="D639" s="2">
        <v>44882</v>
      </c>
    </row>
    <row r="640" spans="1:4" x14ac:dyDescent="0.2">
      <c r="A640" t="s">
        <v>157</v>
      </c>
      <c r="C640">
        <v>0.22440000000000002</v>
      </c>
      <c r="D640" s="2">
        <v>44882</v>
      </c>
    </row>
    <row r="641" spans="1:4" x14ac:dyDescent="0.2">
      <c r="A641" t="s">
        <v>158</v>
      </c>
      <c r="C641">
        <v>12.308999999999999</v>
      </c>
      <c r="D641" s="2">
        <v>44882</v>
      </c>
    </row>
    <row r="642" spans="1:4" x14ac:dyDescent="0.2">
      <c r="A642" t="s">
        <v>159</v>
      </c>
      <c r="C642">
        <v>16.203000000000003</v>
      </c>
      <c r="D642" s="2">
        <v>44882</v>
      </c>
    </row>
    <row r="643" spans="1:4" x14ac:dyDescent="0.2">
      <c r="A643" t="s">
        <v>160</v>
      </c>
      <c r="C643">
        <v>0.25300000000000006</v>
      </c>
      <c r="D643" s="2">
        <v>44882</v>
      </c>
    </row>
    <row r="644" spans="1:4" x14ac:dyDescent="0.2">
      <c r="A644" t="s">
        <v>161</v>
      </c>
      <c r="C644">
        <v>0.24200000000000002</v>
      </c>
      <c r="D644" s="2">
        <v>44882</v>
      </c>
    </row>
    <row r="645" spans="1:4" x14ac:dyDescent="0.2">
      <c r="A645" t="s">
        <v>162</v>
      </c>
      <c r="C645">
        <v>0.26400000000000001</v>
      </c>
      <c r="D645" s="2">
        <v>44882</v>
      </c>
    </row>
    <row r="646" spans="1:4" x14ac:dyDescent="0.2">
      <c r="A646" t="s">
        <v>163</v>
      </c>
      <c r="C646">
        <v>0.12100000000000001</v>
      </c>
      <c r="D646" s="2">
        <v>44882</v>
      </c>
    </row>
    <row r="647" spans="1:4" x14ac:dyDescent="0.2">
      <c r="A647" t="s">
        <v>164</v>
      </c>
      <c r="C647">
        <v>0.39490000000000003</v>
      </c>
      <c r="D647" s="2">
        <v>44882</v>
      </c>
    </row>
    <row r="648" spans="1:4" x14ac:dyDescent="0.2">
      <c r="A648" t="s">
        <v>165</v>
      </c>
      <c r="C648">
        <v>0.2772</v>
      </c>
      <c r="D648" s="2">
        <v>44882</v>
      </c>
    </row>
    <row r="649" spans="1:4" x14ac:dyDescent="0.2">
      <c r="A649" t="s">
        <v>166</v>
      </c>
      <c r="C649">
        <v>0.48290000000000005</v>
      </c>
      <c r="D649" s="2">
        <v>44882</v>
      </c>
    </row>
    <row r="650" spans="1:4" x14ac:dyDescent="0.2">
      <c r="A650" t="s">
        <v>167</v>
      </c>
      <c r="C650">
        <v>0.76670000000000005</v>
      </c>
      <c r="D650" s="2">
        <v>44882</v>
      </c>
    </row>
    <row r="651" spans="1:4" x14ac:dyDescent="0.2">
      <c r="A651" t="s">
        <v>188</v>
      </c>
      <c r="C651">
        <v>1.276</v>
      </c>
      <c r="D651" s="2">
        <v>44882</v>
      </c>
    </row>
    <row r="652" spans="1:4" x14ac:dyDescent="0.2">
      <c r="A652" t="s">
        <v>189</v>
      </c>
      <c r="C652">
        <v>0.70400000000000007</v>
      </c>
      <c r="D652" s="2">
        <v>44882</v>
      </c>
    </row>
    <row r="653" spans="1:4" x14ac:dyDescent="0.2">
      <c r="A653" t="s">
        <v>190</v>
      </c>
      <c r="C653">
        <v>0.60720000000000007</v>
      </c>
      <c r="D653" s="2">
        <v>44882</v>
      </c>
    </row>
    <row r="654" spans="1:4" x14ac:dyDescent="0.2">
      <c r="A654" t="s">
        <v>191</v>
      </c>
      <c r="C654">
        <v>1.6060000000000001</v>
      </c>
      <c r="D654" s="2">
        <v>44882</v>
      </c>
    </row>
    <row r="655" spans="1:4" x14ac:dyDescent="0.2">
      <c r="A655" t="s">
        <v>192</v>
      </c>
      <c r="C655">
        <v>1.3860000000000001</v>
      </c>
      <c r="D655" s="2">
        <v>44882</v>
      </c>
    </row>
    <row r="656" spans="1:4" x14ac:dyDescent="0.2">
      <c r="A656" t="s">
        <v>193</v>
      </c>
      <c r="C656">
        <v>0.46200000000000002</v>
      </c>
      <c r="D656" s="2">
        <v>44882</v>
      </c>
    </row>
    <row r="657" spans="1:4" x14ac:dyDescent="0.2">
      <c r="A657" t="s">
        <v>194</v>
      </c>
      <c r="C657">
        <v>0.74800000000000011</v>
      </c>
      <c r="D657" s="2">
        <v>44882</v>
      </c>
    </row>
    <row r="658" spans="1:4" x14ac:dyDescent="0.2">
      <c r="A658" t="s">
        <v>195</v>
      </c>
      <c r="C658">
        <v>1.3541000000000003</v>
      </c>
      <c r="D658" s="2">
        <v>44882</v>
      </c>
    </row>
    <row r="659" spans="1:4" x14ac:dyDescent="0.2">
      <c r="A659" t="s">
        <v>196</v>
      </c>
      <c r="C659">
        <v>1.2869999999999999</v>
      </c>
      <c r="D659" s="2">
        <v>44882</v>
      </c>
    </row>
    <row r="660" spans="1:4" x14ac:dyDescent="0.2">
      <c r="A660" t="s">
        <v>197</v>
      </c>
      <c r="C660">
        <v>1.2210000000000003</v>
      </c>
      <c r="D660" s="2">
        <v>44882</v>
      </c>
    </row>
    <row r="661" spans="1:4" x14ac:dyDescent="0.2">
      <c r="A661" t="s">
        <v>198</v>
      </c>
      <c r="C661">
        <v>1.1220000000000001</v>
      </c>
      <c r="D661" s="2">
        <v>44882</v>
      </c>
    </row>
    <row r="662" spans="1:4" x14ac:dyDescent="0.2">
      <c r="A662" t="s">
        <v>199</v>
      </c>
      <c r="C662">
        <v>1.7050000000000003</v>
      </c>
      <c r="D662" s="2">
        <v>44882</v>
      </c>
    </row>
    <row r="663" spans="1:4" x14ac:dyDescent="0.2">
      <c r="A663" t="s">
        <v>200</v>
      </c>
      <c r="C663">
        <v>1.87</v>
      </c>
      <c r="D663" s="2">
        <v>44882</v>
      </c>
    </row>
    <row r="664" spans="1:4" x14ac:dyDescent="0.2">
      <c r="A664" t="s">
        <v>203</v>
      </c>
      <c r="C664">
        <v>17.767200000000003</v>
      </c>
      <c r="D664" s="2">
        <v>44882</v>
      </c>
    </row>
    <row r="665" spans="1:4" x14ac:dyDescent="0.2">
      <c r="A665" t="s">
        <v>1913</v>
      </c>
      <c r="C665">
        <v>0.75020000000000009</v>
      </c>
      <c r="D665" s="2">
        <v>44882</v>
      </c>
    </row>
    <row r="666" spans="1:4" x14ac:dyDescent="0.2">
      <c r="A666" t="s">
        <v>1914</v>
      </c>
      <c r="C666">
        <v>0.79749999999999999</v>
      </c>
      <c r="D666" s="2">
        <v>44882</v>
      </c>
    </row>
    <row r="667" spans="1:4" x14ac:dyDescent="0.2">
      <c r="A667" t="s">
        <v>1915</v>
      </c>
      <c r="C667">
        <v>0.82940000000000003</v>
      </c>
      <c r="D667" s="2">
        <v>44882</v>
      </c>
    </row>
    <row r="668" spans="1:4" x14ac:dyDescent="0.2">
      <c r="A668" t="s">
        <v>1916</v>
      </c>
      <c r="C668">
        <v>0.8459000000000001</v>
      </c>
      <c r="D668" s="2">
        <v>44882</v>
      </c>
    </row>
    <row r="669" spans="1:4" x14ac:dyDescent="0.2">
      <c r="A669" t="s">
        <v>205</v>
      </c>
      <c r="C669">
        <v>1.8183000000000002</v>
      </c>
      <c r="D669" s="2">
        <v>44882</v>
      </c>
    </row>
    <row r="670" spans="1:4" x14ac:dyDescent="0.2">
      <c r="A670" t="s">
        <v>206</v>
      </c>
      <c r="C670">
        <v>6.2150000000000007</v>
      </c>
      <c r="D670" s="2">
        <v>44882</v>
      </c>
    </row>
    <row r="671" spans="1:4" x14ac:dyDescent="0.2">
      <c r="A671" t="s">
        <v>207</v>
      </c>
      <c r="C671">
        <v>8.14</v>
      </c>
      <c r="D671" s="2">
        <v>44882</v>
      </c>
    </row>
    <row r="672" spans="1:4" x14ac:dyDescent="0.2">
      <c r="A672" t="s">
        <v>208</v>
      </c>
      <c r="C672">
        <v>6.6330000000000018</v>
      </c>
      <c r="D672" s="2">
        <v>44882</v>
      </c>
    </row>
    <row r="673" spans="1:4" x14ac:dyDescent="0.2">
      <c r="A673" t="s">
        <v>209</v>
      </c>
      <c r="C673">
        <v>7.854000000000001</v>
      </c>
      <c r="D673" s="2">
        <v>44882</v>
      </c>
    </row>
    <row r="674" spans="1:4" x14ac:dyDescent="0.2">
      <c r="A674" t="s">
        <v>210</v>
      </c>
      <c r="C674">
        <v>0.59290000000000009</v>
      </c>
      <c r="D674" s="2">
        <v>44882</v>
      </c>
    </row>
    <row r="675" spans="1:4" x14ac:dyDescent="0.2">
      <c r="A675" t="s">
        <v>212</v>
      </c>
      <c r="C675">
        <v>6.6198000000000006</v>
      </c>
      <c r="D675" s="2">
        <v>44882</v>
      </c>
    </row>
    <row r="676" spans="1:4" x14ac:dyDescent="0.2">
      <c r="A676" t="s">
        <v>213</v>
      </c>
      <c r="C676">
        <v>21.458250000000003</v>
      </c>
      <c r="D676" s="2">
        <v>44882</v>
      </c>
    </row>
    <row r="677" spans="1:4" x14ac:dyDescent="0.2">
      <c r="A677" t="s">
        <v>214</v>
      </c>
      <c r="C677">
        <v>76.738200000000006</v>
      </c>
      <c r="D677" s="2">
        <v>44882</v>
      </c>
    </row>
    <row r="678" spans="1:4" x14ac:dyDescent="0.2">
      <c r="A678" t="s">
        <v>215</v>
      </c>
      <c r="C678">
        <v>0.12100000000000001</v>
      </c>
      <c r="D678" s="2">
        <v>44882</v>
      </c>
    </row>
    <row r="679" spans="1:4" x14ac:dyDescent="0.2">
      <c r="A679" t="s">
        <v>216</v>
      </c>
      <c r="C679">
        <v>0.42350000000000004</v>
      </c>
      <c r="D679" s="2">
        <v>44882</v>
      </c>
    </row>
    <row r="680" spans="1:4" x14ac:dyDescent="0.2">
      <c r="A680" t="s">
        <v>217</v>
      </c>
      <c r="C680">
        <v>0.48400000000000004</v>
      </c>
      <c r="D680" s="2">
        <v>44882</v>
      </c>
    </row>
    <row r="681" spans="1:4" x14ac:dyDescent="0.2">
      <c r="A681" t="s">
        <v>218</v>
      </c>
      <c r="C681">
        <v>3.6410000000000005</v>
      </c>
      <c r="D681" s="2">
        <v>44882</v>
      </c>
    </row>
    <row r="682" spans="1:4" x14ac:dyDescent="0.2">
      <c r="A682" t="s">
        <v>219</v>
      </c>
      <c r="C682">
        <v>0.67320000000000013</v>
      </c>
      <c r="D682" s="2">
        <v>44882</v>
      </c>
    </row>
    <row r="683" spans="1:4" x14ac:dyDescent="0.2">
      <c r="A683" t="s">
        <v>220</v>
      </c>
      <c r="C683">
        <v>0.88329999999999997</v>
      </c>
      <c r="D683" s="2">
        <v>44882</v>
      </c>
    </row>
    <row r="684" spans="1:4" x14ac:dyDescent="0.2">
      <c r="A684" t="s">
        <v>221</v>
      </c>
      <c r="C684">
        <v>1.1814000000000002</v>
      </c>
      <c r="D684" s="2">
        <v>44882</v>
      </c>
    </row>
    <row r="685" spans="1:4" x14ac:dyDescent="0.2">
      <c r="A685" t="s">
        <v>222</v>
      </c>
      <c r="C685">
        <v>1.7754000000000003</v>
      </c>
      <c r="D685" s="2">
        <v>44882</v>
      </c>
    </row>
    <row r="686" spans="1:4" x14ac:dyDescent="0.2">
      <c r="A686" t="s">
        <v>1788</v>
      </c>
      <c r="C686">
        <v>5.4340000000000002</v>
      </c>
      <c r="D686" s="2">
        <v>44882</v>
      </c>
    </row>
    <row r="687" spans="1:4" x14ac:dyDescent="0.2">
      <c r="A687" t="s">
        <v>1789</v>
      </c>
      <c r="C687">
        <v>6.3492000000000006</v>
      </c>
      <c r="D687" s="2">
        <v>44882</v>
      </c>
    </row>
    <row r="688" spans="1:4" x14ac:dyDescent="0.2">
      <c r="A688" t="s">
        <v>1790</v>
      </c>
      <c r="C688">
        <v>12.319450000000002</v>
      </c>
      <c r="D688" s="2">
        <v>44882</v>
      </c>
    </row>
    <row r="689" spans="1:4" x14ac:dyDescent="0.2">
      <c r="A689" t="s">
        <v>139</v>
      </c>
      <c r="C689">
        <v>1.3089999999999999</v>
      </c>
      <c r="D689" s="2">
        <v>44882</v>
      </c>
    </row>
    <row r="690" spans="1:4" x14ac:dyDescent="0.2">
      <c r="A690" t="s">
        <v>140</v>
      </c>
      <c r="C690">
        <v>1.4256000000000002</v>
      </c>
      <c r="D690" s="2">
        <v>44882</v>
      </c>
    </row>
    <row r="691" spans="1:4" x14ac:dyDescent="0.2">
      <c r="A691" t="s">
        <v>141</v>
      </c>
      <c r="C691">
        <v>1.5043600000000001</v>
      </c>
      <c r="D691" s="2">
        <v>44882</v>
      </c>
    </row>
    <row r="692" spans="1:4" x14ac:dyDescent="0.2">
      <c r="A692" t="s">
        <v>142</v>
      </c>
      <c r="C692">
        <v>1.3398000000000001</v>
      </c>
      <c r="D692" s="2">
        <v>44882</v>
      </c>
    </row>
    <row r="693" spans="1:4" x14ac:dyDescent="0.2">
      <c r="A693" t="s">
        <v>143</v>
      </c>
      <c r="C693">
        <v>1.6030300000000002</v>
      </c>
      <c r="D693" s="2">
        <v>44882</v>
      </c>
    </row>
    <row r="694" spans="1:4" x14ac:dyDescent="0.2">
      <c r="A694" t="s">
        <v>144</v>
      </c>
      <c r="C694">
        <v>1.6773900000000004</v>
      </c>
      <c r="D694" s="2">
        <v>44882</v>
      </c>
    </row>
    <row r="695" spans="1:4" x14ac:dyDescent="0.2">
      <c r="A695" t="s">
        <v>145</v>
      </c>
      <c r="C695">
        <v>1.6038000000000003</v>
      </c>
      <c r="D695" s="2">
        <v>44882</v>
      </c>
    </row>
    <row r="696" spans="1:4" x14ac:dyDescent="0.2">
      <c r="A696" t="s">
        <v>146</v>
      </c>
      <c r="C696">
        <v>2.3496000000000001</v>
      </c>
      <c r="D696" s="2">
        <v>44882</v>
      </c>
    </row>
    <row r="697" spans="1:4" x14ac:dyDescent="0.2">
      <c r="A697" t="s">
        <v>147</v>
      </c>
      <c r="C697">
        <v>2.5938000000000003</v>
      </c>
      <c r="D697" s="2">
        <v>44882</v>
      </c>
    </row>
    <row r="698" spans="1:4" x14ac:dyDescent="0.2">
      <c r="A698" t="s">
        <v>148</v>
      </c>
      <c r="C698">
        <v>5.2295099999999994</v>
      </c>
      <c r="D698" s="2">
        <v>44882</v>
      </c>
    </row>
    <row r="699" spans="1:4" x14ac:dyDescent="0.2">
      <c r="A699" t="s">
        <v>168</v>
      </c>
      <c r="C699">
        <v>2.9370000000000003</v>
      </c>
      <c r="D699" s="2">
        <v>44882</v>
      </c>
    </row>
    <row r="700" spans="1:4" x14ac:dyDescent="0.2">
      <c r="A700" t="s">
        <v>169</v>
      </c>
      <c r="C700">
        <v>2.7829999999999999</v>
      </c>
      <c r="D700" s="2">
        <v>44882</v>
      </c>
    </row>
    <row r="701" spans="1:4" x14ac:dyDescent="0.2">
      <c r="A701" t="s">
        <v>170</v>
      </c>
      <c r="C701">
        <v>2.827</v>
      </c>
      <c r="D701" s="2">
        <v>44882</v>
      </c>
    </row>
    <row r="702" spans="1:4" x14ac:dyDescent="0.2">
      <c r="A702" t="s">
        <v>172</v>
      </c>
      <c r="C702">
        <v>3.278</v>
      </c>
      <c r="D702" s="2">
        <v>44882</v>
      </c>
    </row>
    <row r="703" spans="1:4" x14ac:dyDescent="0.2">
      <c r="A703" t="s">
        <v>173</v>
      </c>
      <c r="C703">
        <v>2.8996000000000004</v>
      </c>
      <c r="D703" s="2">
        <v>44882</v>
      </c>
    </row>
    <row r="704" spans="1:4" x14ac:dyDescent="0.2">
      <c r="A704" t="s">
        <v>174</v>
      </c>
      <c r="C704">
        <v>4.2625000000000002</v>
      </c>
      <c r="D704" s="2">
        <v>44882</v>
      </c>
    </row>
    <row r="705" spans="1:4" x14ac:dyDescent="0.2">
      <c r="A705" t="s">
        <v>176</v>
      </c>
      <c r="C705">
        <v>8.1455000000000002</v>
      </c>
      <c r="D705" s="2">
        <v>44882</v>
      </c>
    </row>
    <row r="706" spans="1:4" x14ac:dyDescent="0.2">
      <c r="A706" t="s">
        <v>177</v>
      </c>
      <c r="C706">
        <v>9.4380000000000006</v>
      </c>
      <c r="D706" s="2">
        <v>44882</v>
      </c>
    </row>
    <row r="707" spans="1:4" x14ac:dyDescent="0.2">
      <c r="A707" t="s">
        <v>178</v>
      </c>
      <c r="C707">
        <v>5.9729999999999999</v>
      </c>
      <c r="D707" s="2">
        <v>44882</v>
      </c>
    </row>
    <row r="708" spans="1:4" x14ac:dyDescent="0.2">
      <c r="A708" t="s">
        <v>179</v>
      </c>
      <c r="C708">
        <v>5.9729999999999999</v>
      </c>
      <c r="D708" s="2">
        <v>44882</v>
      </c>
    </row>
    <row r="709" spans="1:4" x14ac:dyDescent="0.2">
      <c r="A709" t="s">
        <v>180</v>
      </c>
      <c r="C709">
        <v>6.0830000000000011</v>
      </c>
      <c r="D709" s="2">
        <v>44882</v>
      </c>
    </row>
    <row r="710" spans="1:4" x14ac:dyDescent="0.2">
      <c r="A710" t="s">
        <v>181</v>
      </c>
      <c r="C710">
        <v>5.0643999999999991</v>
      </c>
      <c r="D710" s="2">
        <v>44882</v>
      </c>
    </row>
    <row r="711" spans="1:4" x14ac:dyDescent="0.2">
      <c r="A711" t="s">
        <v>182</v>
      </c>
      <c r="C711">
        <v>6.7045000000000003</v>
      </c>
      <c r="D711" s="2">
        <v>44882</v>
      </c>
    </row>
    <row r="712" spans="1:4" x14ac:dyDescent="0.2">
      <c r="A712" t="s">
        <v>183</v>
      </c>
      <c r="C712">
        <v>7.815500000000001</v>
      </c>
      <c r="D712" s="2">
        <v>44882</v>
      </c>
    </row>
    <row r="713" spans="1:4" x14ac:dyDescent="0.2">
      <c r="A713" t="s">
        <v>185</v>
      </c>
      <c r="C713">
        <v>12.936</v>
      </c>
      <c r="D713" s="2">
        <v>44882</v>
      </c>
    </row>
    <row r="714" spans="1:4" x14ac:dyDescent="0.2">
      <c r="A714" t="s">
        <v>186</v>
      </c>
      <c r="C714">
        <v>11.2156</v>
      </c>
      <c r="D714" s="2">
        <v>44882</v>
      </c>
    </row>
    <row r="715" spans="1:4" x14ac:dyDescent="0.2">
      <c r="A715" t="s">
        <v>187</v>
      </c>
      <c r="C715">
        <v>9.3940000000000019</v>
      </c>
      <c r="D715" s="2">
        <v>44882</v>
      </c>
    </row>
    <row r="716" spans="1:4" x14ac:dyDescent="0.2">
      <c r="A716" t="s">
        <v>134</v>
      </c>
      <c r="C716">
        <v>0.93170000000000008</v>
      </c>
      <c r="D716" s="2">
        <v>44882</v>
      </c>
    </row>
    <row r="717" spans="1:4" x14ac:dyDescent="0.2">
      <c r="A717" t="s">
        <v>224</v>
      </c>
      <c r="C717">
        <v>4.07E-2</v>
      </c>
      <c r="D717" s="2">
        <v>44882</v>
      </c>
    </row>
    <row r="718" spans="1:4" x14ac:dyDescent="0.2">
      <c r="A718" t="s">
        <v>225</v>
      </c>
      <c r="C718">
        <v>4.7300000000000002E-2</v>
      </c>
      <c r="D718" s="2">
        <v>44882</v>
      </c>
    </row>
    <row r="719" spans="1:4" x14ac:dyDescent="0.2">
      <c r="A719" t="s">
        <v>2436</v>
      </c>
      <c r="C719">
        <v>0.10670000000000002</v>
      </c>
      <c r="D719" s="2">
        <v>44882</v>
      </c>
    </row>
    <row r="720" spans="1:4" x14ac:dyDescent="0.2">
      <c r="A720" t="s">
        <v>226</v>
      </c>
      <c r="C720">
        <v>0.12100000000000001</v>
      </c>
      <c r="D720" s="2">
        <v>44882</v>
      </c>
    </row>
    <row r="721" spans="1:4" x14ac:dyDescent="0.2">
      <c r="A721" t="s">
        <v>227</v>
      </c>
      <c r="C721">
        <v>0.69960000000000011</v>
      </c>
      <c r="D721" s="2">
        <v>44882</v>
      </c>
    </row>
    <row r="722" spans="1:4" x14ac:dyDescent="0.2">
      <c r="A722" t="s">
        <v>229</v>
      </c>
      <c r="C722">
        <v>289.67400000000004</v>
      </c>
      <c r="D722" s="2">
        <v>44882</v>
      </c>
    </row>
    <row r="723" spans="1:4" x14ac:dyDescent="0.2">
      <c r="A723" t="s">
        <v>230</v>
      </c>
      <c r="C723">
        <v>338.67880200000002</v>
      </c>
      <c r="D723" s="2">
        <v>44882</v>
      </c>
    </row>
    <row r="724" spans="1:4" x14ac:dyDescent="0.2">
      <c r="A724" t="s">
        <v>2269</v>
      </c>
      <c r="C724">
        <v>487.17900000000003</v>
      </c>
      <c r="D724" s="2">
        <v>44882</v>
      </c>
    </row>
    <row r="725" spans="1:4" x14ac:dyDescent="0.2">
      <c r="A725" t="s">
        <v>2270</v>
      </c>
      <c r="C725">
        <v>13.97</v>
      </c>
      <c r="D725" s="2">
        <v>44882</v>
      </c>
    </row>
    <row r="726" spans="1:4" x14ac:dyDescent="0.2">
      <c r="A726" t="s">
        <v>250</v>
      </c>
      <c r="C726">
        <v>9.7911000000000001</v>
      </c>
      <c r="D726" s="2">
        <v>44882</v>
      </c>
    </row>
    <row r="727" spans="1:4" x14ac:dyDescent="0.2">
      <c r="A727" t="s">
        <v>251</v>
      </c>
      <c r="C727">
        <v>16.742000000000001</v>
      </c>
      <c r="D727" s="2">
        <v>44882</v>
      </c>
    </row>
    <row r="728" spans="1:4" x14ac:dyDescent="0.2">
      <c r="A728" t="s">
        <v>252</v>
      </c>
      <c r="C728">
        <v>18.320500000000003</v>
      </c>
      <c r="D728" s="2">
        <v>44882</v>
      </c>
    </row>
    <row r="729" spans="1:4" x14ac:dyDescent="0.2">
      <c r="A729" t="s">
        <v>253</v>
      </c>
      <c r="C729">
        <v>23.716000000000001</v>
      </c>
      <c r="D729" s="2">
        <v>44882</v>
      </c>
    </row>
    <row r="730" spans="1:4" x14ac:dyDescent="0.2">
      <c r="A730" t="s">
        <v>254</v>
      </c>
      <c r="C730">
        <v>95.883700000000005</v>
      </c>
      <c r="D730" s="2">
        <v>44882</v>
      </c>
    </row>
    <row r="731" spans="1:4" x14ac:dyDescent="0.2">
      <c r="A731" t="s">
        <v>255</v>
      </c>
      <c r="C731">
        <v>44.1188</v>
      </c>
      <c r="D731" s="2">
        <v>44882</v>
      </c>
    </row>
    <row r="732" spans="1:4" x14ac:dyDescent="0.2">
      <c r="A732" t="s">
        <v>256</v>
      </c>
      <c r="C732">
        <v>52.459000000000003</v>
      </c>
      <c r="D732" s="2">
        <v>44882</v>
      </c>
    </row>
    <row r="733" spans="1:4" x14ac:dyDescent="0.2">
      <c r="A733" t="s">
        <v>257</v>
      </c>
      <c r="C733">
        <v>33.187000000000005</v>
      </c>
      <c r="D733" s="2">
        <v>44882</v>
      </c>
    </row>
    <row r="734" spans="1:4" x14ac:dyDescent="0.2">
      <c r="A734" t="s">
        <v>258</v>
      </c>
      <c r="C734">
        <v>82.031950000000009</v>
      </c>
      <c r="D734" s="2">
        <v>44882</v>
      </c>
    </row>
    <row r="735" spans="1:4" x14ac:dyDescent="0.2">
      <c r="A735" t="s">
        <v>259</v>
      </c>
      <c r="C735">
        <v>18.320500000000003</v>
      </c>
      <c r="D735" s="2">
        <v>44882</v>
      </c>
    </row>
    <row r="736" spans="1:4" x14ac:dyDescent="0.2">
      <c r="A736" t="s">
        <v>260</v>
      </c>
      <c r="C736">
        <v>23.703900000000001</v>
      </c>
      <c r="D736" s="2">
        <v>44882</v>
      </c>
    </row>
    <row r="737" spans="1:4" x14ac:dyDescent="0.2">
      <c r="A737" t="s">
        <v>261</v>
      </c>
      <c r="C737">
        <v>24.192299999999999</v>
      </c>
      <c r="D737" s="2">
        <v>44882</v>
      </c>
    </row>
    <row r="738" spans="1:4" x14ac:dyDescent="0.2">
      <c r="A738" t="s">
        <v>262</v>
      </c>
      <c r="C738">
        <v>78.0428</v>
      </c>
      <c r="D738" s="2">
        <v>44882</v>
      </c>
    </row>
    <row r="739" spans="1:4" x14ac:dyDescent="0.2">
      <c r="A739" t="s">
        <v>263</v>
      </c>
      <c r="C739">
        <v>43.427999999999997</v>
      </c>
      <c r="D739" s="2">
        <v>44882</v>
      </c>
    </row>
    <row r="740" spans="1:4" x14ac:dyDescent="0.2">
      <c r="A740" t="s">
        <v>264</v>
      </c>
      <c r="C740">
        <v>35.706000000000003</v>
      </c>
      <c r="D740" s="2">
        <v>44882</v>
      </c>
    </row>
    <row r="741" spans="1:4" x14ac:dyDescent="0.2">
      <c r="A741" t="s">
        <v>265</v>
      </c>
      <c r="C741">
        <v>71.508800000000008</v>
      </c>
      <c r="D741" s="2">
        <v>44882</v>
      </c>
    </row>
    <row r="742" spans="1:4" x14ac:dyDescent="0.2">
      <c r="A742" t="s">
        <v>266</v>
      </c>
      <c r="C742">
        <v>68.046000000000006</v>
      </c>
      <c r="D742" s="2">
        <v>44882</v>
      </c>
    </row>
    <row r="743" spans="1:4" x14ac:dyDescent="0.2">
      <c r="A743" t="s">
        <v>267</v>
      </c>
      <c r="C743">
        <v>46.519000000000005</v>
      </c>
      <c r="D743" s="2">
        <v>44882</v>
      </c>
    </row>
    <row r="744" spans="1:4" x14ac:dyDescent="0.2">
      <c r="A744" t="s">
        <v>268</v>
      </c>
      <c r="C744">
        <v>37.869700000000002</v>
      </c>
      <c r="D744" s="2">
        <v>44882</v>
      </c>
    </row>
    <row r="745" spans="1:4" x14ac:dyDescent="0.2">
      <c r="A745" t="s">
        <v>269</v>
      </c>
      <c r="C745">
        <v>42.328000000000003</v>
      </c>
      <c r="D745" s="2">
        <v>44882</v>
      </c>
    </row>
    <row r="746" spans="1:4" x14ac:dyDescent="0.2">
      <c r="A746" t="s">
        <v>270</v>
      </c>
      <c r="C746">
        <v>42.339000000000006</v>
      </c>
      <c r="D746" s="2">
        <v>44882</v>
      </c>
    </row>
    <row r="747" spans="1:4" x14ac:dyDescent="0.2">
      <c r="A747" t="s">
        <v>271</v>
      </c>
      <c r="C747">
        <v>55.527999999999999</v>
      </c>
      <c r="D747" s="2">
        <v>44882</v>
      </c>
    </row>
    <row r="748" spans="1:4" x14ac:dyDescent="0.2">
      <c r="A748" t="s">
        <v>272</v>
      </c>
      <c r="C748">
        <v>42.780100000000004</v>
      </c>
      <c r="D748" s="2">
        <v>44882</v>
      </c>
    </row>
    <row r="749" spans="1:4" x14ac:dyDescent="0.2">
      <c r="A749" t="s">
        <v>273</v>
      </c>
      <c r="C749">
        <v>61.923400000000001</v>
      </c>
      <c r="D749" s="2">
        <v>44882</v>
      </c>
    </row>
    <row r="750" spans="1:4" x14ac:dyDescent="0.2">
      <c r="A750" t="s">
        <v>274</v>
      </c>
      <c r="C750">
        <v>62.414000000000009</v>
      </c>
      <c r="D750" s="2">
        <v>44882</v>
      </c>
    </row>
    <row r="751" spans="1:4" x14ac:dyDescent="0.2">
      <c r="A751" t="s">
        <v>275</v>
      </c>
      <c r="C751">
        <v>174.01120000000003</v>
      </c>
      <c r="D751" s="2">
        <v>44882</v>
      </c>
    </row>
    <row r="752" spans="1:4" x14ac:dyDescent="0.2">
      <c r="A752" t="s">
        <v>276</v>
      </c>
      <c r="C752">
        <v>91.075600000000009</v>
      </c>
      <c r="D752" s="2">
        <v>44882</v>
      </c>
    </row>
    <row r="753" spans="1:4" x14ac:dyDescent="0.2">
      <c r="A753" t="s">
        <v>277</v>
      </c>
      <c r="C753">
        <v>113.30000000000001</v>
      </c>
      <c r="D753" s="2">
        <v>44882</v>
      </c>
    </row>
    <row r="754" spans="1:4" x14ac:dyDescent="0.2">
      <c r="A754" t="s">
        <v>278</v>
      </c>
      <c r="C754">
        <v>176.4444</v>
      </c>
      <c r="D754" s="2">
        <v>44882</v>
      </c>
    </row>
    <row r="755" spans="1:4" x14ac:dyDescent="0.2">
      <c r="A755" t="s">
        <v>279</v>
      </c>
      <c r="C755">
        <v>99.506</v>
      </c>
      <c r="D755" s="2">
        <v>44882</v>
      </c>
    </row>
    <row r="756" spans="1:4" x14ac:dyDescent="0.2">
      <c r="A756" t="s">
        <v>280</v>
      </c>
      <c r="C756">
        <v>101.12300000000002</v>
      </c>
      <c r="D756" s="2">
        <v>44882</v>
      </c>
    </row>
    <row r="757" spans="1:4" x14ac:dyDescent="0.2">
      <c r="A757" t="s">
        <v>281</v>
      </c>
      <c r="C757">
        <v>102.74000000000001</v>
      </c>
      <c r="D757" s="2">
        <v>44882</v>
      </c>
    </row>
    <row r="758" spans="1:4" x14ac:dyDescent="0.2">
      <c r="A758" t="s">
        <v>282</v>
      </c>
      <c r="C758">
        <v>75.89670000000001</v>
      </c>
      <c r="D758" s="2">
        <v>44882</v>
      </c>
    </row>
    <row r="759" spans="1:4" x14ac:dyDescent="0.2">
      <c r="A759" t="s">
        <v>283</v>
      </c>
      <c r="C759">
        <v>111.85900000000001</v>
      </c>
      <c r="D759" s="2">
        <v>44882</v>
      </c>
    </row>
    <row r="760" spans="1:4" x14ac:dyDescent="0.2">
      <c r="A760" t="s">
        <v>284</v>
      </c>
      <c r="C760">
        <v>144.88100000000003</v>
      </c>
      <c r="D760" s="2">
        <v>44882</v>
      </c>
    </row>
    <row r="761" spans="1:4" x14ac:dyDescent="0.2">
      <c r="A761" t="s">
        <v>285</v>
      </c>
      <c r="C761">
        <v>134.816</v>
      </c>
      <c r="D761" s="2">
        <v>44882</v>
      </c>
    </row>
    <row r="762" spans="1:4" x14ac:dyDescent="0.2">
      <c r="A762" t="s">
        <v>286</v>
      </c>
      <c r="C762">
        <v>305.79120000000006</v>
      </c>
      <c r="D762" s="2">
        <v>44882</v>
      </c>
    </row>
    <row r="763" spans="1:4" x14ac:dyDescent="0.2">
      <c r="A763" t="s">
        <v>287</v>
      </c>
      <c r="C763">
        <v>163.3544</v>
      </c>
      <c r="D763" s="2">
        <v>44882</v>
      </c>
    </row>
    <row r="764" spans="1:4" x14ac:dyDescent="0.2">
      <c r="A764" t="s">
        <v>288</v>
      </c>
      <c r="C764">
        <v>111.4894</v>
      </c>
      <c r="D764" s="2">
        <v>44882</v>
      </c>
    </row>
    <row r="765" spans="1:4" x14ac:dyDescent="0.2">
      <c r="A765" t="s">
        <v>289</v>
      </c>
      <c r="C765">
        <v>114.55400000000002</v>
      </c>
      <c r="D765" s="2">
        <v>44882</v>
      </c>
    </row>
    <row r="766" spans="1:4" x14ac:dyDescent="0.2">
      <c r="A766" t="s">
        <v>290</v>
      </c>
      <c r="C766">
        <v>128.37880000000001</v>
      </c>
      <c r="D766" s="2">
        <v>44882</v>
      </c>
    </row>
    <row r="767" spans="1:4" x14ac:dyDescent="0.2">
      <c r="A767" t="s">
        <v>291</v>
      </c>
      <c r="C767">
        <v>148.33830000000003</v>
      </c>
      <c r="D767" s="2">
        <v>44882</v>
      </c>
    </row>
    <row r="768" spans="1:4" x14ac:dyDescent="0.2">
      <c r="A768" t="s">
        <v>292</v>
      </c>
      <c r="C768">
        <v>144.02190000000002</v>
      </c>
      <c r="D768" s="2">
        <v>44882</v>
      </c>
    </row>
    <row r="769" spans="1:4" x14ac:dyDescent="0.2">
      <c r="A769" t="s">
        <v>293</v>
      </c>
      <c r="C769">
        <v>134.2517</v>
      </c>
      <c r="D769" s="2">
        <v>44882</v>
      </c>
    </row>
    <row r="770" spans="1:4" x14ac:dyDescent="0.2">
      <c r="A770" t="s">
        <v>294</v>
      </c>
      <c r="C770">
        <v>177.40360000000004</v>
      </c>
      <c r="D770" s="2">
        <v>44882</v>
      </c>
    </row>
    <row r="771" spans="1:4" x14ac:dyDescent="0.2">
      <c r="A771" t="s">
        <v>295</v>
      </c>
      <c r="C771">
        <v>208.6711</v>
      </c>
      <c r="D771" s="2">
        <v>44882</v>
      </c>
    </row>
    <row r="772" spans="1:4" x14ac:dyDescent="0.2">
      <c r="A772" t="s">
        <v>296</v>
      </c>
      <c r="C772">
        <v>184.84399999999999</v>
      </c>
      <c r="D772" s="2">
        <v>44882</v>
      </c>
    </row>
    <row r="773" spans="1:4" x14ac:dyDescent="0.2">
      <c r="A773" t="s">
        <v>297</v>
      </c>
      <c r="C773">
        <v>262.625</v>
      </c>
      <c r="D773" s="2">
        <v>44882</v>
      </c>
    </row>
    <row r="774" spans="1:4" x14ac:dyDescent="0.2">
      <c r="A774" t="s">
        <v>298</v>
      </c>
      <c r="C774">
        <v>2602.2040000000002</v>
      </c>
      <c r="D774" s="2">
        <v>44882</v>
      </c>
    </row>
    <row r="775" spans="1:4" x14ac:dyDescent="0.2">
      <c r="A775" t="s">
        <v>299</v>
      </c>
      <c r="C775">
        <v>280.61440000000005</v>
      </c>
      <c r="D775" s="2">
        <v>44882</v>
      </c>
    </row>
    <row r="776" spans="1:4" x14ac:dyDescent="0.2">
      <c r="A776" t="s">
        <v>300</v>
      </c>
      <c r="C776">
        <v>304.55700000000002</v>
      </c>
      <c r="D776" s="2">
        <v>44882</v>
      </c>
    </row>
    <row r="777" spans="1:4" x14ac:dyDescent="0.2">
      <c r="A777" t="s">
        <v>301</v>
      </c>
      <c r="C777">
        <v>359.0763</v>
      </c>
      <c r="D777" s="2">
        <v>44882</v>
      </c>
    </row>
    <row r="778" spans="1:4" x14ac:dyDescent="0.2">
      <c r="A778" t="s">
        <v>302</v>
      </c>
      <c r="C778">
        <v>408.91400000000004</v>
      </c>
      <c r="D778" s="2">
        <v>44882</v>
      </c>
    </row>
    <row r="779" spans="1:4" x14ac:dyDescent="0.2">
      <c r="A779" t="s">
        <v>303</v>
      </c>
      <c r="C779">
        <v>638</v>
      </c>
      <c r="D779" s="2">
        <v>44882</v>
      </c>
    </row>
    <row r="780" spans="1:4" x14ac:dyDescent="0.2">
      <c r="A780" t="s">
        <v>304</v>
      </c>
      <c r="C780">
        <v>1003.4750000000001</v>
      </c>
      <c r="D780" s="2">
        <v>44882</v>
      </c>
    </row>
    <row r="781" spans="1:4" x14ac:dyDescent="0.2">
      <c r="A781" t="s">
        <v>231</v>
      </c>
      <c r="C781">
        <v>14.869800000000001</v>
      </c>
      <c r="D781" s="2">
        <v>44882</v>
      </c>
    </row>
    <row r="782" spans="1:4" x14ac:dyDescent="0.2">
      <c r="A782" t="s">
        <v>232</v>
      </c>
      <c r="C782">
        <v>24.541</v>
      </c>
      <c r="D782" s="2">
        <v>44882</v>
      </c>
    </row>
    <row r="783" spans="1:4" x14ac:dyDescent="0.2">
      <c r="A783" t="s">
        <v>233</v>
      </c>
      <c r="C783">
        <v>94.585700000000003</v>
      </c>
      <c r="D783" s="2">
        <v>44882</v>
      </c>
    </row>
    <row r="784" spans="1:4" x14ac:dyDescent="0.2">
      <c r="A784" t="s">
        <v>234</v>
      </c>
      <c r="C784">
        <v>19.170800000000003</v>
      </c>
      <c r="D784" s="2">
        <v>44882</v>
      </c>
    </row>
    <row r="785" spans="1:4" x14ac:dyDescent="0.2">
      <c r="A785" t="s">
        <v>235</v>
      </c>
      <c r="C785">
        <v>28.721</v>
      </c>
      <c r="D785" s="2">
        <v>44882</v>
      </c>
    </row>
    <row r="786" spans="1:4" x14ac:dyDescent="0.2">
      <c r="A786" t="s">
        <v>236</v>
      </c>
      <c r="C786">
        <v>58.806000000000004</v>
      </c>
      <c r="D786" s="2">
        <v>44882</v>
      </c>
    </row>
    <row r="787" spans="1:4" x14ac:dyDescent="0.2">
      <c r="A787" t="s">
        <v>237</v>
      </c>
      <c r="C787">
        <v>28.216100000000001</v>
      </c>
      <c r="D787" s="2">
        <v>44882</v>
      </c>
    </row>
    <row r="788" spans="1:4" x14ac:dyDescent="0.2">
      <c r="A788" t="s">
        <v>238</v>
      </c>
      <c r="C788">
        <v>59.637600000000006</v>
      </c>
      <c r="D788" s="2">
        <v>44882</v>
      </c>
    </row>
    <row r="789" spans="1:4" x14ac:dyDescent="0.2">
      <c r="A789" t="s">
        <v>239</v>
      </c>
      <c r="C789">
        <v>64.878</v>
      </c>
      <c r="D789" s="2">
        <v>44882</v>
      </c>
    </row>
    <row r="790" spans="1:4" x14ac:dyDescent="0.2">
      <c r="A790" t="s">
        <v>240</v>
      </c>
      <c r="C790">
        <v>50.9465</v>
      </c>
      <c r="D790" s="2">
        <v>44882</v>
      </c>
    </row>
    <row r="791" spans="1:4" x14ac:dyDescent="0.2">
      <c r="A791" t="s">
        <v>241</v>
      </c>
      <c r="C791">
        <v>95.285300000000007</v>
      </c>
      <c r="D791" s="2">
        <v>44882</v>
      </c>
    </row>
    <row r="792" spans="1:4" x14ac:dyDescent="0.2">
      <c r="A792" t="s">
        <v>242</v>
      </c>
      <c r="C792">
        <v>65.173900000000003</v>
      </c>
      <c r="D792" s="2">
        <v>44882</v>
      </c>
    </row>
    <row r="793" spans="1:4" x14ac:dyDescent="0.2">
      <c r="A793" t="s">
        <v>243</v>
      </c>
      <c r="C793">
        <v>60.550600000000003</v>
      </c>
      <c r="D793" s="2">
        <v>44882</v>
      </c>
    </row>
    <row r="794" spans="1:4" x14ac:dyDescent="0.2">
      <c r="A794" t="s">
        <v>244</v>
      </c>
      <c r="C794">
        <v>96.346800000000002</v>
      </c>
      <c r="D794" s="2">
        <v>44882</v>
      </c>
    </row>
    <row r="795" spans="1:4" x14ac:dyDescent="0.2">
      <c r="A795" t="s">
        <v>245</v>
      </c>
      <c r="C795">
        <v>108.2257</v>
      </c>
      <c r="D795" s="2">
        <v>44882</v>
      </c>
    </row>
    <row r="796" spans="1:4" x14ac:dyDescent="0.2">
      <c r="A796" t="s">
        <v>246</v>
      </c>
      <c r="C796">
        <v>174.75810000000001</v>
      </c>
      <c r="D796" s="2">
        <v>44882</v>
      </c>
    </row>
    <row r="797" spans="1:4" x14ac:dyDescent="0.2">
      <c r="A797" t="s">
        <v>247</v>
      </c>
      <c r="C797">
        <v>227.4547</v>
      </c>
      <c r="D797" s="2">
        <v>44882</v>
      </c>
    </row>
    <row r="798" spans="1:4" x14ac:dyDescent="0.2">
      <c r="A798" t="s">
        <v>248</v>
      </c>
      <c r="C798">
        <v>211.40790000000001</v>
      </c>
      <c r="D798" s="2">
        <v>44882</v>
      </c>
    </row>
    <row r="799" spans="1:4" x14ac:dyDescent="0.2">
      <c r="A799" t="s">
        <v>249</v>
      </c>
      <c r="C799">
        <v>259.41300000000001</v>
      </c>
      <c r="D799" s="2">
        <v>44882</v>
      </c>
    </row>
    <row r="800" spans="1:4" x14ac:dyDescent="0.2">
      <c r="A800" t="s">
        <v>305</v>
      </c>
      <c r="C800">
        <v>1.8260000000000001</v>
      </c>
      <c r="D800" s="2">
        <v>44882</v>
      </c>
    </row>
    <row r="801" spans="1:4" x14ac:dyDescent="0.2">
      <c r="A801" t="s">
        <v>306</v>
      </c>
      <c r="C801">
        <v>1.089</v>
      </c>
      <c r="D801" s="2">
        <v>44882</v>
      </c>
    </row>
    <row r="802" spans="1:4" x14ac:dyDescent="0.2">
      <c r="A802" t="s">
        <v>307</v>
      </c>
      <c r="C802">
        <v>2.145</v>
      </c>
      <c r="D802" s="2">
        <v>44882</v>
      </c>
    </row>
    <row r="803" spans="1:4" x14ac:dyDescent="0.2">
      <c r="A803" t="s">
        <v>308</v>
      </c>
      <c r="C803">
        <v>1.7325000000000002</v>
      </c>
      <c r="D803" s="2">
        <v>44882</v>
      </c>
    </row>
    <row r="804" spans="1:4" x14ac:dyDescent="0.2">
      <c r="A804" t="s">
        <v>309</v>
      </c>
      <c r="C804">
        <v>8.4260000000000002</v>
      </c>
      <c r="D804" s="2">
        <v>44882</v>
      </c>
    </row>
    <row r="805" spans="1:4" x14ac:dyDescent="0.2">
      <c r="A805" t="s">
        <v>310</v>
      </c>
      <c r="C805">
        <v>8.3996000000000013</v>
      </c>
      <c r="D805" s="2">
        <v>44882</v>
      </c>
    </row>
    <row r="806" spans="1:4" x14ac:dyDescent="0.2">
      <c r="A806" t="s">
        <v>311</v>
      </c>
      <c r="C806">
        <v>0.35970000000000002</v>
      </c>
      <c r="D806" s="2">
        <v>44882</v>
      </c>
    </row>
    <row r="807" spans="1:4" x14ac:dyDescent="0.2">
      <c r="A807" t="s">
        <v>312</v>
      </c>
      <c r="C807">
        <v>0.80300000000000005</v>
      </c>
      <c r="D807" s="2">
        <v>44882</v>
      </c>
    </row>
    <row r="808" spans="1:4" x14ac:dyDescent="0.2">
      <c r="A808" t="s">
        <v>313</v>
      </c>
      <c r="C808">
        <v>1.3089999999999999</v>
      </c>
      <c r="D808" s="2">
        <v>44882</v>
      </c>
    </row>
    <row r="809" spans="1:4" x14ac:dyDescent="0.2">
      <c r="A809" t="s">
        <v>314</v>
      </c>
      <c r="C809">
        <v>1.9096000000000002</v>
      </c>
      <c r="D809" s="2">
        <v>44882</v>
      </c>
    </row>
    <row r="810" spans="1:4" x14ac:dyDescent="0.2">
      <c r="A810" t="s">
        <v>315</v>
      </c>
      <c r="C810">
        <v>2.3463000000000003</v>
      </c>
      <c r="D810" s="2">
        <v>44882</v>
      </c>
    </row>
    <row r="811" spans="1:4" x14ac:dyDescent="0.2">
      <c r="A811" t="s">
        <v>316</v>
      </c>
      <c r="C811">
        <v>2.7214000000000005</v>
      </c>
      <c r="D811" s="2">
        <v>44882</v>
      </c>
    </row>
    <row r="812" spans="1:4" x14ac:dyDescent="0.2">
      <c r="A812" t="s">
        <v>317</v>
      </c>
      <c r="C812">
        <v>1.0208000000000002</v>
      </c>
      <c r="D812" s="2">
        <v>44882</v>
      </c>
    </row>
    <row r="813" spans="1:4" x14ac:dyDescent="0.2">
      <c r="A813" t="s">
        <v>318</v>
      </c>
      <c r="C813">
        <v>0.63800000000000001</v>
      </c>
      <c r="D813" s="2">
        <v>44882</v>
      </c>
    </row>
    <row r="814" spans="1:4" x14ac:dyDescent="0.2">
      <c r="A814" t="s">
        <v>319</v>
      </c>
      <c r="C814">
        <v>1.3089999999999999</v>
      </c>
      <c r="D814" s="2">
        <v>44882</v>
      </c>
    </row>
    <row r="815" spans="1:4" x14ac:dyDescent="0.2">
      <c r="A815" t="s">
        <v>320</v>
      </c>
      <c r="C815">
        <v>1.0449999999999999</v>
      </c>
      <c r="D815" s="2">
        <v>44882</v>
      </c>
    </row>
    <row r="816" spans="1:4" x14ac:dyDescent="0.2">
      <c r="A816" t="s">
        <v>321</v>
      </c>
      <c r="C816">
        <v>1.034</v>
      </c>
      <c r="D816" s="2">
        <v>44882</v>
      </c>
    </row>
    <row r="817" spans="1:4" x14ac:dyDescent="0.2">
      <c r="A817" t="s">
        <v>322</v>
      </c>
      <c r="C817">
        <v>2.7258000000000004</v>
      </c>
      <c r="D817" s="2">
        <v>44882</v>
      </c>
    </row>
    <row r="818" spans="1:4" x14ac:dyDescent="0.2">
      <c r="A818" t="s">
        <v>323</v>
      </c>
      <c r="C818">
        <v>3.4100000000000006</v>
      </c>
      <c r="D818" s="2">
        <v>44882</v>
      </c>
    </row>
    <row r="819" spans="1:4" x14ac:dyDescent="0.2">
      <c r="A819" t="s">
        <v>324</v>
      </c>
      <c r="C819">
        <v>4.5166000000000004</v>
      </c>
      <c r="D819" s="2">
        <v>44882</v>
      </c>
    </row>
    <row r="820" spans="1:4" x14ac:dyDescent="0.2">
      <c r="A820" t="s">
        <v>325</v>
      </c>
      <c r="C820">
        <v>8.5459000000000014</v>
      </c>
      <c r="D820" s="2">
        <v>44882</v>
      </c>
    </row>
    <row r="821" spans="1:4" x14ac:dyDescent="0.2">
      <c r="A821" t="s">
        <v>330</v>
      </c>
      <c r="C821">
        <v>3.927</v>
      </c>
      <c r="D821" s="2">
        <v>44882</v>
      </c>
    </row>
    <row r="822" spans="1:4" x14ac:dyDescent="0.2">
      <c r="A822" t="s">
        <v>331</v>
      </c>
      <c r="C822">
        <v>0.66</v>
      </c>
      <c r="D822" s="2">
        <v>44882</v>
      </c>
    </row>
    <row r="823" spans="1:4" x14ac:dyDescent="0.2">
      <c r="A823" t="s">
        <v>329</v>
      </c>
      <c r="C823">
        <v>3.3979000000000004</v>
      </c>
      <c r="D823" s="2">
        <v>44882</v>
      </c>
    </row>
    <row r="824" spans="1:4" x14ac:dyDescent="0.2">
      <c r="A824" t="s">
        <v>327</v>
      </c>
      <c r="C824">
        <v>16.747500000000002</v>
      </c>
      <c r="D824" s="2">
        <v>44882</v>
      </c>
    </row>
    <row r="825" spans="1:4" x14ac:dyDescent="0.2">
      <c r="A825" t="s">
        <v>328</v>
      </c>
      <c r="C825">
        <v>8.6130000000000013</v>
      </c>
      <c r="D825" s="2">
        <v>44882</v>
      </c>
    </row>
    <row r="826" spans="1:4" x14ac:dyDescent="0.2">
      <c r="A826" t="s">
        <v>326</v>
      </c>
      <c r="C826">
        <v>11.739200000000002</v>
      </c>
      <c r="D826" s="2">
        <v>44882</v>
      </c>
    </row>
    <row r="827" spans="1:4" x14ac:dyDescent="0.2">
      <c r="A827" t="s">
        <v>363</v>
      </c>
      <c r="C827">
        <v>1.3958999999999999</v>
      </c>
      <c r="D827" s="2">
        <v>44882</v>
      </c>
    </row>
    <row r="828" spans="1:4" x14ac:dyDescent="0.2">
      <c r="A828" t="s">
        <v>364</v>
      </c>
      <c r="C828">
        <v>2.4354</v>
      </c>
      <c r="D828" s="2">
        <v>44882</v>
      </c>
    </row>
    <row r="829" spans="1:4" x14ac:dyDescent="0.2">
      <c r="A829" t="s">
        <v>365</v>
      </c>
      <c r="C829">
        <v>3.2076000000000007</v>
      </c>
      <c r="D829" s="2">
        <v>44882</v>
      </c>
    </row>
    <row r="830" spans="1:4" x14ac:dyDescent="0.2">
      <c r="A830" t="s">
        <v>352</v>
      </c>
      <c r="C830">
        <v>3.4133000000000004</v>
      </c>
      <c r="D830" s="2">
        <v>44882</v>
      </c>
    </row>
    <row r="831" spans="1:4" x14ac:dyDescent="0.2">
      <c r="A831" t="s">
        <v>351</v>
      </c>
      <c r="C831">
        <v>14.511200000000001</v>
      </c>
      <c r="D831" s="2">
        <v>44882</v>
      </c>
    </row>
    <row r="832" spans="1:4" x14ac:dyDescent="0.2">
      <c r="A832" t="s">
        <v>342</v>
      </c>
      <c r="C832">
        <v>1.5290990000000004</v>
      </c>
      <c r="D832" s="2">
        <v>44882</v>
      </c>
    </row>
    <row r="833" spans="1:4" x14ac:dyDescent="0.2">
      <c r="A833" t="s">
        <v>341</v>
      </c>
      <c r="C833">
        <v>7.1775000000000011</v>
      </c>
      <c r="D833" s="2">
        <v>44882</v>
      </c>
    </row>
    <row r="834" spans="1:4" x14ac:dyDescent="0.2">
      <c r="A834" t="s">
        <v>340</v>
      </c>
      <c r="C834">
        <v>11.053900000000001</v>
      </c>
      <c r="D834" s="2">
        <v>44882</v>
      </c>
    </row>
    <row r="835" spans="1:4" x14ac:dyDescent="0.2">
      <c r="A835" t="s">
        <v>343</v>
      </c>
      <c r="C835">
        <v>4.2273000000000005</v>
      </c>
      <c r="D835" s="2">
        <v>44882</v>
      </c>
    </row>
    <row r="836" spans="1:4" x14ac:dyDescent="0.2">
      <c r="A836" t="s">
        <v>345</v>
      </c>
      <c r="C836">
        <v>4.2273000000000005</v>
      </c>
      <c r="D836" s="2">
        <v>44882</v>
      </c>
    </row>
    <row r="837" spans="1:4" x14ac:dyDescent="0.2">
      <c r="A837" t="s">
        <v>344</v>
      </c>
      <c r="C837">
        <v>1.4300000000000002</v>
      </c>
      <c r="D837" s="2">
        <v>44882</v>
      </c>
    </row>
    <row r="838" spans="1:4" x14ac:dyDescent="0.2">
      <c r="A838" t="s">
        <v>347</v>
      </c>
      <c r="C838">
        <v>5.423</v>
      </c>
      <c r="D838" s="2">
        <v>44882</v>
      </c>
    </row>
    <row r="839" spans="1:4" x14ac:dyDescent="0.2">
      <c r="A839" t="s">
        <v>366</v>
      </c>
      <c r="C839">
        <v>1.2649999999999999</v>
      </c>
      <c r="D839" s="2">
        <v>44882</v>
      </c>
    </row>
    <row r="840" spans="1:4" x14ac:dyDescent="0.2">
      <c r="A840" t="s">
        <v>348</v>
      </c>
      <c r="C840">
        <v>6.6352000000000002</v>
      </c>
      <c r="D840" s="2">
        <v>44882</v>
      </c>
    </row>
    <row r="841" spans="1:4" x14ac:dyDescent="0.2">
      <c r="A841" t="s">
        <v>360</v>
      </c>
      <c r="C841">
        <v>1.6940000000000002</v>
      </c>
      <c r="D841" s="2">
        <v>44882</v>
      </c>
    </row>
    <row r="842" spans="1:4" x14ac:dyDescent="0.2">
      <c r="A842" t="s">
        <v>361</v>
      </c>
      <c r="C842">
        <v>6.6990000000000007</v>
      </c>
      <c r="D842" s="2">
        <v>44882</v>
      </c>
    </row>
    <row r="843" spans="1:4" x14ac:dyDescent="0.2">
      <c r="A843" t="s">
        <v>362</v>
      </c>
      <c r="C843">
        <v>5.742</v>
      </c>
      <c r="D843" s="2">
        <v>44882</v>
      </c>
    </row>
    <row r="844" spans="1:4" x14ac:dyDescent="0.2">
      <c r="A844" t="s">
        <v>349</v>
      </c>
      <c r="C844">
        <v>4.620000000000001</v>
      </c>
      <c r="D844" s="2">
        <v>44882</v>
      </c>
    </row>
    <row r="845" spans="1:4" x14ac:dyDescent="0.2">
      <c r="A845" t="s">
        <v>350</v>
      </c>
      <c r="C845">
        <v>10.912000000000001</v>
      </c>
      <c r="D845" s="2">
        <v>44882</v>
      </c>
    </row>
    <row r="846" spans="1:4" x14ac:dyDescent="0.2">
      <c r="A846" t="s">
        <v>346</v>
      </c>
      <c r="C846">
        <v>1.1484000000000001</v>
      </c>
      <c r="D846" s="2">
        <v>44882</v>
      </c>
    </row>
    <row r="847" spans="1:4" x14ac:dyDescent="0.2">
      <c r="A847" t="s">
        <v>339</v>
      </c>
      <c r="C847">
        <v>5.1623000000000001</v>
      </c>
      <c r="D847" s="2">
        <v>44882</v>
      </c>
    </row>
    <row r="848" spans="1:4" x14ac:dyDescent="0.2">
      <c r="A848" t="s">
        <v>334</v>
      </c>
      <c r="C848">
        <v>18.023500000000002</v>
      </c>
      <c r="D848" s="2">
        <v>44882</v>
      </c>
    </row>
    <row r="849" spans="1:4" x14ac:dyDescent="0.2">
      <c r="A849" t="s">
        <v>333</v>
      </c>
      <c r="C849">
        <v>3.6366000000000005</v>
      </c>
      <c r="D849" s="2">
        <v>44882</v>
      </c>
    </row>
    <row r="850" spans="1:4" x14ac:dyDescent="0.2">
      <c r="A850" t="s">
        <v>338</v>
      </c>
      <c r="C850">
        <v>34.388200000000005</v>
      </c>
      <c r="D850" s="2">
        <v>44882</v>
      </c>
    </row>
    <row r="851" spans="1:4" x14ac:dyDescent="0.2">
      <c r="A851" t="s">
        <v>337</v>
      </c>
      <c r="C851">
        <v>8.6790000000000003</v>
      </c>
      <c r="D851" s="2">
        <v>44882</v>
      </c>
    </row>
    <row r="852" spans="1:4" x14ac:dyDescent="0.2">
      <c r="A852" t="s">
        <v>336</v>
      </c>
      <c r="C852">
        <v>5.4232750000000012</v>
      </c>
      <c r="D852" s="2">
        <v>44882</v>
      </c>
    </row>
    <row r="853" spans="1:4" x14ac:dyDescent="0.2">
      <c r="A853" t="s">
        <v>335</v>
      </c>
      <c r="C853">
        <v>8.8000000000000007</v>
      </c>
      <c r="D853" s="2">
        <v>44882</v>
      </c>
    </row>
    <row r="854" spans="1:4" x14ac:dyDescent="0.2">
      <c r="A854" t="s">
        <v>359</v>
      </c>
      <c r="C854">
        <v>11.915200000000002</v>
      </c>
      <c r="D854" s="2">
        <v>44882</v>
      </c>
    </row>
    <row r="855" spans="1:4" x14ac:dyDescent="0.2">
      <c r="A855" t="s">
        <v>358</v>
      </c>
      <c r="C855">
        <v>0.86900000000000011</v>
      </c>
      <c r="D855" s="2">
        <v>44882</v>
      </c>
    </row>
    <row r="856" spans="1:4" x14ac:dyDescent="0.2">
      <c r="A856" t="s">
        <v>357</v>
      </c>
      <c r="C856">
        <v>2.2330000000000001</v>
      </c>
      <c r="D856" s="2">
        <v>44882</v>
      </c>
    </row>
    <row r="857" spans="1:4" x14ac:dyDescent="0.2">
      <c r="A857" t="s">
        <v>356</v>
      </c>
      <c r="C857">
        <v>3.399</v>
      </c>
      <c r="D857" s="2">
        <v>44882</v>
      </c>
    </row>
    <row r="858" spans="1:4" x14ac:dyDescent="0.2">
      <c r="A858" t="s">
        <v>355</v>
      </c>
      <c r="C858">
        <v>1.089</v>
      </c>
      <c r="D858" s="2">
        <v>44882</v>
      </c>
    </row>
    <row r="859" spans="1:4" x14ac:dyDescent="0.2">
      <c r="A859" t="s">
        <v>354</v>
      </c>
      <c r="C859">
        <v>3.63</v>
      </c>
      <c r="D859" s="2">
        <v>44882</v>
      </c>
    </row>
    <row r="860" spans="1:4" x14ac:dyDescent="0.2">
      <c r="A860" t="s">
        <v>353</v>
      </c>
      <c r="C860">
        <v>4.4330000000000007</v>
      </c>
      <c r="D860" s="2">
        <v>44882</v>
      </c>
    </row>
    <row r="861" spans="1:4" x14ac:dyDescent="0.2">
      <c r="A861" t="s">
        <v>369</v>
      </c>
      <c r="C861">
        <v>0.92400000000000004</v>
      </c>
      <c r="D861" s="2">
        <v>44882</v>
      </c>
    </row>
    <row r="862" spans="1:4" x14ac:dyDescent="0.2">
      <c r="A862" t="s">
        <v>368</v>
      </c>
      <c r="C862">
        <v>1.089</v>
      </c>
      <c r="D862" s="2">
        <v>44882</v>
      </c>
    </row>
    <row r="863" spans="1:4" x14ac:dyDescent="0.2">
      <c r="A863" t="s">
        <v>367</v>
      </c>
      <c r="C863">
        <v>1.1770000000000003</v>
      </c>
      <c r="D863" s="2">
        <v>44882</v>
      </c>
    </row>
    <row r="864" spans="1:4" x14ac:dyDescent="0.2">
      <c r="A864" t="s">
        <v>332</v>
      </c>
      <c r="C864">
        <v>12.536700000000002</v>
      </c>
      <c r="D864" s="2">
        <v>44882</v>
      </c>
    </row>
    <row r="865" spans="1:4" x14ac:dyDescent="0.2">
      <c r="A865" t="s">
        <v>376</v>
      </c>
      <c r="C865">
        <v>1.5289999999999999</v>
      </c>
      <c r="D865" s="2">
        <v>44882</v>
      </c>
    </row>
    <row r="866" spans="1:4" x14ac:dyDescent="0.2">
      <c r="A866" t="s">
        <v>374</v>
      </c>
      <c r="C866">
        <v>2.9260000000000006</v>
      </c>
      <c r="D866" s="2">
        <v>44882</v>
      </c>
    </row>
    <row r="867" spans="1:4" x14ac:dyDescent="0.2">
      <c r="A867" t="s">
        <v>375</v>
      </c>
      <c r="C867">
        <v>1.8975000000000002</v>
      </c>
      <c r="D867" s="2">
        <v>44882</v>
      </c>
    </row>
    <row r="868" spans="1:4" x14ac:dyDescent="0.2">
      <c r="A868" t="s">
        <v>378</v>
      </c>
      <c r="C868">
        <v>1.1220000000000001</v>
      </c>
      <c r="D868" s="2">
        <v>44882</v>
      </c>
    </row>
    <row r="869" spans="1:4" x14ac:dyDescent="0.2">
      <c r="A869" t="s">
        <v>380</v>
      </c>
      <c r="C869">
        <v>0.60500000000000009</v>
      </c>
      <c r="D869" s="2">
        <v>44882</v>
      </c>
    </row>
    <row r="870" spans="1:4" x14ac:dyDescent="0.2">
      <c r="A870" t="s">
        <v>373</v>
      </c>
      <c r="C870">
        <v>5.3239999999999998</v>
      </c>
      <c r="D870" s="2">
        <v>44882</v>
      </c>
    </row>
    <row r="871" spans="1:4" x14ac:dyDescent="0.2">
      <c r="A871" t="s">
        <v>372</v>
      </c>
      <c r="C871">
        <v>11.913</v>
      </c>
      <c r="D871" s="2">
        <v>44882</v>
      </c>
    </row>
    <row r="872" spans="1:4" x14ac:dyDescent="0.2">
      <c r="A872" t="s">
        <v>371</v>
      </c>
      <c r="C872">
        <v>6.7650000000000006</v>
      </c>
      <c r="D872" s="2">
        <v>44882</v>
      </c>
    </row>
    <row r="873" spans="1:4" x14ac:dyDescent="0.2">
      <c r="A873" t="s">
        <v>377</v>
      </c>
      <c r="C873">
        <v>1.298</v>
      </c>
      <c r="D873" s="2">
        <v>44882</v>
      </c>
    </row>
    <row r="874" spans="1:4" x14ac:dyDescent="0.2">
      <c r="A874" t="s">
        <v>379</v>
      </c>
      <c r="C874">
        <v>0.71720000000000006</v>
      </c>
      <c r="D874" s="2">
        <v>44882</v>
      </c>
    </row>
    <row r="875" spans="1:4" x14ac:dyDescent="0.2">
      <c r="A875" t="s">
        <v>370</v>
      </c>
      <c r="C875">
        <v>14.674000000000001</v>
      </c>
      <c r="D875" s="2">
        <v>44882</v>
      </c>
    </row>
    <row r="876" spans="1:4" x14ac:dyDescent="0.2">
      <c r="A876" t="s">
        <v>386</v>
      </c>
      <c r="C876">
        <v>1.1220000000000001</v>
      </c>
      <c r="D876" s="2">
        <v>44882</v>
      </c>
    </row>
    <row r="877" spans="1:4" x14ac:dyDescent="0.2">
      <c r="A877" t="s">
        <v>384</v>
      </c>
      <c r="C877">
        <v>2.2220000000000004</v>
      </c>
      <c r="D877" s="2">
        <v>44882</v>
      </c>
    </row>
    <row r="878" spans="1:4" x14ac:dyDescent="0.2">
      <c r="A878" t="s">
        <v>385</v>
      </c>
      <c r="C878">
        <v>1.8260000000000001</v>
      </c>
      <c r="D878" s="2">
        <v>44882</v>
      </c>
    </row>
    <row r="879" spans="1:4" x14ac:dyDescent="0.2">
      <c r="A879" t="s">
        <v>388</v>
      </c>
      <c r="C879">
        <v>0.66</v>
      </c>
      <c r="D879" s="2">
        <v>44882</v>
      </c>
    </row>
    <row r="880" spans="1:4" x14ac:dyDescent="0.2">
      <c r="A880" t="s">
        <v>390</v>
      </c>
      <c r="C880">
        <v>0.41800000000000004</v>
      </c>
      <c r="D880" s="2">
        <v>44882</v>
      </c>
    </row>
    <row r="881" spans="1:4" x14ac:dyDescent="0.2">
      <c r="A881" t="s">
        <v>391</v>
      </c>
      <c r="C881">
        <v>1.4817</v>
      </c>
      <c r="D881" s="2">
        <v>44882</v>
      </c>
    </row>
    <row r="882" spans="1:4" x14ac:dyDescent="0.2">
      <c r="A882" t="s">
        <v>383</v>
      </c>
      <c r="C882">
        <v>4.1470000000000002</v>
      </c>
      <c r="D882" s="2">
        <v>44882</v>
      </c>
    </row>
    <row r="883" spans="1:4" x14ac:dyDescent="0.2">
      <c r="A883" t="s">
        <v>382</v>
      </c>
      <c r="C883">
        <v>10.714</v>
      </c>
      <c r="D883" s="2">
        <v>44882</v>
      </c>
    </row>
    <row r="884" spans="1:4" x14ac:dyDescent="0.2">
      <c r="A884" t="s">
        <v>381</v>
      </c>
      <c r="C884">
        <v>11.165000000000001</v>
      </c>
      <c r="D884" s="2">
        <v>44882</v>
      </c>
    </row>
    <row r="885" spans="1:4" x14ac:dyDescent="0.2">
      <c r="A885" t="s">
        <v>387</v>
      </c>
      <c r="C885">
        <v>0.94600000000000006</v>
      </c>
      <c r="D885" s="2">
        <v>44882</v>
      </c>
    </row>
    <row r="886" spans="1:4" x14ac:dyDescent="0.2">
      <c r="A886" t="s">
        <v>389</v>
      </c>
      <c r="C886">
        <v>0.46090000000000003</v>
      </c>
      <c r="D886" s="2">
        <v>44882</v>
      </c>
    </row>
    <row r="887" spans="1:4" x14ac:dyDescent="0.2">
      <c r="A887" t="s">
        <v>2558</v>
      </c>
      <c r="C887">
        <v>46.343000000000004</v>
      </c>
      <c r="D887" s="2">
        <v>44882</v>
      </c>
    </row>
    <row r="888" spans="1:4" x14ac:dyDescent="0.2">
      <c r="A888" t="s">
        <v>397</v>
      </c>
      <c r="C888">
        <v>1.5312000000000001</v>
      </c>
      <c r="D888" s="2">
        <v>44882</v>
      </c>
    </row>
    <row r="889" spans="1:4" x14ac:dyDescent="0.2">
      <c r="A889" t="s">
        <v>395</v>
      </c>
      <c r="C889">
        <v>5.7200000000000006</v>
      </c>
      <c r="D889" s="2">
        <v>44882</v>
      </c>
    </row>
    <row r="890" spans="1:4" x14ac:dyDescent="0.2">
      <c r="A890" t="s">
        <v>396</v>
      </c>
      <c r="C890">
        <v>3.4760000000000004</v>
      </c>
      <c r="D890" s="2">
        <v>44882</v>
      </c>
    </row>
    <row r="891" spans="1:4" x14ac:dyDescent="0.2">
      <c r="A891" t="s">
        <v>399</v>
      </c>
      <c r="C891">
        <v>1.0120000000000002</v>
      </c>
      <c r="D891" s="2">
        <v>44882</v>
      </c>
    </row>
    <row r="892" spans="1:4" x14ac:dyDescent="0.2">
      <c r="A892" t="s">
        <v>401</v>
      </c>
      <c r="C892">
        <v>1.0846</v>
      </c>
      <c r="D892" s="2">
        <v>44882</v>
      </c>
    </row>
    <row r="893" spans="1:4" x14ac:dyDescent="0.2">
      <c r="A893" t="s">
        <v>402</v>
      </c>
      <c r="C893">
        <v>1.6753</v>
      </c>
      <c r="D893" s="2">
        <v>44882</v>
      </c>
    </row>
    <row r="894" spans="1:4" x14ac:dyDescent="0.2">
      <c r="A894" t="s">
        <v>394</v>
      </c>
      <c r="C894">
        <v>20.3049</v>
      </c>
      <c r="D894" s="2">
        <v>44882</v>
      </c>
    </row>
    <row r="895" spans="1:4" x14ac:dyDescent="0.2">
      <c r="A895" t="s">
        <v>393</v>
      </c>
      <c r="C895">
        <v>14.003000000000002</v>
      </c>
      <c r="D895" s="2">
        <v>44882</v>
      </c>
    </row>
    <row r="896" spans="1:4" x14ac:dyDescent="0.2">
      <c r="A896" t="s">
        <v>392</v>
      </c>
      <c r="C896">
        <v>27.960900000000002</v>
      </c>
      <c r="D896" s="2">
        <v>44882</v>
      </c>
    </row>
    <row r="897" spans="1:4" x14ac:dyDescent="0.2">
      <c r="A897" t="s">
        <v>398</v>
      </c>
      <c r="C897">
        <v>1.2869999999999999</v>
      </c>
      <c r="D897" s="2">
        <v>44882</v>
      </c>
    </row>
    <row r="898" spans="1:4" x14ac:dyDescent="0.2">
      <c r="A898" t="s">
        <v>400</v>
      </c>
      <c r="C898">
        <v>0.8459000000000001</v>
      </c>
      <c r="D898" s="2">
        <v>44882</v>
      </c>
    </row>
    <row r="899" spans="1:4" x14ac:dyDescent="0.2">
      <c r="A899" t="s">
        <v>408</v>
      </c>
      <c r="C899">
        <v>2.2330000000000001</v>
      </c>
      <c r="D899" s="2">
        <v>44882</v>
      </c>
    </row>
    <row r="900" spans="1:4" x14ac:dyDescent="0.2">
      <c r="A900" t="s">
        <v>407</v>
      </c>
      <c r="C900">
        <v>5.9510000000000005</v>
      </c>
      <c r="D900" s="2">
        <v>44882</v>
      </c>
    </row>
    <row r="901" spans="1:4" x14ac:dyDescent="0.2">
      <c r="A901" t="s">
        <v>403</v>
      </c>
      <c r="C901">
        <v>4.0150000000000006</v>
      </c>
      <c r="D901" s="2">
        <v>44882</v>
      </c>
    </row>
    <row r="902" spans="1:4" x14ac:dyDescent="0.2">
      <c r="A902" t="s">
        <v>410</v>
      </c>
      <c r="C902">
        <v>1.0120000000000002</v>
      </c>
      <c r="D902" s="2">
        <v>44882</v>
      </c>
    </row>
    <row r="903" spans="1:4" x14ac:dyDescent="0.2">
      <c r="A903" t="s">
        <v>412</v>
      </c>
      <c r="C903">
        <v>1.1011</v>
      </c>
      <c r="D903" s="2">
        <v>44882</v>
      </c>
    </row>
    <row r="904" spans="1:4" x14ac:dyDescent="0.2">
      <c r="A904" t="s">
        <v>413</v>
      </c>
      <c r="C904">
        <v>1.9140000000000001</v>
      </c>
      <c r="D904" s="2">
        <v>44882</v>
      </c>
    </row>
    <row r="905" spans="1:4" x14ac:dyDescent="0.2">
      <c r="A905" t="s">
        <v>406</v>
      </c>
      <c r="C905">
        <v>10.747</v>
      </c>
      <c r="D905" s="2">
        <v>44882</v>
      </c>
    </row>
    <row r="906" spans="1:4" x14ac:dyDescent="0.2">
      <c r="A906" t="s">
        <v>405</v>
      </c>
      <c r="C906">
        <v>26.268000000000001</v>
      </c>
      <c r="D906" s="2">
        <v>44882</v>
      </c>
    </row>
    <row r="907" spans="1:4" x14ac:dyDescent="0.2">
      <c r="A907" t="s">
        <v>404</v>
      </c>
      <c r="C907">
        <v>27.816800000000004</v>
      </c>
      <c r="D907" s="2">
        <v>44882</v>
      </c>
    </row>
    <row r="908" spans="1:4" x14ac:dyDescent="0.2">
      <c r="A908" t="s">
        <v>409</v>
      </c>
      <c r="C908">
        <v>1.4740000000000002</v>
      </c>
      <c r="D908" s="2">
        <v>44882</v>
      </c>
    </row>
    <row r="909" spans="1:4" x14ac:dyDescent="0.2">
      <c r="A909" t="s">
        <v>411</v>
      </c>
      <c r="C909">
        <v>0.97350000000000014</v>
      </c>
      <c r="D909" s="2">
        <v>44882</v>
      </c>
    </row>
    <row r="910" spans="1:4" x14ac:dyDescent="0.2">
      <c r="A910" t="s">
        <v>418</v>
      </c>
      <c r="C910">
        <v>6.6990000000000007</v>
      </c>
      <c r="D910" s="2">
        <v>44882</v>
      </c>
    </row>
    <row r="911" spans="1:4" x14ac:dyDescent="0.2">
      <c r="A911" t="s">
        <v>417</v>
      </c>
      <c r="C911">
        <v>17.880500000000001</v>
      </c>
      <c r="D911" s="2">
        <v>44882</v>
      </c>
    </row>
    <row r="912" spans="1:4" x14ac:dyDescent="0.2">
      <c r="A912" t="s">
        <v>420</v>
      </c>
      <c r="C912">
        <v>4.1315999999999997</v>
      </c>
      <c r="D912" s="2">
        <v>44882</v>
      </c>
    </row>
    <row r="913" spans="1:4" x14ac:dyDescent="0.2">
      <c r="A913" t="s">
        <v>422</v>
      </c>
      <c r="C913">
        <v>3.5090000000000003</v>
      </c>
      <c r="D913" s="2">
        <v>44882</v>
      </c>
    </row>
    <row r="914" spans="1:4" x14ac:dyDescent="0.2">
      <c r="A914" t="s">
        <v>416</v>
      </c>
      <c r="C914">
        <v>24.069100000000002</v>
      </c>
      <c r="D914" s="2">
        <v>44882</v>
      </c>
    </row>
    <row r="915" spans="1:4" x14ac:dyDescent="0.2">
      <c r="A915" t="s">
        <v>415</v>
      </c>
      <c r="C915">
        <v>44.787600000000005</v>
      </c>
      <c r="D915" s="2">
        <v>44882</v>
      </c>
    </row>
    <row r="916" spans="1:4" x14ac:dyDescent="0.2">
      <c r="A916" t="s">
        <v>414</v>
      </c>
      <c r="C916">
        <v>24.651000000000003</v>
      </c>
      <c r="D916" s="2">
        <v>44882</v>
      </c>
    </row>
    <row r="917" spans="1:4" x14ac:dyDescent="0.2">
      <c r="A917" t="s">
        <v>419</v>
      </c>
      <c r="C917">
        <v>4.6101000000000001</v>
      </c>
      <c r="D917" s="2">
        <v>44882</v>
      </c>
    </row>
    <row r="918" spans="1:4" x14ac:dyDescent="0.2">
      <c r="A918" t="s">
        <v>421</v>
      </c>
      <c r="C918">
        <v>3.2857000000000003</v>
      </c>
      <c r="D918" s="2">
        <v>44882</v>
      </c>
    </row>
    <row r="919" spans="1:4" x14ac:dyDescent="0.2">
      <c r="A919" t="s">
        <v>428</v>
      </c>
      <c r="C919">
        <v>5.5550000000000006</v>
      </c>
      <c r="D919" s="2">
        <v>44882</v>
      </c>
    </row>
    <row r="920" spans="1:4" x14ac:dyDescent="0.2">
      <c r="A920" t="s">
        <v>426</v>
      </c>
      <c r="C920">
        <v>13.398000000000001</v>
      </c>
      <c r="D920" s="2">
        <v>44882</v>
      </c>
    </row>
    <row r="921" spans="1:4" x14ac:dyDescent="0.2">
      <c r="A921" t="s">
        <v>427</v>
      </c>
      <c r="C921">
        <v>9.8450000000000006</v>
      </c>
      <c r="D921" s="2">
        <v>44882</v>
      </c>
    </row>
    <row r="922" spans="1:4" x14ac:dyDescent="0.2">
      <c r="A922" t="s">
        <v>430</v>
      </c>
      <c r="C922">
        <v>2.1208</v>
      </c>
      <c r="D922" s="2">
        <v>44882</v>
      </c>
    </row>
    <row r="923" spans="1:4" x14ac:dyDescent="0.2">
      <c r="A923" t="s">
        <v>432</v>
      </c>
      <c r="C923">
        <v>2.1846000000000001</v>
      </c>
      <c r="D923" s="2">
        <v>44882</v>
      </c>
    </row>
    <row r="924" spans="1:4" x14ac:dyDescent="0.2">
      <c r="A924" t="s">
        <v>425</v>
      </c>
      <c r="C924">
        <v>16.599</v>
      </c>
      <c r="D924" s="2">
        <v>44882</v>
      </c>
    </row>
    <row r="925" spans="1:4" x14ac:dyDescent="0.2">
      <c r="A925" t="s">
        <v>424</v>
      </c>
      <c r="C925">
        <v>31.394000000000002</v>
      </c>
      <c r="D925" s="2">
        <v>44882</v>
      </c>
    </row>
    <row r="926" spans="1:4" x14ac:dyDescent="0.2">
      <c r="A926" t="s">
        <v>423</v>
      </c>
      <c r="C926">
        <v>27.167249999999999</v>
      </c>
      <c r="D926" s="2">
        <v>44882</v>
      </c>
    </row>
    <row r="927" spans="1:4" x14ac:dyDescent="0.2">
      <c r="A927" t="s">
        <v>429</v>
      </c>
      <c r="C927">
        <v>4.1140000000000008</v>
      </c>
      <c r="D927" s="2">
        <v>44882</v>
      </c>
    </row>
    <row r="928" spans="1:4" x14ac:dyDescent="0.2">
      <c r="A928" t="s">
        <v>431</v>
      </c>
      <c r="C928">
        <v>2.0680000000000001</v>
      </c>
      <c r="D928" s="2">
        <v>44882</v>
      </c>
    </row>
    <row r="929" spans="1:4" x14ac:dyDescent="0.2">
      <c r="A929" t="s">
        <v>437</v>
      </c>
      <c r="C929">
        <v>2.3606000000000003</v>
      </c>
      <c r="D929" s="2">
        <v>44882</v>
      </c>
    </row>
    <row r="930" spans="1:4" x14ac:dyDescent="0.2">
      <c r="A930" t="s">
        <v>435</v>
      </c>
      <c r="C930">
        <v>5.6573000000000011</v>
      </c>
      <c r="D930" s="2">
        <v>44882</v>
      </c>
    </row>
    <row r="931" spans="1:4" x14ac:dyDescent="0.2">
      <c r="A931" t="s">
        <v>436</v>
      </c>
      <c r="C931">
        <v>19.985900000000001</v>
      </c>
      <c r="D931" s="2">
        <v>44882</v>
      </c>
    </row>
    <row r="932" spans="1:4" x14ac:dyDescent="0.2">
      <c r="A932" t="s">
        <v>438</v>
      </c>
      <c r="C932">
        <v>2.0020000000000002</v>
      </c>
      <c r="D932" s="2">
        <v>44882</v>
      </c>
    </row>
    <row r="933" spans="1:4" x14ac:dyDescent="0.2">
      <c r="A933" t="s">
        <v>434</v>
      </c>
      <c r="C933">
        <v>19.985900000000001</v>
      </c>
      <c r="D933" s="2">
        <v>44882</v>
      </c>
    </row>
    <row r="934" spans="1:4" x14ac:dyDescent="0.2">
      <c r="A934" t="s">
        <v>433</v>
      </c>
      <c r="C934">
        <v>36.294719999999998</v>
      </c>
      <c r="D934" s="2">
        <v>44882</v>
      </c>
    </row>
    <row r="935" spans="1:4" x14ac:dyDescent="0.2">
      <c r="A935" t="s">
        <v>439</v>
      </c>
      <c r="C935">
        <v>12.76</v>
      </c>
      <c r="D935" s="2">
        <v>44882</v>
      </c>
    </row>
    <row r="936" spans="1:4" x14ac:dyDescent="0.2">
      <c r="A936" t="s">
        <v>445</v>
      </c>
      <c r="C936">
        <v>5.5550000000000006</v>
      </c>
      <c r="D936" s="2">
        <v>44882</v>
      </c>
    </row>
    <row r="937" spans="1:4" x14ac:dyDescent="0.2">
      <c r="A937" t="s">
        <v>443</v>
      </c>
      <c r="C937">
        <v>12.903000000000002</v>
      </c>
      <c r="D937" s="2">
        <v>44882</v>
      </c>
    </row>
    <row r="938" spans="1:4" x14ac:dyDescent="0.2">
      <c r="A938" t="s">
        <v>444</v>
      </c>
      <c r="C938">
        <v>9.7569999999999997</v>
      </c>
      <c r="D938" s="2">
        <v>44882</v>
      </c>
    </row>
    <row r="939" spans="1:4" x14ac:dyDescent="0.2">
      <c r="A939" t="s">
        <v>447</v>
      </c>
      <c r="C939">
        <v>2.3540000000000005</v>
      </c>
      <c r="D939" s="2">
        <v>44882</v>
      </c>
    </row>
    <row r="940" spans="1:4" x14ac:dyDescent="0.2">
      <c r="A940" t="s">
        <v>449</v>
      </c>
      <c r="C940">
        <v>1.4190000000000003</v>
      </c>
      <c r="D940" s="2">
        <v>44882</v>
      </c>
    </row>
    <row r="941" spans="1:4" x14ac:dyDescent="0.2">
      <c r="A941" t="s">
        <v>442</v>
      </c>
      <c r="C941">
        <v>20.680000000000003</v>
      </c>
      <c r="D941" s="2">
        <v>44882</v>
      </c>
    </row>
    <row r="942" spans="1:4" x14ac:dyDescent="0.2">
      <c r="A942" t="s">
        <v>441</v>
      </c>
      <c r="C942">
        <v>55.527999999999999</v>
      </c>
      <c r="D942" s="2">
        <v>44882</v>
      </c>
    </row>
    <row r="943" spans="1:4" x14ac:dyDescent="0.2">
      <c r="A943" t="s">
        <v>440</v>
      </c>
      <c r="C943">
        <v>37.729999999999997</v>
      </c>
      <c r="D943" s="2">
        <v>44882</v>
      </c>
    </row>
    <row r="944" spans="1:4" x14ac:dyDescent="0.2">
      <c r="A944" t="s">
        <v>446</v>
      </c>
      <c r="C944">
        <v>4.1140000000000008</v>
      </c>
      <c r="D944" s="2">
        <v>44882</v>
      </c>
    </row>
    <row r="945" spans="1:4" x14ac:dyDescent="0.2">
      <c r="A945" t="s">
        <v>448</v>
      </c>
      <c r="C945">
        <v>1.3420000000000001</v>
      </c>
      <c r="D945" s="2">
        <v>44882</v>
      </c>
    </row>
    <row r="946" spans="1:4" x14ac:dyDescent="0.2">
      <c r="A946" t="s">
        <v>455</v>
      </c>
      <c r="C946">
        <v>6.9300000000000006</v>
      </c>
      <c r="D946" s="2">
        <v>44882</v>
      </c>
    </row>
    <row r="947" spans="1:4" x14ac:dyDescent="0.2">
      <c r="A947" t="s">
        <v>453</v>
      </c>
      <c r="C947">
        <v>19.698800000000002</v>
      </c>
      <c r="D947" s="2">
        <v>44882</v>
      </c>
    </row>
    <row r="948" spans="1:4" x14ac:dyDescent="0.2">
      <c r="A948" t="s">
        <v>454</v>
      </c>
      <c r="C948">
        <v>4.0903499999999999</v>
      </c>
      <c r="D948" s="2">
        <v>44882</v>
      </c>
    </row>
    <row r="949" spans="1:4" x14ac:dyDescent="0.2">
      <c r="A949" t="s">
        <v>457</v>
      </c>
      <c r="C949">
        <v>2.8875000000000002</v>
      </c>
      <c r="D949" s="2">
        <v>44882</v>
      </c>
    </row>
    <row r="950" spans="1:4" x14ac:dyDescent="0.2">
      <c r="A950" t="s">
        <v>459</v>
      </c>
      <c r="C950">
        <v>1.4652000000000001</v>
      </c>
      <c r="D950" s="2">
        <v>44882</v>
      </c>
    </row>
    <row r="951" spans="1:4" x14ac:dyDescent="0.2">
      <c r="A951" t="s">
        <v>452</v>
      </c>
      <c r="C951">
        <v>19.698800000000002</v>
      </c>
      <c r="D951" s="2">
        <v>44882</v>
      </c>
    </row>
    <row r="952" spans="1:4" x14ac:dyDescent="0.2">
      <c r="A952" t="s">
        <v>451</v>
      </c>
      <c r="C952">
        <v>17.155050000000003</v>
      </c>
      <c r="D952" s="2">
        <v>44882</v>
      </c>
    </row>
    <row r="953" spans="1:4" x14ac:dyDescent="0.2">
      <c r="A953" t="s">
        <v>450</v>
      </c>
      <c r="C953">
        <v>18.722000000000001</v>
      </c>
      <c r="D953" s="2">
        <v>44882</v>
      </c>
    </row>
    <row r="954" spans="1:4" x14ac:dyDescent="0.2">
      <c r="A954" t="s">
        <v>456</v>
      </c>
      <c r="C954">
        <v>2.8875000000000002</v>
      </c>
      <c r="D954" s="2">
        <v>44882</v>
      </c>
    </row>
    <row r="955" spans="1:4" x14ac:dyDescent="0.2">
      <c r="A955" t="s">
        <v>458</v>
      </c>
      <c r="C955">
        <v>2.8875000000000002</v>
      </c>
      <c r="D955" s="2">
        <v>44882</v>
      </c>
    </row>
    <row r="956" spans="1:4" x14ac:dyDescent="0.2">
      <c r="A956" t="s">
        <v>463</v>
      </c>
      <c r="C956">
        <v>5.1040000000000001</v>
      </c>
      <c r="D956" s="2">
        <v>44882</v>
      </c>
    </row>
    <row r="957" spans="1:4" x14ac:dyDescent="0.2">
      <c r="A957" t="s">
        <v>461</v>
      </c>
      <c r="C957">
        <v>6.1660499999999994</v>
      </c>
      <c r="D957" s="2">
        <v>44882</v>
      </c>
    </row>
    <row r="958" spans="1:4" x14ac:dyDescent="0.2">
      <c r="A958" t="s">
        <v>462</v>
      </c>
      <c r="C958">
        <v>6.7540000000000004</v>
      </c>
      <c r="D958" s="2">
        <v>44882</v>
      </c>
    </row>
    <row r="959" spans="1:4" x14ac:dyDescent="0.2">
      <c r="A959" t="s">
        <v>465</v>
      </c>
      <c r="C959">
        <v>2.6840000000000002</v>
      </c>
      <c r="D959" s="2">
        <v>44882</v>
      </c>
    </row>
    <row r="960" spans="1:4" x14ac:dyDescent="0.2">
      <c r="A960" t="s">
        <v>467</v>
      </c>
      <c r="C960">
        <v>2.5960000000000001</v>
      </c>
      <c r="D960" s="2">
        <v>44882</v>
      </c>
    </row>
    <row r="961" spans="1:4" x14ac:dyDescent="0.2">
      <c r="A961" t="s">
        <v>460</v>
      </c>
      <c r="C961">
        <v>13.42</v>
      </c>
      <c r="D961" s="2">
        <v>44882</v>
      </c>
    </row>
    <row r="962" spans="1:4" x14ac:dyDescent="0.2">
      <c r="A962" t="s">
        <v>464</v>
      </c>
      <c r="C962">
        <v>4.0810000000000004</v>
      </c>
      <c r="D962" s="2">
        <v>44882</v>
      </c>
    </row>
    <row r="963" spans="1:4" x14ac:dyDescent="0.2">
      <c r="A963" t="s">
        <v>466</v>
      </c>
      <c r="C963">
        <v>5.1920000000000002</v>
      </c>
      <c r="D963" s="2">
        <v>44882</v>
      </c>
    </row>
    <row r="964" spans="1:4" x14ac:dyDescent="0.2">
      <c r="A964" t="s">
        <v>469</v>
      </c>
      <c r="C964">
        <v>8.7230000000000008</v>
      </c>
      <c r="D964" s="2">
        <v>44882</v>
      </c>
    </row>
    <row r="965" spans="1:4" x14ac:dyDescent="0.2">
      <c r="A965" t="s">
        <v>470</v>
      </c>
      <c r="C965">
        <v>7.7198000000000002</v>
      </c>
      <c r="D965" s="2">
        <v>44882</v>
      </c>
    </row>
    <row r="966" spans="1:4" x14ac:dyDescent="0.2">
      <c r="A966" t="s">
        <v>471</v>
      </c>
      <c r="C966">
        <v>5.5825000000000005</v>
      </c>
      <c r="D966" s="2">
        <v>44882</v>
      </c>
    </row>
    <row r="967" spans="1:4" x14ac:dyDescent="0.2">
      <c r="A967" t="s">
        <v>468</v>
      </c>
      <c r="C967">
        <v>9.5920000000000023</v>
      </c>
      <c r="D967" s="2">
        <v>44882</v>
      </c>
    </row>
    <row r="968" spans="1:4" x14ac:dyDescent="0.2">
      <c r="A968" t="s">
        <v>478</v>
      </c>
      <c r="C968">
        <v>1.4080000000000001</v>
      </c>
      <c r="D968" s="2">
        <v>44882</v>
      </c>
    </row>
    <row r="969" spans="1:4" x14ac:dyDescent="0.2">
      <c r="A969" t="s">
        <v>476</v>
      </c>
      <c r="C969">
        <v>2.827</v>
      </c>
      <c r="D969" s="2">
        <v>44882</v>
      </c>
    </row>
    <row r="970" spans="1:4" x14ac:dyDescent="0.2">
      <c r="A970" t="s">
        <v>477</v>
      </c>
      <c r="C970">
        <v>2.431</v>
      </c>
      <c r="D970" s="2">
        <v>44882</v>
      </c>
    </row>
    <row r="971" spans="1:4" x14ac:dyDescent="0.2">
      <c r="A971" t="s">
        <v>480</v>
      </c>
      <c r="C971">
        <v>0.89100000000000013</v>
      </c>
      <c r="D971" s="2">
        <v>44882</v>
      </c>
    </row>
    <row r="972" spans="1:4" x14ac:dyDescent="0.2">
      <c r="A972" t="s">
        <v>482</v>
      </c>
      <c r="C972">
        <v>0.77</v>
      </c>
      <c r="D972" s="2">
        <v>44882</v>
      </c>
    </row>
    <row r="973" spans="1:4" x14ac:dyDescent="0.2">
      <c r="A973" t="s">
        <v>483</v>
      </c>
      <c r="C973">
        <v>1.089</v>
      </c>
      <c r="D973" s="2">
        <v>44882</v>
      </c>
    </row>
    <row r="974" spans="1:4" x14ac:dyDescent="0.2">
      <c r="A974" t="s">
        <v>475</v>
      </c>
      <c r="C974">
        <v>5.1040000000000001</v>
      </c>
      <c r="D974" s="2">
        <v>44882</v>
      </c>
    </row>
    <row r="975" spans="1:4" x14ac:dyDescent="0.2">
      <c r="A975" t="s">
        <v>474</v>
      </c>
      <c r="C975">
        <v>13.519</v>
      </c>
      <c r="D975" s="2">
        <v>44882</v>
      </c>
    </row>
    <row r="976" spans="1:4" x14ac:dyDescent="0.2">
      <c r="A976" t="s">
        <v>473</v>
      </c>
      <c r="C976">
        <v>14.806000000000003</v>
      </c>
      <c r="D976" s="2">
        <v>44882</v>
      </c>
    </row>
    <row r="977" spans="1:4" x14ac:dyDescent="0.2">
      <c r="A977" t="s">
        <v>479</v>
      </c>
      <c r="C977">
        <v>1.089</v>
      </c>
      <c r="D977" s="2">
        <v>44882</v>
      </c>
    </row>
    <row r="978" spans="1:4" x14ac:dyDescent="0.2">
      <c r="A978" t="s">
        <v>481</v>
      </c>
      <c r="C978">
        <v>0.89100000000000013</v>
      </c>
      <c r="D978" s="2">
        <v>44882</v>
      </c>
    </row>
    <row r="979" spans="1:4" x14ac:dyDescent="0.2">
      <c r="A979" t="s">
        <v>472</v>
      </c>
      <c r="C979">
        <v>28.171000000000003</v>
      </c>
      <c r="D979" s="2">
        <v>44882</v>
      </c>
    </row>
    <row r="980" spans="1:4" x14ac:dyDescent="0.2">
      <c r="A980" t="s">
        <v>500</v>
      </c>
      <c r="C980">
        <v>4.4000000000000004</v>
      </c>
      <c r="D980" s="2">
        <v>44882</v>
      </c>
    </row>
    <row r="981" spans="1:4" x14ac:dyDescent="0.2">
      <c r="A981" t="s">
        <v>493</v>
      </c>
      <c r="C981">
        <v>9.8120000000000012</v>
      </c>
      <c r="D981" s="2">
        <v>44882</v>
      </c>
    </row>
    <row r="982" spans="1:4" x14ac:dyDescent="0.2">
      <c r="A982" t="s">
        <v>492</v>
      </c>
      <c r="C982">
        <v>4.8289999999999997</v>
      </c>
      <c r="D982" s="2">
        <v>44882</v>
      </c>
    </row>
    <row r="983" spans="1:4" x14ac:dyDescent="0.2">
      <c r="A983" t="s">
        <v>495</v>
      </c>
      <c r="C983">
        <v>3.4650000000000003</v>
      </c>
      <c r="D983" s="2">
        <v>44882</v>
      </c>
    </row>
    <row r="984" spans="1:4" x14ac:dyDescent="0.2">
      <c r="A984" t="s">
        <v>494</v>
      </c>
      <c r="C984">
        <v>7.3810000000000002</v>
      </c>
      <c r="D984" s="2">
        <v>44882</v>
      </c>
    </row>
    <row r="985" spans="1:4" x14ac:dyDescent="0.2">
      <c r="A985" t="s">
        <v>496</v>
      </c>
      <c r="C985">
        <v>3.9490000000000003</v>
      </c>
      <c r="D985" s="2">
        <v>44882</v>
      </c>
    </row>
    <row r="986" spans="1:4" x14ac:dyDescent="0.2">
      <c r="A986" t="s">
        <v>498</v>
      </c>
      <c r="C986">
        <v>2.6950000000000003</v>
      </c>
      <c r="D986" s="2">
        <v>44882</v>
      </c>
    </row>
    <row r="987" spans="1:4" x14ac:dyDescent="0.2">
      <c r="A987" t="s">
        <v>497</v>
      </c>
      <c r="C987">
        <v>3.3330000000000002</v>
      </c>
      <c r="D987" s="2">
        <v>44882</v>
      </c>
    </row>
    <row r="988" spans="1:4" x14ac:dyDescent="0.2">
      <c r="A988" t="s">
        <v>505</v>
      </c>
      <c r="C988">
        <v>1.6060000000000001</v>
      </c>
      <c r="D988" s="2">
        <v>44882</v>
      </c>
    </row>
    <row r="989" spans="1:4" x14ac:dyDescent="0.2">
      <c r="A989" t="s">
        <v>506</v>
      </c>
      <c r="C989">
        <v>2.0130000000000003</v>
      </c>
      <c r="D989" s="2">
        <v>44882</v>
      </c>
    </row>
    <row r="990" spans="1:4" x14ac:dyDescent="0.2">
      <c r="A990" t="s">
        <v>504</v>
      </c>
      <c r="C990">
        <v>1.4190000000000003</v>
      </c>
      <c r="D990" s="2">
        <v>44882</v>
      </c>
    </row>
    <row r="991" spans="1:4" x14ac:dyDescent="0.2">
      <c r="A991" t="s">
        <v>499</v>
      </c>
      <c r="C991">
        <v>2.387</v>
      </c>
      <c r="D991" s="2">
        <v>44882</v>
      </c>
    </row>
    <row r="992" spans="1:4" x14ac:dyDescent="0.2">
      <c r="A992" t="s">
        <v>491</v>
      </c>
      <c r="C992">
        <v>8.7670000000000012</v>
      </c>
      <c r="D992" s="2">
        <v>44882</v>
      </c>
    </row>
    <row r="993" spans="1:4" x14ac:dyDescent="0.2">
      <c r="A993" t="s">
        <v>489</v>
      </c>
      <c r="C993">
        <v>9.8120000000000012</v>
      </c>
      <c r="D993" s="2">
        <v>44882</v>
      </c>
    </row>
    <row r="994" spans="1:4" x14ac:dyDescent="0.2">
      <c r="A994" t="s">
        <v>490</v>
      </c>
      <c r="C994">
        <v>6.16</v>
      </c>
      <c r="D994" s="2">
        <v>44882</v>
      </c>
    </row>
    <row r="995" spans="1:4" x14ac:dyDescent="0.2">
      <c r="A995" t="s">
        <v>488</v>
      </c>
      <c r="C995">
        <v>7.1060000000000008</v>
      </c>
      <c r="D995" s="2">
        <v>44882</v>
      </c>
    </row>
    <row r="996" spans="1:4" x14ac:dyDescent="0.2">
      <c r="A996" t="s">
        <v>487</v>
      </c>
      <c r="C996">
        <v>21.736000000000004</v>
      </c>
      <c r="D996" s="2">
        <v>44882</v>
      </c>
    </row>
    <row r="997" spans="1:4" x14ac:dyDescent="0.2">
      <c r="A997" t="s">
        <v>486</v>
      </c>
      <c r="C997">
        <v>8.4480000000000004</v>
      </c>
      <c r="D997" s="2">
        <v>44882</v>
      </c>
    </row>
    <row r="998" spans="1:4" x14ac:dyDescent="0.2">
      <c r="A998" t="s">
        <v>485</v>
      </c>
      <c r="C998">
        <v>14.674000000000001</v>
      </c>
      <c r="D998" s="2">
        <v>44882</v>
      </c>
    </row>
    <row r="999" spans="1:4" x14ac:dyDescent="0.2">
      <c r="A999" t="s">
        <v>484</v>
      </c>
      <c r="C999">
        <v>18.612000000000002</v>
      </c>
      <c r="D999" s="2">
        <v>44882</v>
      </c>
    </row>
    <row r="1000" spans="1:4" x14ac:dyDescent="0.2">
      <c r="A1000" t="s">
        <v>501</v>
      </c>
      <c r="C1000">
        <v>2.1890000000000001</v>
      </c>
      <c r="D1000" s="2">
        <v>44882</v>
      </c>
    </row>
    <row r="1001" spans="1:4" x14ac:dyDescent="0.2">
      <c r="A1001" t="s">
        <v>503</v>
      </c>
      <c r="C1001">
        <v>2.5960000000000001</v>
      </c>
      <c r="D1001" s="2">
        <v>44882</v>
      </c>
    </row>
    <row r="1002" spans="1:4" x14ac:dyDescent="0.2">
      <c r="A1002" t="s">
        <v>502</v>
      </c>
      <c r="C1002">
        <v>2.5299999999999998</v>
      </c>
      <c r="D1002" s="2">
        <v>44882</v>
      </c>
    </row>
    <row r="1003" spans="1:4" x14ac:dyDescent="0.2">
      <c r="A1003" t="s">
        <v>507</v>
      </c>
      <c r="C1003">
        <v>1.1880000000000002</v>
      </c>
      <c r="D1003" s="2">
        <v>44882</v>
      </c>
    </row>
    <row r="1004" spans="1:4" x14ac:dyDescent="0.2">
      <c r="A1004" t="s">
        <v>508</v>
      </c>
      <c r="C1004">
        <v>1.2429999999999999</v>
      </c>
      <c r="D1004" s="2">
        <v>44882</v>
      </c>
    </row>
    <row r="1005" spans="1:4" x14ac:dyDescent="0.2">
      <c r="A1005" t="s">
        <v>514</v>
      </c>
      <c r="C1005">
        <v>1.5840000000000001</v>
      </c>
      <c r="D1005" s="2">
        <v>44882</v>
      </c>
    </row>
    <row r="1006" spans="1:4" x14ac:dyDescent="0.2">
      <c r="A1006" t="s">
        <v>512</v>
      </c>
      <c r="C1006">
        <v>3.8610000000000002</v>
      </c>
      <c r="D1006" s="2">
        <v>44882</v>
      </c>
    </row>
    <row r="1007" spans="1:4" x14ac:dyDescent="0.2">
      <c r="A1007" t="s">
        <v>513</v>
      </c>
      <c r="C1007">
        <v>2.431</v>
      </c>
      <c r="D1007" s="2">
        <v>44882</v>
      </c>
    </row>
    <row r="1008" spans="1:4" x14ac:dyDescent="0.2">
      <c r="A1008" t="s">
        <v>516</v>
      </c>
      <c r="C1008">
        <v>1.0449999999999999</v>
      </c>
      <c r="D1008" s="2">
        <v>44882</v>
      </c>
    </row>
    <row r="1009" spans="1:4" x14ac:dyDescent="0.2">
      <c r="A1009" t="s">
        <v>518</v>
      </c>
      <c r="C1009">
        <v>0.69300000000000006</v>
      </c>
      <c r="D1009" s="2">
        <v>44882</v>
      </c>
    </row>
    <row r="1010" spans="1:4" x14ac:dyDescent="0.2">
      <c r="A1010" t="s">
        <v>519</v>
      </c>
      <c r="C1010">
        <v>0.90200000000000002</v>
      </c>
      <c r="D1010" s="2">
        <v>44882</v>
      </c>
    </row>
    <row r="1011" spans="1:4" x14ac:dyDescent="0.2">
      <c r="A1011" t="s">
        <v>511</v>
      </c>
      <c r="C1011">
        <v>5.7640000000000011</v>
      </c>
      <c r="D1011" s="2">
        <v>44882</v>
      </c>
    </row>
    <row r="1012" spans="1:4" x14ac:dyDescent="0.2">
      <c r="A1012" t="s">
        <v>510</v>
      </c>
      <c r="C1012">
        <v>19.624000000000002</v>
      </c>
      <c r="D1012" s="2">
        <v>44882</v>
      </c>
    </row>
    <row r="1013" spans="1:4" x14ac:dyDescent="0.2">
      <c r="A1013" t="s">
        <v>509</v>
      </c>
      <c r="C1013">
        <v>14.267000000000001</v>
      </c>
      <c r="D1013" s="2">
        <v>44882</v>
      </c>
    </row>
    <row r="1014" spans="1:4" x14ac:dyDescent="0.2">
      <c r="A1014" t="s">
        <v>515</v>
      </c>
      <c r="C1014">
        <v>1.2210000000000003</v>
      </c>
      <c r="D1014" s="2">
        <v>44882</v>
      </c>
    </row>
    <row r="1015" spans="1:4" x14ac:dyDescent="0.2">
      <c r="A1015" t="s">
        <v>517</v>
      </c>
      <c r="C1015">
        <v>0.64900000000000002</v>
      </c>
      <c r="D1015" s="2">
        <v>44882</v>
      </c>
    </row>
    <row r="1016" spans="1:4" x14ac:dyDescent="0.2">
      <c r="A1016" t="s">
        <v>540</v>
      </c>
      <c r="C1016">
        <v>2.6179999999999999</v>
      </c>
      <c r="D1016" s="2">
        <v>44882</v>
      </c>
    </row>
    <row r="1017" spans="1:4" x14ac:dyDescent="0.2">
      <c r="A1017" t="s">
        <v>532</v>
      </c>
      <c r="C1017">
        <v>2.8820000000000006</v>
      </c>
      <c r="D1017" s="2">
        <v>44882</v>
      </c>
    </row>
    <row r="1018" spans="1:4" x14ac:dyDescent="0.2">
      <c r="A1018" t="s">
        <v>531</v>
      </c>
      <c r="C1018">
        <v>1.1550000000000002</v>
      </c>
      <c r="D1018" s="2">
        <v>44882</v>
      </c>
    </row>
    <row r="1019" spans="1:4" x14ac:dyDescent="0.2">
      <c r="A1019" t="s">
        <v>534</v>
      </c>
      <c r="C1019">
        <v>6.2205000000000004</v>
      </c>
      <c r="D1019" s="2">
        <v>44882</v>
      </c>
    </row>
    <row r="1020" spans="1:4" x14ac:dyDescent="0.2">
      <c r="A1020" t="s">
        <v>533</v>
      </c>
      <c r="C1020">
        <v>5.5033000000000003</v>
      </c>
      <c r="D1020" s="2">
        <v>44882</v>
      </c>
    </row>
    <row r="1021" spans="1:4" x14ac:dyDescent="0.2">
      <c r="A1021" t="s">
        <v>535</v>
      </c>
      <c r="C1021">
        <v>4.4110000000000005</v>
      </c>
      <c r="D1021" s="2">
        <v>44882</v>
      </c>
    </row>
    <row r="1022" spans="1:4" x14ac:dyDescent="0.2">
      <c r="A1022" t="s">
        <v>537</v>
      </c>
      <c r="C1022">
        <v>3.9875000000000003</v>
      </c>
      <c r="D1022" s="2">
        <v>44882</v>
      </c>
    </row>
    <row r="1023" spans="1:4" x14ac:dyDescent="0.2">
      <c r="A1023" t="s">
        <v>536</v>
      </c>
      <c r="C1023">
        <v>4.4110000000000005</v>
      </c>
      <c r="D1023" s="2">
        <v>44882</v>
      </c>
    </row>
    <row r="1024" spans="1:4" x14ac:dyDescent="0.2">
      <c r="A1024" t="s">
        <v>538</v>
      </c>
      <c r="C1024">
        <v>5.1997000000000009</v>
      </c>
      <c r="D1024" s="2">
        <v>44882</v>
      </c>
    </row>
    <row r="1025" spans="1:4" x14ac:dyDescent="0.2">
      <c r="A1025" t="s">
        <v>546</v>
      </c>
      <c r="C1025">
        <v>1.1550000000000002</v>
      </c>
      <c r="D1025" s="2">
        <v>44882</v>
      </c>
    </row>
    <row r="1026" spans="1:4" x14ac:dyDescent="0.2">
      <c r="A1026" t="s">
        <v>545</v>
      </c>
      <c r="C1026">
        <v>1.7380000000000002</v>
      </c>
      <c r="D1026" s="2">
        <v>44882</v>
      </c>
    </row>
    <row r="1027" spans="1:4" x14ac:dyDescent="0.2">
      <c r="A1027" t="s">
        <v>539</v>
      </c>
      <c r="C1027">
        <v>2.3980000000000006</v>
      </c>
      <c r="D1027" s="2">
        <v>44882</v>
      </c>
    </row>
    <row r="1028" spans="1:4" x14ac:dyDescent="0.2">
      <c r="A1028" t="s">
        <v>541</v>
      </c>
      <c r="C1028">
        <v>2.9832000000000005</v>
      </c>
      <c r="D1028" s="2">
        <v>44882</v>
      </c>
    </row>
    <row r="1029" spans="1:4" x14ac:dyDescent="0.2">
      <c r="A1029" t="s">
        <v>549</v>
      </c>
      <c r="C1029">
        <v>1.9958400000000005</v>
      </c>
      <c r="D1029" s="2">
        <v>44882</v>
      </c>
    </row>
    <row r="1030" spans="1:4" x14ac:dyDescent="0.2">
      <c r="A1030" t="s">
        <v>529</v>
      </c>
      <c r="C1030">
        <v>10.736000000000001</v>
      </c>
      <c r="D1030" s="2">
        <v>44882</v>
      </c>
    </row>
    <row r="1031" spans="1:4" x14ac:dyDescent="0.2">
      <c r="A1031" t="s">
        <v>527</v>
      </c>
      <c r="C1031">
        <v>6.8112000000000004</v>
      </c>
      <c r="D1031" s="2">
        <v>44882</v>
      </c>
    </row>
    <row r="1032" spans="1:4" x14ac:dyDescent="0.2">
      <c r="A1032" t="s">
        <v>528</v>
      </c>
      <c r="C1032">
        <v>7.2413000000000007</v>
      </c>
      <c r="D1032" s="2">
        <v>44882</v>
      </c>
    </row>
    <row r="1033" spans="1:4" x14ac:dyDescent="0.2">
      <c r="A1033" t="s">
        <v>530</v>
      </c>
      <c r="C1033">
        <v>8.1664000000000012</v>
      </c>
      <c r="D1033" s="2">
        <v>44882</v>
      </c>
    </row>
    <row r="1034" spans="1:4" x14ac:dyDescent="0.2">
      <c r="A1034" t="s">
        <v>526</v>
      </c>
      <c r="C1034">
        <v>12.75736</v>
      </c>
      <c r="D1034" s="2">
        <v>44882</v>
      </c>
    </row>
    <row r="1035" spans="1:4" x14ac:dyDescent="0.2">
      <c r="A1035" t="s">
        <v>525</v>
      </c>
      <c r="C1035">
        <v>21.736000000000004</v>
      </c>
      <c r="D1035" s="2">
        <v>44882</v>
      </c>
    </row>
    <row r="1036" spans="1:4" x14ac:dyDescent="0.2">
      <c r="A1036" t="s">
        <v>524</v>
      </c>
      <c r="C1036">
        <v>36.102000000000004</v>
      </c>
      <c r="D1036" s="2">
        <v>44882</v>
      </c>
    </row>
    <row r="1037" spans="1:4" x14ac:dyDescent="0.2">
      <c r="A1037" t="s">
        <v>523</v>
      </c>
      <c r="C1037">
        <v>30.879200000000001</v>
      </c>
      <c r="D1037" s="2">
        <v>44882</v>
      </c>
    </row>
    <row r="1038" spans="1:4" x14ac:dyDescent="0.2">
      <c r="A1038" t="s">
        <v>542</v>
      </c>
      <c r="C1038">
        <v>2.0130000000000003</v>
      </c>
      <c r="D1038" s="2">
        <v>44882</v>
      </c>
    </row>
    <row r="1039" spans="1:4" x14ac:dyDescent="0.2">
      <c r="A1039" t="s">
        <v>544</v>
      </c>
      <c r="C1039">
        <v>2.4516799999999996</v>
      </c>
      <c r="D1039" s="2">
        <v>44882</v>
      </c>
    </row>
    <row r="1040" spans="1:4" x14ac:dyDescent="0.2">
      <c r="A1040" t="s">
        <v>543</v>
      </c>
      <c r="C1040">
        <v>1.9305000000000001</v>
      </c>
      <c r="D1040" s="2">
        <v>44882</v>
      </c>
    </row>
    <row r="1041" spans="1:4" x14ac:dyDescent="0.2">
      <c r="A1041" t="s">
        <v>547</v>
      </c>
      <c r="C1041">
        <v>1.5796000000000001</v>
      </c>
      <c r="D1041" s="2">
        <v>44882</v>
      </c>
    </row>
    <row r="1042" spans="1:4" x14ac:dyDescent="0.2">
      <c r="A1042" t="s">
        <v>548</v>
      </c>
      <c r="C1042">
        <v>1.5477000000000001</v>
      </c>
      <c r="D1042" s="2">
        <v>44882</v>
      </c>
    </row>
    <row r="1043" spans="1:4" x14ac:dyDescent="0.2">
      <c r="A1043" t="s">
        <v>522</v>
      </c>
      <c r="C1043">
        <v>29.537200000000002</v>
      </c>
      <c r="D1043" s="2">
        <v>44882</v>
      </c>
    </row>
    <row r="1044" spans="1:4" x14ac:dyDescent="0.2">
      <c r="A1044" t="s">
        <v>520</v>
      </c>
      <c r="C1044">
        <v>30.873920000000002</v>
      </c>
      <c r="D1044" s="2">
        <v>44882</v>
      </c>
    </row>
    <row r="1045" spans="1:4" x14ac:dyDescent="0.2">
      <c r="A1045" t="s">
        <v>521</v>
      </c>
      <c r="C1045">
        <v>27.533549999999998</v>
      </c>
      <c r="D1045" s="2">
        <v>44882</v>
      </c>
    </row>
    <row r="1046" spans="1:4" x14ac:dyDescent="0.2">
      <c r="A1046" t="s">
        <v>565</v>
      </c>
      <c r="C1046">
        <v>3.4210000000000003</v>
      </c>
      <c r="D1046" s="2">
        <v>44882</v>
      </c>
    </row>
    <row r="1047" spans="1:4" x14ac:dyDescent="0.2">
      <c r="A1047" t="s">
        <v>559</v>
      </c>
      <c r="C1047">
        <v>7.8540000000000001</v>
      </c>
      <c r="D1047" s="2">
        <v>44882</v>
      </c>
    </row>
    <row r="1048" spans="1:4" x14ac:dyDescent="0.2">
      <c r="A1048" t="s">
        <v>558</v>
      </c>
      <c r="C1048">
        <v>6.5010000000000003</v>
      </c>
      <c r="D1048" s="2">
        <v>44882</v>
      </c>
    </row>
    <row r="1049" spans="1:4" x14ac:dyDescent="0.2">
      <c r="A1049" t="s">
        <v>560</v>
      </c>
      <c r="C1049">
        <v>3.9160000000000004</v>
      </c>
      <c r="D1049" s="2">
        <v>44882</v>
      </c>
    </row>
    <row r="1050" spans="1:4" x14ac:dyDescent="0.2">
      <c r="A1050" t="s">
        <v>561</v>
      </c>
      <c r="C1050">
        <v>3.9160000000000004</v>
      </c>
      <c r="D1050" s="2">
        <v>44882</v>
      </c>
    </row>
    <row r="1051" spans="1:4" x14ac:dyDescent="0.2">
      <c r="A1051" t="s">
        <v>563</v>
      </c>
      <c r="C1051">
        <v>8.657</v>
      </c>
      <c r="D1051" s="2">
        <v>44882</v>
      </c>
    </row>
    <row r="1052" spans="1:4" x14ac:dyDescent="0.2">
      <c r="A1052" t="s">
        <v>562</v>
      </c>
      <c r="C1052">
        <v>6.5890000000000004</v>
      </c>
      <c r="D1052" s="2">
        <v>44882</v>
      </c>
    </row>
    <row r="1053" spans="1:4" x14ac:dyDescent="0.2">
      <c r="A1053" t="s">
        <v>570</v>
      </c>
      <c r="C1053">
        <v>2.3100000000000005</v>
      </c>
      <c r="D1053" s="2">
        <v>44882</v>
      </c>
    </row>
    <row r="1054" spans="1:4" x14ac:dyDescent="0.2">
      <c r="A1054" t="s">
        <v>569</v>
      </c>
      <c r="C1054">
        <v>1.903</v>
      </c>
      <c r="D1054" s="2">
        <v>44882</v>
      </c>
    </row>
    <row r="1055" spans="1:4" x14ac:dyDescent="0.2">
      <c r="A1055" t="s">
        <v>564</v>
      </c>
      <c r="C1055">
        <v>3.5750000000000002</v>
      </c>
      <c r="D1055" s="2">
        <v>44882</v>
      </c>
    </row>
    <row r="1056" spans="1:4" x14ac:dyDescent="0.2">
      <c r="A1056" t="s">
        <v>566</v>
      </c>
      <c r="C1056">
        <v>1.298</v>
      </c>
      <c r="D1056" s="2">
        <v>44882</v>
      </c>
    </row>
    <row r="1057" spans="1:4" x14ac:dyDescent="0.2">
      <c r="A1057" t="s">
        <v>573</v>
      </c>
      <c r="C1057">
        <v>2.2109999999999999</v>
      </c>
      <c r="D1057" s="2">
        <v>44882</v>
      </c>
    </row>
    <row r="1058" spans="1:4" x14ac:dyDescent="0.2">
      <c r="A1058" t="s">
        <v>556</v>
      </c>
      <c r="C1058">
        <v>7.3040000000000003</v>
      </c>
      <c r="D1058" s="2">
        <v>44882</v>
      </c>
    </row>
    <row r="1059" spans="1:4" x14ac:dyDescent="0.2">
      <c r="A1059" t="s">
        <v>554</v>
      </c>
      <c r="C1059">
        <v>12.815000000000001</v>
      </c>
      <c r="D1059" s="2">
        <v>44882</v>
      </c>
    </row>
    <row r="1060" spans="1:4" x14ac:dyDescent="0.2">
      <c r="A1060" t="s">
        <v>555</v>
      </c>
      <c r="C1060">
        <v>22.682000000000002</v>
      </c>
      <c r="D1060" s="2">
        <v>44882</v>
      </c>
    </row>
    <row r="1061" spans="1:4" x14ac:dyDescent="0.2">
      <c r="A1061" t="s">
        <v>557</v>
      </c>
      <c r="C1061">
        <v>3.1680000000000001</v>
      </c>
      <c r="D1061" s="2">
        <v>44882</v>
      </c>
    </row>
    <row r="1062" spans="1:4" x14ac:dyDescent="0.2">
      <c r="A1062" t="s">
        <v>553</v>
      </c>
      <c r="C1062">
        <v>19.915279999999999</v>
      </c>
      <c r="D1062" s="2">
        <v>44882</v>
      </c>
    </row>
    <row r="1063" spans="1:4" x14ac:dyDescent="0.2">
      <c r="A1063" t="s">
        <v>552</v>
      </c>
      <c r="C1063">
        <v>10.483000000000001</v>
      </c>
      <c r="D1063" s="2">
        <v>44882</v>
      </c>
    </row>
    <row r="1064" spans="1:4" x14ac:dyDescent="0.2">
      <c r="A1064" t="s">
        <v>551</v>
      </c>
      <c r="C1064">
        <v>22.878240000000002</v>
      </c>
      <c r="D1064" s="2">
        <v>44882</v>
      </c>
    </row>
    <row r="1065" spans="1:4" x14ac:dyDescent="0.2">
      <c r="A1065" t="s">
        <v>550</v>
      </c>
      <c r="C1065">
        <v>17.633000000000003</v>
      </c>
      <c r="D1065" s="2">
        <v>44882</v>
      </c>
    </row>
    <row r="1066" spans="1:4" x14ac:dyDescent="0.2">
      <c r="A1066" t="s">
        <v>567</v>
      </c>
      <c r="C1066">
        <v>2.0680000000000001</v>
      </c>
      <c r="D1066" s="2">
        <v>44882</v>
      </c>
    </row>
    <row r="1067" spans="1:4" x14ac:dyDescent="0.2">
      <c r="A1067" t="s">
        <v>568</v>
      </c>
      <c r="C1067">
        <v>1.7929999999999999</v>
      </c>
      <c r="D1067" s="2">
        <v>44882</v>
      </c>
    </row>
    <row r="1068" spans="1:4" x14ac:dyDescent="0.2">
      <c r="A1068" t="s">
        <v>571</v>
      </c>
      <c r="C1068">
        <v>1.0669999999999999</v>
      </c>
      <c r="D1068" s="2">
        <v>44882</v>
      </c>
    </row>
    <row r="1069" spans="1:4" x14ac:dyDescent="0.2">
      <c r="A1069" t="s">
        <v>572</v>
      </c>
      <c r="C1069">
        <v>1.0669999999999999</v>
      </c>
      <c r="D1069" s="2">
        <v>44882</v>
      </c>
    </row>
    <row r="1070" spans="1:4" x14ac:dyDescent="0.2">
      <c r="A1070" t="s">
        <v>594</v>
      </c>
      <c r="C1070">
        <v>2.9040000000000004</v>
      </c>
      <c r="D1070" s="2">
        <v>44882</v>
      </c>
    </row>
    <row r="1071" spans="1:4" x14ac:dyDescent="0.2">
      <c r="A1071" t="s">
        <v>587</v>
      </c>
      <c r="C1071">
        <v>2.6179999999999999</v>
      </c>
      <c r="D1071" s="2">
        <v>44882</v>
      </c>
    </row>
    <row r="1072" spans="1:4" x14ac:dyDescent="0.2">
      <c r="A1072" t="s">
        <v>586</v>
      </c>
      <c r="C1072">
        <v>2.7280000000000002</v>
      </c>
      <c r="D1072" s="2">
        <v>44882</v>
      </c>
    </row>
    <row r="1073" spans="1:4" x14ac:dyDescent="0.2">
      <c r="A1073" t="s">
        <v>589</v>
      </c>
      <c r="C1073">
        <v>3.5310000000000001</v>
      </c>
      <c r="D1073" s="2">
        <v>44882</v>
      </c>
    </row>
    <row r="1074" spans="1:4" x14ac:dyDescent="0.2">
      <c r="A1074" t="s">
        <v>588</v>
      </c>
      <c r="C1074">
        <v>2.0680000000000001</v>
      </c>
      <c r="D1074" s="2">
        <v>44882</v>
      </c>
    </row>
    <row r="1075" spans="1:4" x14ac:dyDescent="0.2">
      <c r="A1075" t="s">
        <v>590</v>
      </c>
      <c r="C1075">
        <v>1.7929999999999999</v>
      </c>
      <c r="D1075" s="2">
        <v>44882</v>
      </c>
    </row>
    <row r="1076" spans="1:4" x14ac:dyDescent="0.2">
      <c r="A1076" t="s">
        <v>592</v>
      </c>
      <c r="C1076">
        <v>3.036</v>
      </c>
      <c r="D1076" s="2">
        <v>44882</v>
      </c>
    </row>
    <row r="1077" spans="1:4" x14ac:dyDescent="0.2">
      <c r="A1077" t="s">
        <v>591</v>
      </c>
      <c r="C1077">
        <v>2.3980000000000006</v>
      </c>
      <c r="D1077" s="2">
        <v>44882</v>
      </c>
    </row>
    <row r="1078" spans="1:4" x14ac:dyDescent="0.2">
      <c r="A1078" t="s">
        <v>600</v>
      </c>
      <c r="C1078">
        <v>1.0449999999999999</v>
      </c>
      <c r="D1078" s="2">
        <v>44882</v>
      </c>
    </row>
    <row r="1079" spans="1:4" x14ac:dyDescent="0.2">
      <c r="A1079" t="s">
        <v>601</v>
      </c>
      <c r="C1079">
        <v>0.90200000000000002</v>
      </c>
      <c r="D1079" s="2">
        <v>44882</v>
      </c>
    </row>
    <row r="1080" spans="1:4" x14ac:dyDescent="0.2">
      <c r="A1080" t="s">
        <v>599</v>
      </c>
      <c r="C1080">
        <v>0.93500000000000005</v>
      </c>
      <c r="D1080" s="2">
        <v>44882</v>
      </c>
    </row>
    <row r="1081" spans="1:4" x14ac:dyDescent="0.2">
      <c r="A1081" t="s">
        <v>593</v>
      </c>
      <c r="C1081">
        <v>1.0449999999999999</v>
      </c>
      <c r="D1081" s="2">
        <v>44882</v>
      </c>
    </row>
    <row r="1082" spans="1:4" x14ac:dyDescent="0.2">
      <c r="A1082" t="s">
        <v>595</v>
      </c>
      <c r="C1082">
        <v>1.298</v>
      </c>
      <c r="D1082" s="2">
        <v>44882</v>
      </c>
    </row>
    <row r="1083" spans="1:4" x14ac:dyDescent="0.2">
      <c r="A1083" t="s">
        <v>604</v>
      </c>
      <c r="C1083">
        <v>1.7380000000000002</v>
      </c>
      <c r="D1083" s="2">
        <v>44882</v>
      </c>
    </row>
    <row r="1084" spans="1:4" x14ac:dyDescent="0.2">
      <c r="A1084" t="s">
        <v>583</v>
      </c>
      <c r="C1084">
        <v>1.0449999999999999</v>
      </c>
      <c r="D1084" s="2">
        <v>44882</v>
      </c>
    </row>
    <row r="1085" spans="1:4" x14ac:dyDescent="0.2">
      <c r="A1085" t="s">
        <v>581</v>
      </c>
      <c r="C1085">
        <v>5.5</v>
      </c>
      <c r="D1085" s="2">
        <v>44882</v>
      </c>
    </row>
    <row r="1086" spans="1:4" x14ac:dyDescent="0.2">
      <c r="A1086" t="s">
        <v>582</v>
      </c>
      <c r="C1086">
        <v>5.4119999999999999</v>
      </c>
      <c r="D1086" s="2">
        <v>44882</v>
      </c>
    </row>
    <row r="1087" spans="1:4" x14ac:dyDescent="0.2">
      <c r="A1087" t="s">
        <v>585</v>
      </c>
      <c r="C1087">
        <v>0.55000000000000004</v>
      </c>
      <c r="D1087" s="2">
        <v>44882</v>
      </c>
    </row>
    <row r="1088" spans="1:4" x14ac:dyDescent="0.2">
      <c r="A1088" t="s">
        <v>580</v>
      </c>
      <c r="C1088">
        <v>12.166000000000002</v>
      </c>
      <c r="D1088" s="2">
        <v>44882</v>
      </c>
    </row>
    <row r="1089" spans="1:4" x14ac:dyDescent="0.2">
      <c r="A1089" t="s">
        <v>579</v>
      </c>
      <c r="C1089">
        <v>5.2359999999999998</v>
      </c>
      <c r="D1089" s="2">
        <v>44882</v>
      </c>
    </row>
    <row r="1090" spans="1:4" x14ac:dyDescent="0.2">
      <c r="A1090" t="s">
        <v>584</v>
      </c>
      <c r="C1090">
        <v>6.9300000000000006</v>
      </c>
      <c r="D1090" s="2">
        <v>44882</v>
      </c>
    </row>
    <row r="1091" spans="1:4" x14ac:dyDescent="0.2">
      <c r="A1091" t="s">
        <v>578</v>
      </c>
      <c r="C1091">
        <v>12.012</v>
      </c>
      <c r="D1091" s="2">
        <v>44882</v>
      </c>
    </row>
    <row r="1092" spans="1:4" x14ac:dyDescent="0.2">
      <c r="A1092" t="s">
        <v>577</v>
      </c>
      <c r="C1092">
        <v>7.524</v>
      </c>
      <c r="D1092" s="2">
        <v>44882</v>
      </c>
    </row>
    <row r="1093" spans="1:4" x14ac:dyDescent="0.2">
      <c r="A1093" t="s">
        <v>596</v>
      </c>
      <c r="C1093">
        <v>0.97900000000000009</v>
      </c>
      <c r="D1093" s="2">
        <v>44882</v>
      </c>
    </row>
    <row r="1094" spans="1:4" x14ac:dyDescent="0.2">
      <c r="A1094" t="s">
        <v>598</v>
      </c>
      <c r="C1094">
        <v>1.1330000000000002</v>
      </c>
      <c r="D1094" s="2">
        <v>44882</v>
      </c>
    </row>
    <row r="1095" spans="1:4" x14ac:dyDescent="0.2">
      <c r="A1095" t="s">
        <v>597</v>
      </c>
      <c r="C1095">
        <v>0.8580000000000001</v>
      </c>
      <c r="D1095" s="2">
        <v>44882</v>
      </c>
    </row>
    <row r="1096" spans="1:4" x14ac:dyDescent="0.2">
      <c r="A1096" t="s">
        <v>602</v>
      </c>
      <c r="C1096">
        <v>0.70400000000000007</v>
      </c>
      <c r="D1096" s="2">
        <v>44882</v>
      </c>
    </row>
    <row r="1097" spans="1:4" x14ac:dyDescent="0.2">
      <c r="A1097" t="s">
        <v>603</v>
      </c>
      <c r="C1097">
        <v>0.91300000000000003</v>
      </c>
      <c r="D1097" s="2">
        <v>44882</v>
      </c>
    </row>
    <row r="1098" spans="1:4" x14ac:dyDescent="0.2">
      <c r="A1098" t="s">
        <v>576</v>
      </c>
      <c r="C1098">
        <v>25.993000000000002</v>
      </c>
      <c r="D1098" s="2">
        <v>44882</v>
      </c>
    </row>
    <row r="1099" spans="1:4" x14ac:dyDescent="0.2">
      <c r="A1099" t="s">
        <v>575</v>
      </c>
      <c r="C1099">
        <v>13.42</v>
      </c>
      <c r="D1099" s="2">
        <v>44882</v>
      </c>
    </row>
    <row r="1100" spans="1:4" x14ac:dyDescent="0.2">
      <c r="A1100" t="s">
        <v>574</v>
      </c>
      <c r="C1100">
        <v>12.991000000000001</v>
      </c>
      <c r="D1100" s="2">
        <v>44882</v>
      </c>
    </row>
    <row r="1101" spans="1:4" x14ac:dyDescent="0.2">
      <c r="A1101" t="s">
        <v>611</v>
      </c>
      <c r="C1101">
        <v>2.7829999999999999</v>
      </c>
      <c r="D1101" s="2">
        <v>44882</v>
      </c>
    </row>
    <row r="1102" spans="1:4" x14ac:dyDescent="0.2">
      <c r="A1102" t="s">
        <v>609</v>
      </c>
      <c r="C1102">
        <v>3.1328</v>
      </c>
      <c r="D1102" s="2">
        <v>44882</v>
      </c>
    </row>
    <row r="1103" spans="1:4" x14ac:dyDescent="0.2">
      <c r="A1103" t="s">
        <v>610</v>
      </c>
      <c r="C1103">
        <v>4.5540000000000003</v>
      </c>
      <c r="D1103" s="2">
        <v>44882</v>
      </c>
    </row>
    <row r="1104" spans="1:4" x14ac:dyDescent="0.2">
      <c r="A1104" t="s">
        <v>613</v>
      </c>
      <c r="C1104">
        <v>1.2100000000000002</v>
      </c>
      <c r="D1104" s="2">
        <v>44882</v>
      </c>
    </row>
    <row r="1105" spans="1:4" x14ac:dyDescent="0.2">
      <c r="A1105" t="s">
        <v>615</v>
      </c>
      <c r="C1105">
        <v>1.5631000000000002</v>
      </c>
      <c r="D1105" s="2">
        <v>44882</v>
      </c>
    </row>
    <row r="1106" spans="1:4" x14ac:dyDescent="0.2">
      <c r="A1106" t="s">
        <v>608</v>
      </c>
      <c r="C1106">
        <v>11.341000000000001</v>
      </c>
      <c r="D1106" s="2">
        <v>44882</v>
      </c>
    </row>
    <row r="1107" spans="1:4" x14ac:dyDescent="0.2">
      <c r="A1107" t="s">
        <v>607</v>
      </c>
      <c r="C1107">
        <v>31.086000000000006</v>
      </c>
      <c r="D1107" s="2">
        <v>44882</v>
      </c>
    </row>
    <row r="1108" spans="1:4" x14ac:dyDescent="0.2">
      <c r="A1108" t="s">
        <v>606</v>
      </c>
      <c r="C1108">
        <v>33.320100000000004</v>
      </c>
      <c r="D1108" s="2">
        <v>44882</v>
      </c>
    </row>
    <row r="1109" spans="1:4" x14ac:dyDescent="0.2">
      <c r="A1109" t="s">
        <v>612</v>
      </c>
      <c r="C1109">
        <v>2.0680000000000001</v>
      </c>
      <c r="D1109" s="2">
        <v>44882</v>
      </c>
    </row>
    <row r="1110" spans="1:4" x14ac:dyDescent="0.2">
      <c r="A1110" t="s">
        <v>614</v>
      </c>
      <c r="C1110">
        <v>1.3563000000000003</v>
      </c>
      <c r="D1110" s="2">
        <v>44882</v>
      </c>
    </row>
    <row r="1111" spans="1:4" x14ac:dyDescent="0.2">
      <c r="A1111" t="s">
        <v>620</v>
      </c>
      <c r="C1111">
        <v>8.0234000000000005</v>
      </c>
      <c r="D1111" s="2">
        <v>44882</v>
      </c>
    </row>
    <row r="1112" spans="1:4" x14ac:dyDescent="0.2">
      <c r="A1112" t="s">
        <v>618</v>
      </c>
      <c r="C1112">
        <v>16.0457</v>
      </c>
      <c r="D1112" s="2">
        <v>44882</v>
      </c>
    </row>
    <row r="1113" spans="1:4" x14ac:dyDescent="0.2">
      <c r="A1113" t="s">
        <v>619</v>
      </c>
      <c r="C1113">
        <v>10.718400000000001</v>
      </c>
      <c r="D1113" s="2">
        <v>44882</v>
      </c>
    </row>
    <row r="1114" spans="1:4" x14ac:dyDescent="0.2">
      <c r="A1114" t="s">
        <v>622</v>
      </c>
      <c r="C1114">
        <v>2.8160000000000003</v>
      </c>
      <c r="D1114" s="2">
        <v>44882</v>
      </c>
    </row>
    <row r="1115" spans="1:4" x14ac:dyDescent="0.2">
      <c r="A1115" t="s">
        <v>617</v>
      </c>
      <c r="C1115">
        <v>18.359000000000002</v>
      </c>
      <c r="D1115" s="2">
        <v>44882</v>
      </c>
    </row>
    <row r="1116" spans="1:4" x14ac:dyDescent="0.2">
      <c r="A1116" t="s">
        <v>616</v>
      </c>
      <c r="C1116">
        <v>32.120000000000005</v>
      </c>
      <c r="D1116" s="2">
        <v>44882</v>
      </c>
    </row>
    <row r="1117" spans="1:4" x14ac:dyDescent="0.2">
      <c r="A1117" t="s">
        <v>621</v>
      </c>
      <c r="C1117">
        <v>3.5530000000000004</v>
      </c>
      <c r="D1117" s="2">
        <v>44882</v>
      </c>
    </row>
    <row r="1118" spans="1:4" x14ac:dyDescent="0.2">
      <c r="A1118" t="s">
        <v>623</v>
      </c>
      <c r="C1118">
        <v>2.0790000000000002</v>
      </c>
      <c r="D1118" s="2">
        <v>44882</v>
      </c>
    </row>
    <row r="1119" spans="1:4" x14ac:dyDescent="0.2">
      <c r="A1119" t="s">
        <v>627</v>
      </c>
      <c r="C1119">
        <v>6.5450000000000008</v>
      </c>
      <c r="D1119" s="2">
        <v>44882</v>
      </c>
    </row>
    <row r="1120" spans="1:4" x14ac:dyDescent="0.2">
      <c r="A1120" t="s">
        <v>625</v>
      </c>
      <c r="C1120">
        <v>14.333</v>
      </c>
      <c r="D1120" s="2">
        <v>44882</v>
      </c>
    </row>
    <row r="1121" spans="1:4" x14ac:dyDescent="0.2">
      <c r="A1121" t="s">
        <v>626</v>
      </c>
      <c r="C1121">
        <v>11.407</v>
      </c>
      <c r="D1121" s="2">
        <v>44882</v>
      </c>
    </row>
    <row r="1122" spans="1:4" x14ac:dyDescent="0.2">
      <c r="A1122" t="s">
        <v>629</v>
      </c>
      <c r="C1122">
        <v>3.927</v>
      </c>
      <c r="D1122" s="2">
        <v>44882</v>
      </c>
    </row>
    <row r="1123" spans="1:4" x14ac:dyDescent="0.2">
      <c r="A1123" t="s">
        <v>624</v>
      </c>
      <c r="C1123">
        <v>18.359000000000002</v>
      </c>
      <c r="D1123" s="2">
        <v>44882</v>
      </c>
    </row>
    <row r="1124" spans="1:4" x14ac:dyDescent="0.2">
      <c r="A1124" t="s">
        <v>628</v>
      </c>
      <c r="C1124">
        <v>4.0590000000000002</v>
      </c>
      <c r="D1124" s="2">
        <v>44882</v>
      </c>
    </row>
    <row r="1125" spans="1:4" x14ac:dyDescent="0.2">
      <c r="A1125" t="s">
        <v>642</v>
      </c>
      <c r="C1125">
        <v>3.927</v>
      </c>
      <c r="D1125" s="2">
        <v>44882</v>
      </c>
    </row>
    <row r="1126" spans="1:4" x14ac:dyDescent="0.2">
      <c r="A1126" t="s">
        <v>636</v>
      </c>
      <c r="C1126">
        <v>4.8400000000000007</v>
      </c>
      <c r="D1126" s="2">
        <v>44882</v>
      </c>
    </row>
    <row r="1127" spans="1:4" x14ac:dyDescent="0.2">
      <c r="A1127" t="s">
        <v>637</v>
      </c>
      <c r="C1127">
        <v>3.4320000000000004</v>
      </c>
      <c r="D1127" s="2">
        <v>44882</v>
      </c>
    </row>
    <row r="1128" spans="1:4" x14ac:dyDescent="0.2">
      <c r="A1128" t="s">
        <v>638</v>
      </c>
      <c r="C1128">
        <v>2.827</v>
      </c>
      <c r="D1128" s="2">
        <v>44882</v>
      </c>
    </row>
    <row r="1129" spans="1:4" x14ac:dyDescent="0.2">
      <c r="A1129" t="s">
        <v>640</v>
      </c>
      <c r="C1129">
        <v>5.8740000000000006</v>
      </c>
      <c r="D1129" s="2">
        <v>44882</v>
      </c>
    </row>
    <row r="1130" spans="1:4" x14ac:dyDescent="0.2">
      <c r="A1130" t="s">
        <v>639</v>
      </c>
      <c r="C1130">
        <v>2.3540000000000005</v>
      </c>
      <c r="D1130" s="2">
        <v>44882</v>
      </c>
    </row>
    <row r="1131" spans="1:4" x14ac:dyDescent="0.2">
      <c r="A1131" t="s">
        <v>645</v>
      </c>
      <c r="C1131">
        <v>1.2812800000000002</v>
      </c>
      <c r="D1131" s="2">
        <v>44882</v>
      </c>
    </row>
    <row r="1132" spans="1:4" x14ac:dyDescent="0.2">
      <c r="A1132" t="s">
        <v>641</v>
      </c>
      <c r="C1132">
        <v>2.9348000000000005</v>
      </c>
      <c r="D1132" s="2">
        <v>44882</v>
      </c>
    </row>
    <row r="1133" spans="1:4" x14ac:dyDescent="0.2">
      <c r="A1133" t="s">
        <v>631</v>
      </c>
      <c r="C1133">
        <v>6.644000000000001</v>
      </c>
      <c r="D1133" s="2">
        <v>44882</v>
      </c>
    </row>
    <row r="1134" spans="1:4" x14ac:dyDescent="0.2">
      <c r="A1134" t="s">
        <v>632</v>
      </c>
      <c r="C1134">
        <v>7.117</v>
      </c>
      <c r="D1134" s="2">
        <v>44882</v>
      </c>
    </row>
    <row r="1135" spans="1:4" x14ac:dyDescent="0.2">
      <c r="A1135" t="s">
        <v>633</v>
      </c>
      <c r="C1135">
        <v>9.6821999999999999</v>
      </c>
      <c r="D1135" s="2">
        <v>44882</v>
      </c>
    </row>
    <row r="1136" spans="1:4" x14ac:dyDescent="0.2">
      <c r="A1136" t="s">
        <v>635</v>
      </c>
      <c r="C1136">
        <v>10.846</v>
      </c>
      <c r="D1136" s="2">
        <v>44882</v>
      </c>
    </row>
    <row r="1137" spans="1:4" x14ac:dyDescent="0.2">
      <c r="A1137" t="s">
        <v>630</v>
      </c>
      <c r="C1137">
        <v>17.976199999999999</v>
      </c>
      <c r="D1137" s="2">
        <v>44882</v>
      </c>
    </row>
    <row r="1138" spans="1:4" x14ac:dyDescent="0.2">
      <c r="A1138" t="s">
        <v>634</v>
      </c>
      <c r="C1138">
        <v>12.441000000000001</v>
      </c>
      <c r="D1138" s="2">
        <v>44882</v>
      </c>
    </row>
    <row r="1139" spans="1:4" x14ac:dyDescent="0.2">
      <c r="A1139" t="s">
        <v>643</v>
      </c>
      <c r="C1139">
        <v>2.0581</v>
      </c>
      <c r="D1139" s="2">
        <v>44882</v>
      </c>
    </row>
    <row r="1140" spans="1:4" x14ac:dyDescent="0.2">
      <c r="A1140" t="s">
        <v>644</v>
      </c>
      <c r="C1140">
        <v>1.3640000000000001</v>
      </c>
      <c r="D1140" s="2">
        <v>44882</v>
      </c>
    </row>
    <row r="1141" spans="1:4" x14ac:dyDescent="0.2">
      <c r="A1141" t="s">
        <v>650</v>
      </c>
      <c r="C1141">
        <v>34.111000000000004</v>
      </c>
      <c r="D1141" s="2">
        <v>44882</v>
      </c>
    </row>
    <row r="1142" spans="1:4" x14ac:dyDescent="0.2">
      <c r="A1142" t="s">
        <v>648</v>
      </c>
      <c r="C1142">
        <v>8.6790000000000003</v>
      </c>
      <c r="D1142" s="2">
        <v>44882</v>
      </c>
    </row>
    <row r="1143" spans="1:4" x14ac:dyDescent="0.2">
      <c r="A1143" t="s">
        <v>649</v>
      </c>
      <c r="C1143">
        <v>11.55</v>
      </c>
      <c r="D1143" s="2">
        <v>44882</v>
      </c>
    </row>
    <row r="1144" spans="1:4" x14ac:dyDescent="0.2">
      <c r="A1144" t="s">
        <v>652</v>
      </c>
      <c r="C1144">
        <v>8.3820000000000014</v>
      </c>
      <c r="D1144" s="2">
        <v>44882</v>
      </c>
    </row>
    <row r="1145" spans="1:4" x14ac:dyDescent="0.2">
      <c r="A1145" t="s">
        <v>647</v>
      </c>
      <c r="C1145">
        <v>21.439</v>
      </c>
      <c r="D1145" s="2">
        <v>44882</v>
      </c>
    </row>
    <row r="1146" spans="1:4" x14ac:dyDescent="0.2">
      <c r="A1146" t="s">
        <v>651</v>
      </c>
      <c r="C1146">
        <v>7.8540000000000001</v>
      </c>
      <c r="D1146" s="2">
        <v>44882</v>
      </c>
    </row>
    <row r="1147" spans="1:4" x14ac:dyDescent="0.2">
      <c r="A1147" t="s">
        <v>646</v>
      </c>
      <c r="C1147">
        <v>14.388000000000002</v>
      </c>
      <c r="D1147" s="2">
        <v>44882</v>
      </c>
    </row>
    <row r="1148" spans="1:4" x14ac:dyDescent="0.2">
      <c r="A1148" t="s">
        <v>658</v>
      </c>
      <c r="C1148">
        <v>11.968000000000002</v>
      </c>
      <c r="D1148" s="2">
        <v>44882</v>
      </c>
    </row>
    <row r="1149" spans="1:4" x14ac:dyDescent="0.2">
      <c r="A1149" t="s">
        <v>656</v>
      </c>
      <c r="C1149">
        <v>23.243000000000002</v>
      </c>
      <c r="D1149" s="2">
        <v>44882</v>
      </c>
    </row>
    <row r="1150" spans="1:4" x14ac:dyDescent="0.2">
      <c r="A1150" t="s">
        <v>657</v>
      </c>
      <c r="C1150">
        <v>20.680000000000003</v>
      </c>
      <c r="D1150" s="2">
        <v>44882</v>
      </c>
    </row>
    <row r="1151" spans="1:4" x14ac:dyDescent="0.2">
      <c r="A1151" t="s">
        <v>660</v>
      </c>
      <c r="C1151">
        <v>8.8330000000000002</v>
      </c>
      <c r="D1151" s="2">
        <v>44882</v>
      </c>
    </row>
    <row r="1152" spans="1:4" x14ac:dyDescent="0.2">
      <c r="A1152" t="s">
        <v>654</v>
      </c>
      <c r="C1152">
        <v>5.8080000000000007</v>
      </c>
      <c r="D1152" s="2">
        <v>44882</v>
      </c>
    </row>
    <row r="1153" spans="1:4" x14ac:dyDescent="0.2">
      <c r="A1153" t="s">
        <v>655</v>
      </c>
      <c r="C1153">
        <v>42.416000000000004</v>
      </c>
      <c r="D1153" s="2">
        <v>44882</v>
      </c>
    </row>
    <row r="1154" spans="1:4" x14ac:dyDescent="0.2">
      <c r="A1154" t="s">
        <v>659</v>
      </c>
      <c r="C1154">
        <v>10.142000000000001</v>
      </c>
      <c r="D1154" s="2">
        <v>44882</v>
      </c>
    </row>
    <row r="1155" spans="1:4" x14ac:dyDescent="0.2">
      <c r="A1155" t="s">
        <v>661</v>
      </c>
      <c r="C1155">
        <v>6.7946999999999997</v>
      </c>
      <c r="D1155" s="2">
        <v>44882</v>
      </c>
    </row>
    <row r="1156" spans="1:4" x14ac:dyDescent="0.2">
      <c r="A1156" t="s">
        <v>667</v>
      </c>
      <c r="C1156">
        <v>5.027000000000001</v>
      </c>
      <c r="D1156" s="2">
        <v>44882</v>
      </c>
    </row>
    <row r="1157" spans="1:4" x14ac:dyDescent="0.2">
      <c r="A1157" t="s">
        <v>665</v>
      </c>
      <c r="C1157">
        <v>9.7020000000000017</v>
      </c>
      <c r="D1157" s="2">
        <v>44882</v>
      </c>
    </row>
    <row r="1158" spans="1:4" x14ac:dyDescent="0.2">
      <c r="A1158" t="s">
        <v>666</v>
      </c>
      <c r="C1158">
        <v>8.261000000000001</v>
      </c>
      <c r="D1158" s="2">
        <v>44882</v>
      </c>
    </row>
    <row r="1159" spans="1:4" x14ac:dyDescent="0.2">
      <c r="A1159" t="s">
        <v>669</v>
      </c>
      <c r="C1159">
        <v>3.8170000000000006</v>
      </c>
      <c r="D1159" s="2">
        <v>44882</v>
      </c>
    </row>
    <row r="1160" spans="1:4" x14ac:dyDescent="0.2">
      <c r="A1160" t="s">
        <v>671</v>
      </c>
      <c r="C1160">
        <v>4.5760000000000005</v>
      </c>
      <c r="D1160" s="2">
        <v>44882</v>
      </c>
    </row>
    <row r="1161" spans="1:4" x14ac:dyDescent="0.2">
      <c r="A1161" t="s">
        <v>664</v>
      </c>
      <c r="C1161">
        <v>16.148</v>
      </c>
      <c r="D1161" s="2">
        <v>44882</v>
      </c>
    </row>
    <row r="1162" spans="1:4" x14ac:dyDescent="0.2">
      <c r="A1162" t="s">
        <v>663</v>
      </c>
      <c r="C1162">
        <v>48.752000000000002</v>
      </c>
      <c r="D1162" s="2">
        <v>44882</v>
      </c>
    </row>
    <row r="1163" spans="1:4" x14ac:dyDescent="0.2">
      <c r="A1163" t="s">
        <v>662</v>
      </c>
      <c r="C1163">
        <v>37.818000000000005</v>
      </c>
      <c r="D1163" s="2">
        <v>44882</v>
      </c>
    </row>
    <row r="1164" spans="1:4" x14ac:dyDescent="0.2">
      <c r="A1164" t="s">
        <v>668</v>
      </c>
      <c r="C1164">
        <v>4.3340000000000005</v>
      </c>
      <c r="D1164" s="2">
        <v>44882</v>
      </c>
    </row>
    <row r="1165" spans="1:4" x14ac:dyDescent="0.2">
      <c r="A1165" t="s">
        <v>670</v>
      </c>
      <c r="C1165">
        <v>4.0667</v>
      </c>
      <c r="D1165" s="2">
        <v>44882</v>
      </c>
    </row>
    <row r="1166" spans="1:4" x14ac:dyDescent="0.2">
      <c r="A1166" t="s">
        <v>677</v>
      </c>
      <c r="C1166">
        <v>7.5922000000000009</v>
      </c>
      <c r="D1166" s="2">
        <v>44882</v>
      </c>
    </row>
    <row r="1167" spans="1:4" x14ac:dyDescent="0.2">
      <c r="A1167" t="s">
        <v>675</v>
      </c>
      <c r="C1167">
        <v>18.568000000000001</v>
      </c>
      <c r="D1167" s="2">
        <v>44882</v>
      </c>
    </row>
    <row r="1168" spans="1:4" x14ac:dyDescent="0.2">
      <c r="A1168" t="s">
        <v>676</v>
      </c>
      <c r="C1168">
        <v>12.76</v>
      </c>
      <c r="D1168" s="2">
        <v>44882</v>
      </c>
    </row>
    <row r="1169" spans="1:4" x14ac:dyDescent="0.2">
      <c r="A1169" t="s">
        <v>679</v>
      </c>
      <c r="C1169">
        <v>5.5770000000000008</v>
      </c>
      <c r="D1169" s="2">
        <v>44882</v>
      </c>
    </row>
    <row r="1170" spans="1:4" x14ac:dyDescent="0.2">
      <c r="A1170" t="s">
        <v>674</v>
      </c>
      <c r="C1170">
        <v>25.281300000000002</v>
      </c>
      <c r="D1170" s="2">
        <v>44882</v>
      </c>
    </row>
    <row r="1171" spans="1:4" x14ac:dyDescent="0.2">
      <c r="A1171" t="s">
        <v>673</v>
      </c>
      <c r="C1171">
        <v>75.614000000000004</v>
      </c>
      <c r="D1171" s="2">
        <v>44882</v>
      </c>
    </row>
    <row r="1172" spans="1:4" x14ac:dyDescent="0.2">
      <c r="A1172" t="s">
        <v>672</v>
      </c>
      <c r="C1172">
        <v>50.986319999999999</v>
      </c>
      <c r="D1172" s="2">
        <v>44882</v>
      </c>
    </row>
    <row r="1173" spans="1:4" x14ac:dyDescent="0.2">
      <c r="A1173" t="s">
        <v>678</v>
      </c>
      <c r="C1173">
        <v>6.4900000000000011</v>
      </c>
      <c r="D1173" s="2">
        <v>44882</v>
      </c>
    </row>
    <row r="1174" spans="1:4" x14ac:dyDescent="0.2">
      <c r="A1174" t="s">
        <v>686</v>
      </c>
      <c r="C1174">
        <v>5.6320000000000006</v>
      </c>
      <c r="D1174" s="2">
        <v>44882</v>
      </c>
    </row>
    <row r="1175" spans="1:4" x14ac:dyDescent="0.2">
      <c r="A1175" t="s">
        <v>684</v>
      </c>
      <c r="C1175">
        <v>11.275</v>
      </c>
      <c r="D1175" s="2">
        <v>44882</v>
      </c>
    </row>
    <row r="1176" spans="1:4" x14ac:dyDescent="0.2">
      <c r="A1176" t="s">
        <v>685</v>
      </c>
      <c r="C1176">
        <v>8.8000000000000007</v>
      </c>
      <c r="D1176" s="2">
        <v>44882</v>
      </c>
    </row>
    <row r="1177" spans="1:4" x14ac:dyDescent="0.2">
      <c r="A1177" t="s">
        <v>688</v>
      </c>
      <c r="C1177">
        <v>4.1580000000000004</v>
      </c>
      <c r="D1177" s="2">
        <v>44882</v>
      </c>
    </row>
    <row r="1178" spans="1:4" x14ac:dyDescent="0.2">
      <c r="A1178" t="s">
        <v>690</v>
      </c>
      <c r="C1178">
        <v>4.7366000000000001</v>
      </c>
      <c r="D1178" s="2">
        <v>44882</v>
      </c>
    </row>
    <row r="1179" spans="1:4" x14ac:dyDescent="0.2">
      <c r="A1179" t="s">
        <v>683</v>
      </c>
      <c r="C1179">
        <v>17.809000000000005</v>
      </c>
      <c r="D1179" s="2">
        <v>44882</v>
      </c>
    </row>
    <row r="1180" spans="1:4" x14ac:dyDescent="0.2">
      <c r="A1180" t="s">
        <v>682</v>
      </c>
      <c r="C1180">
        <v>43.615000000000002</v>
      </c>
      <c r="D1180" s="2">
        <v>44882</v>
      </c>
    </row>
    <row r="1181" spans="1:4" x14ac:dyDescent="0.2">
      <c r="A1181" t="s">
        <v>681</v>
      </c>
      <c r="C1181">
        <v>46.123000000000005</v>
      </c>
      <c r="D1181" s="2">
        <v>44882</v>
      </c>
    </row>
    <row r="1182" spans="1:4" x14ac:dyDescent="0.2">
      <c r="A1182" t="s">
        <v>687</v>
      </c>
      <c r="C1182">
        <v>4.5540000000000003</v>
      </c>
      <c r="D1182" s="2">
        <v>44882</v>
      </c>
    </row>
    <row r="1183" spans="1:4" x14ac:dyDescent="0.2">
      <c r="A1183" t="s">
        <v>689</v>
      </c>
      <c r="C1183">
        <v>3.8280000000000003</v>
      </c>
      <c r="D1183" s="2">
        <v>44882</v>
      </c>
    </row>
    <row r="1184" spans="1:4" x14ac:dyDescent="0.2">
      <c r="A1184" t="s">
        <v>680</v>
      </c>
      <c r="C1184">
        <v>59.442350000000005</v>
      </c>
      <c r="D1184" s="2">
        <v>44882</v>
      </c>
    </row>
    <row r="1185" spans="1:4" x14ac:dyDescent="0.2">
      <c r="A1185" t="s">
        <v>696</v>
      </c>
      <c r="C1185">
        <v>8.6349999999999998</v>
      </c>
      <c r="D1185" s="2">
        <v>44882</v>
      </c>
    </row>
    <row r="1186" spans="1:4" x14ac:dyDescent="0.2">
      <c r="A1186" t="s">
        <v>694</v>
      </c>
      <c r="C1186">
        <v>17.809000000000005</v>
      </c>
      <c r="D1186" s="2">
        <v>44882</v>
      </c>
    </row>
    <row r="1187" spans="1:4" x14ac:dyDescent="0.2">
      <c r="A1187" t="s">
        <v>695</v>
      </c>
      <c r="C1187">
        <v>14.355000000000002</v>
      </c>
      <c r="D1187" s="2">
        <v>44882</v>
      </c>
    </row>
    <row r="1188" spans="1:4" x14ac:dyDescent="0.2">
      <c r="A1188" t="s">
        <v>698</v>
      </c>
      <c r="C1188">
        <v>4.95</v>
      </c>
      <c r="D1188" s="2">
        <v>44882</v>
      </c>
    </row>
    <row r="1189" spans="1:4" x14ac:dyDescent="0.2">
      <c r="A1189" t="s">
        <v>693</v>
      </c>
      <c r="C1189">
        <v>28.831000000000003</v>
      </c>
      <c r="D1189" s="2">
        <v>44882</v>
      </c>
    </row>
    <row r="1190" spans="1:4" x14ac:dyDescent="0.2">
      <c r="A1190" t="s">
        <v>692</v>
      </c>
      <c r="C1190">
        <v>93.236000000000018</v>
      </c>
      <c r="D1190" s="2">
        <v>44882</v>
      </c>
    </row>
    <row r="1191" spans="1:4" x14ac:dyDescent="0.2">
      <c r="A1191" t="s">
        <v>691</v>
      </c>
      <c r="C1191">
        <v>76.129900000000006</v>
      </c>
      <c r="D1191" s="2">
        <v>44882</v>
      </c>
    </row>
    <row r="1192" spans="1:4" x14ac:dyDescent="0.2">
      <c r="A1192" t="s">
        <v>697</v>
      </c>
      <c r="C1192">
        <v>6.2700000000000005</v>
      </c>
      <c r="D1192" s="2">
        <v>44882</v>
      </c>
    </row>
    <row r="1193" spans="1:4" x14ac:dyDescent="0.2">
      <c r="A1193" t="s">
        <v>700</v>
      </c>
      <c r="C1193">
        <v>1.1000000000000001</v>
      </c>
      <c r="D1193" s="2">
        <v>44882</v>
      </c>
    </row>
    <row r="1194" spans="1:4" x14ac:dyDescent="0.2">
      <c r="A1194" t="s">
        <v>701</v>
      </c>
      <c r="C1194">
        <v>2.0680000000000001</v>
      </c>
      <c r="D1194" s="2">
        <v>44882</v>
      </c>
    </row>
    <row r="1195" spans="1:4" x14ac:dyDescent="0.2">
      <c r="A1195" t="s">
        <v>702</v>
      </c>
      <c r="C1195">
        <v>2.5190000000000001</v>
      </c>
      <c r="D1195" s="2">
        <v>44882</v>
      </c>
    </row>
    <row r="1196" spans="1:4" x14ac:dyDescent="0.2">
      <c r="A1196" t="s">
        <v>703</v>
      </c>
      <c r="C1196">
        <v>3.8929000000000005</v>
      </c>
      <c r="D1196" s="2">
        <v>44882</v>
      </c>
    </row>
    <row r="1197" spans="1:4" x14ac:dyDescent="0.2">
      <c r="A1197" t="s">
        <v>704</v>
      </c>
      <c r="C1197">
        <v>4.6409000000000011</v>
      </c>
      <c r="D1197" s="2">
        <v>44882</v>
      </c>
    </row>
    <row r="1198" spans="1:4" x14ac:dyDescent="0.2">
      <c r="A1198" t="s">
        <v>705</v>
      </c>
      <c r="C1198">
        <v>5.5</v>
      </c>
      <c r="D1198" s="2">
        <v>44882</v>
      </c>
    </row>
    <row r="1199" spans="1:4" x14ac:dyDescent="0.2">
      <c r="A1199" t="s">
        <v>706</v>
      </c>
      <c r="C1199">
        <v>7.7440000000000007</v>
      </c>
      <c r="D1199" s="2">
        <v>44882</v>
      </c>
    </row>
    <row r="1200" spans="1:4" x14ac:dyDescent="0.2">
      <c r="A1200" t="s">
        <v>707</v>
      </c>
      <c r="C1200">
        <v>15.653000000000002</v>
      </c>
      <c r="D1200" s="2">
        <v>44882</v>
      </c>
    </row>
    <row r="1201" spans="1:4" x14ac:dyDescent="0.2">
      <c r="A1201" t="s">
        <v>708</v>
      </c>
      <c r="C1201">
        <v>3.2560000000000002</v>
      </c>
      <c r="D1201" s="2">
        <v>44882</v>
      </c>
    </row>
    <row r="1202" spans="1:4" x14ac:dyDescent="0.2">
      <c r="A1202" t="s">
        <v>709</v>
      </c>
      <c r="C1202">
        <v>3.9160000000000008</v>
      </c>
      <c r="D1202" s="2">
        <v>44882</v>
      </c>
    </row>
    <row r="1203" spans="1:4" x14ac:dyDescent="0.2">
      <c r="A1203" t="s">
        <v>710</v>
      </c>
      <c r="C1203">
        <v>4.3120000000000012</v>
      </c>
      <c r="D1203" s="2">
        <v>44882</v>
      </c>
    </row>
    <row r="1204" spans="1:4" x14ac:dyDescent="0.2">
      <c r="A1204" t="s">
        <v>711</v>
      </c>
      <c r="C1204">
        <v>0.91300000000000003</v>
      </c>
      <c r="D1204" s="2">
        <v>44882</v>
      </c>
    </row>
    <row r="1205" spans="1:4" x14ac:dyDescent="0.2">
      <c r="A1205" t="s">
        <v>712</v>
      </c>
      <c r="C1205">
        <v>1.1660000000000001</v>
      </c>
      <c r="D1205" s="2">
        <v>44882</v>
      </c>
    </row>
    <row r="1206" spans="1:4" x14ac:dyDescent="0.2">
      <c r="A1206" t="s">
        <v>713</v>
      </c>
      <c r="C1206">
        <v>2.1779999999999999</v>
      </c>
      <c r="D1206" s="2">
        <v>44882</v>
      </c>
    </row>
    <row r="1207" spans="1:4" x14ac:dyDescent="0.2">
      <c r="A1207" t="s">
        <v>714</v>
      </c>
      <c r="C1207">
        <v>4.5870000000000006</v>
      </c>
      <c r="D1207" s="2">
        <v>44882</v>
      </c>
    </row>
    <row r="1208" spans="1:4" x14ac:dyDescent="0.2">
      <c r="A1208" t="s">
        <v>715</v>
      </c>
      <c r="C1208">
        <v>5.9620000000000006</v>
      </c>
      <c r="D1208" s="2">
        <v>44882</v>
      </c>
    </row>
    <row r="1209" spans="1:4" x14ac:dyDescent="0.2">
      <c r="A1209" t="s">
        <v>716</v>
      </c>
      <c r="C1209">
        <v>7.4580000000000011</v>
      </c>
      <c r="D1209" s="2">
        <v>44882</v>
      </c>
    </row>
    <row r="1210" spans="1:4" x14ac:dyDescent="0.2">
      <c r="A1210" t="s">
        <v>717</v>
      </c>
      <c r="C1210">
        <v>10.835000000000001</v>
      </c>
      <c r="D1210" s="2">
        <v>44882</v>
      </c>
    </row>
    <row r="1211" spans="1:4" x14ac:dyDescent="0.2">
      <c r="A1211" t="s">
        <v>718</v>
      </c>
      <c r="C1211">
        <v>31.064</v>
      </c>
      <c r="D1211" s="2">
        <v>44882</v>
      </c>
    </row>
    <row r="1212" spans="1:4" x14ac:dyDescent="0.2">
      <c r="A1212" t="s">
        <v>755</v>
      </c>
      <c r="C1212">
        <v>1.837</v>
      </c>
      <c r="D1212" s="2">
        <v>44882</v>
      </c>
    </row>
    <row r="1213" spans="1:4" x14ac:dyDescent="0.2">
      <c r="A1213" t="s">
        <v>756</v>
      </c>
      <c r="C1213">
        <v>2.4090000000000003</v>
      </c>
      <c r="D1213" s="2">
        <v>44882</v>
      </c>
    </row>
    <row r="1214" spans="1:4" x14ac:dyDescent="0.2">
      <c r="A1214" t="s">
        <v>757</v>
      </c>
      <c r="C1214">
        <v>3.0910000000000002</v>
      </c>
      <c r="D1214" s="2">
        <v>44882</v>
      </c>
    </row>
    <row r="1215" spans="1:4" x14ac:dyDescent="0.2">
      <c r="A1215" t="s">
        <v>758</v>
      </c>
      <c r="C1215">
        <v>6.4790000000000001</v>
      </c>
      <c r="D1215" s="2">
        <v>44882</v>
      </c>
    </row>
    <row r="1216" spans="1:4" x14ac:dyDescent="0.2">
      <c r="A1216" t="s">
        <v>759</v>
      </c>
      <c r="C1216">
        <v>8.14</v>
      </c>
      <c r="D1216" s="2">
        <v>44882</v>
      </c>
    </row>
    <row r="1217" spans="1:4" x14ac:dyDescent="0.2">
      <c r="A1217" t="s">
        <v>760</v>
      </c>
      <c r="C1217">
        <v>10.604000000000001</v>
      </c>
      <c r="D1217" s="2">
        <v>44882</v>
      </c>
    </row>
    <row r="1218" spans="1:4" x14ac:dyDescent="0.2">
      <c r="A1218" t="s">
        <v>761</v>
      </c>
      <c r="C1218">
        <v>14.96</v>
      </c>
      <c r="D1218" s="2">
        <v>44882</v>
      </c>
    </row>
    <row r="1219" spans="1:4" x14ac:dyDescent="0.2">
      <c r="A1219" t="s">
        <v>719</v>
      </c>
      <c r="C1219">
        <v>1.1990000000000003</v>
      </c>
      <c r="D1219" s="2">
        <v>44882</v>
      </c>
    </row>
    <row r="1220" spans="1:4" x14ac:dyDescent="0.2">
      <c r="A1220" t="s">
        <v>720</v>
      </c>
      <c r="C1220">
        <v>1.7160000000000002</v>
      </c>
      <c r="D1220" s="2">
        <v>44882</v>
      </c>
    </row>
    <row r="1221" spans="1:4" x14ac:dyDescent="0.2">
      <c r="A1221" t="s">
        <v>721</v>
      </c>
      <c r="C1221">
        <v>2.1779999999999999</v>
      </c>
      <c r="D1221" s="2">
        <v>44882</v>
      </c>
    </row>
    <row r="1222" spans="1:4" x14ac:dyDescent="0.2">
      <c r="A1222" t="s">
        <v>722</v>
      </c>
      <c r="C1222">
        <v>4.5870000000000006</v>
      </c>
      <c r="D1222" s="2">
        <v>44882</v>
      </c>
    </row>
    <row r="1223" spans="1:4" x14ac:dyDescent="0.2">
      <c r="A1223" t="s">
        <v>723</v>
      </c>
      <c r="C1223">
        <v>5.9620000000000006</v>
      </c>
      <c r="D1223" s="2">
        <v>44882</v>
      </c>
    </row>
    <row r="1224" spans="1:4" x14ac:dyDescent="0.2">
      <c r="A1224" t="s">
        <v>724</v>
      </c>
      <c r="C1224">
        <v>7.4580000000000011</v>
      </c>
      <c r="D1224" s="2">
        <v>44882</v>
      </c>
    </row>
    <row r="1225" spans="1:4" x14ac:dyDescent="0.2">
      <c r="A1225" t="s">
        <v>725</v>
      </c>
      <c r="C1225">
        <v>10.835000000000001</v>
      </c>
      <c r="D1225" s="2">
        <v>44882</v>
      </c>
    </row>
    <row r="1226" spans="1:4" x14ac:dyDescent="0.2">
      <c r="A1226" t="s">
        <v>726</v>
      </c>
      <c r="C1226">
        <v>31.064</v>
      </c>
      <c r="D1226" s="2">
        <v>44882</v>
      </c>
    </row>
    <row r="1227" spans="1:4" x14ac:dyDescent="0.2">
      <c r="A1227" t="s">
        <v>727</v>
      </c>
      <c r="C1227">
        <v>1.5620000000000001</v>
      </c>
      <c r="D1227" s="2">
        <v>44882</v>
      </c>
    </row>
    <row r="1228" spans="1:4" x14ac:dyDescent="0.2">
      <c r="A1228" t="s">
        <v>728</v>
      </c>
      <c r="C1228">
        <v>1.9910000000000003</v>
      </c>
      <c r="D1228" s="2">
        <v>44882</v>
      </c>
    </row>
    <row r="1229" spans="1:4" x14ac:dyDescent="0.2">
      <c r="A1229" t="s">
        <v>729</v>
      </c>
      <c r="C1229">
        <v>3.0910000000000002</v>
      </c>
      <c r="D1229" s="2">
        <v>44882</v>
      </c>
    </row>
    <row r="1230" spans="1:4" x14ac:dyDescent="0.2">
      <c r="A1230" t="s">
        <v>730</v>
      </c>
      <c r="C1230">
        <v>6.4790000000000001</v>
      </c>
      <c r="D1230" s="2">
        <v>44882</v>
      </c>
    </row>
    <row r="1231" spans="1:4" x14ac:dyDescent="0.2">
      <c r="A1231" t="s">
        <v>731</v>
      </c>
      <c r="C1231">
        <v>6.9740000000000002</v>
      </c>
      <c r="D1231" s="2">
        <v>44882</v>
      </c>
    </row>
    <row r="1232" spans="1:4" x14ac:dyDescent="0.2">
      <c r="A1232" t="s">
        <v>732</v>
      </c>
      <c r="C1232">
        <v>10.604000000000001</v>
      </c>
      <c r="D1232" s="2">
        <v>44882</v>
      </c>
    </row>
    <row r="1233" spans="1:4" x14ac:dyDescent="0.2">
      <c r="A1233" t="s">
        <v>733</v>
      </c>
      <c r="C1233">
        <v>14.96</v>
      </c>
      <c r="D1233" s="2">
        <v>44882</v>
      </c>
    </row>
    <row r="1234" spans="1:4" x14ac:dyDescent="0.2">
      <c r="A1234" t="s">
        <v>734</v>
      </c>
      <c r="C1234">
        <v>4.5760000000000005</v>
      </c>
      <c r="D1234" s="2">
        <v>44882</v>
      </c>
    </row>
    <row r="1235" spans="1:4" x14ac:dyDescent="0.2">
      <c r="A1235" t="s">
        <v>735</v>
      </c>
      <c r="C1235">
        <v>2.9480000000000004</v>
      </c>
      <c r="D1235" s="2">
        <v>44882</v>
      </c>
    </row>
    <row r="1236" spans="1:4" x14ac:dyDescent="0.2">
      <c r="A1236" t="s">
        <v>736</v>
      </c>
      <c r="C1236">
        <v>6.4679999999999991</v>
      </c>
      <c r="D1236" s="2">
        <v>44882</v>
      </c>
    </row>
    <row r="1237" spans="1:4" x14ac:dyDescent="0.2">
      <c r="A1237" t="s">
        <v>737</v>
      </c>
      <c r="C1237">
        <v>3.2890000000000006</v>
      </c>
      <c r="D1237" s="2">
        <v>44882</v>
      </c>
    </row>
    <row r="1238" spans="1:4" x14ac:dyDescent="0.2">
      <c r="A1238" t="s">
        <v>738</v>
      </c>
      <c r="C1238">
        <v>3.9930000000000003</v>
      </c>
      <c r="D1238" s="2">
        <v>44882</v>
      </c>
    </row>
    <row r="1239" spans="1:4" x14ac:dyDescent="0.2">
      <c r="A1239" t="s">
        <v>739</v>
      </c>
      <c r="C1239">
        <v>2.2220000000000004</v>
      </c>
      <c r="D1239" s="2">
        <v>44882</v>
      </c>
    </row>
    <row r="1240" spans="1:4" x14ac:dyDescent="0.2">
      <c r="A1240" t="s">
        <v>740</v>
      </c>
      <c r="C1240">
        <v>4.0150000000000006</v>
      </c>
      <c r="D1240" s="2">
        <v>44882</v>
      </c>
    </row>
    <row r="1241" spans="1:4" x14ac:dyDescent="0.2">
      <c r="A1241" t="s">
        <v>741</v>
      </c>
      <c r="C1241">
        <v>5.676000000000001</v>
      </c>
      <c r="D1241" s="2">
        <v>44882</v>
      </c>
    </row>
    <row r="1242" spans="1:4" x14ac:dyDescent="0.2">
      <c r="A1242" t="s">
        <v>742</v>
      </c>
      <c r="C1242">
        <v>8.25</v>
      </c>
      <c r="D1242" s="2">
        <v>44882</v>
      </c>
    </row>
    <row r="1243" spans="1:4" x14ac:dyDescent="0.2">
      <c r="A1243" t="s">
        <v>743</v>
      </c>
      <c r="C1243">
        <v>13.189000000000002</v>
      </c>
      <c r="D1243" s="2">
        <v>44882</v>
      </c>
    </row>
    <row r="1244" spans="1:4" x14ac:dyDescent="0.2">
      <c r="A1244" t="s">
        <v>744</v>
      </c>
      <c r="C1244">
        <v>16.621000000000002</v>
      </c>
      <c r="D1244" s="2">
        <v>44882</v>
      </c>
    </row>
    <row r="1245" spans="1:4" x14ac:dyDescent="0.2">
      <c r="A1245" t="s">
        <v>745</v>
      </c>
      <c r="C1245">
        <v>20.482000000000003</v>
      </c>
      <c r="D1245" s="2">
        <v>44882</v>
      </c>
    </row>
    <row r="1246" spans="1:4" x14ac:dyDescent="0.2">
      <c r="A1246" t="s">
        <v>746</v>
      </c>
      <c r="C1246">
        <v>16.247</v>
      </c>
      <c r="D1246" s="2">
        <v>44882</v>
      </c>
    </row>
    <row r="1247" spans="1:4" x14ac:dyDescent="0.2">
      <c r="A1247" t="s">
        <v>747</v>
      </c>
      <c r="C1247">
        <v>2.1339999999999999</v>
      </c>
      <c r="D1247" s="2">
        <v>44882</v>
      </c>
    </row>
    <row r="1248" spans="1:4" x14ac:dyDescent="0.2">
      <c r="A1248" t="s">
        <v>748</v>
      </c>
      <c r="C1248">
        <v>2.9810000000000003</v>
      </c>
      <c r="D1248" s="2">
        <v>44882</v>
      </c>
    </row>
    <row r="1249" spans="1:4" x14ac:dyDescent="0.2">
      <c r="A1249" t="s">
        <v>749</v>
      </c>
      <c r="C1249">
        <v>5.676000000000001</v>
      </c>
      <c r="D1249" s="2">
        <v>44882</v>
      </c>
    </row>
    <row r="1250" spans="1:4" x14ac:dyDescent="0.2">
      <c r="A1250" t="s">
        <v>750</v>
      </c>
      <c r="C1250">
        <v>8.25</v>
      </c>
      <c r="D1250" s="2">
        <v>44882</v>
      </c>
    </row>
    <row r="1251" spans="1:4" x14ac:dyDescent="0.2">
      <c r="A1251" t="s">
        <v>751</v>
      </c>
      <c r="C1251">
        <v>13.189000000000002</v>
      </c>
      <c r="D1251" s="2">
        <v>44882</v>
      </c>
    </row>
    <row r="1252" spans="1:4" x14ac:dyDescent="0.2">
      <c r="A1252" t="s">
        <v>752</v>
      </c>
      <c r="C1252">
        <v>16.621000000000002</v>
      </c>
      <c r="D1252" s="2">
        <v>44882</v>
      </c>
    </row>
    <row r="1253" spans="1:4" x14ac:dyDescent="0.2">
      <c r="A1253" t="s">
        <v>753</v>
      </c>
      <c r="C1253">
        <v>20.636000000000003</v>
      </c>
      <c r="D1253" s="2">
        <v>44882</v>
      </c>
    </row>
    <row r="1254" spans="1:4" x14ac:dyDescent="0.2">
      <c r="A1254" t="s">
        <v>754</v>
      </c>
      <c r="C1254">
        <v>21.021000000000001</v>
      </c>
      <c r="D1254" s="2">
        <v>44882</v>
      </c>
    </row>
    <row r="1255" spans="1:4" x14ac:dyDescent="0.2">
      <c r="A1255" t="s">
        <v>762</v>
      </c>
      <c r="C1255">
        <v>4.3010000000000002</v>
      </c>
      <c r="D1255" s="2">
        <v>44882</v>
      </c>
    </row>
    <row r="1256" spans="1:4" x14ac:dyDescent="0.2">
      <c r="A1256" t="s">
        <v>763</v>
      </c>
      <c r="C1256">
        <v>10.780000000000001</v>
      </c>
      <c r="D1256" s="2">
        <v>44882</v>
      </c>
    </row>
    <row r="1257" spans="1:4" x14ac:dyDescent="0.2">
      <c r="A1257" t="s">
        <v>764</v>
      </c>
      <c r="C1257">
        <v>7.9090000000000007</v>
      </c>
      <c r="D1257" s="2">
        <v>44882</v>
      </c>
    </row>
    <row r="1258" spans="1:4" x14ac:dyDescent="0.2">
      <c r="A1258" t="s">
        <v>765</v>
      </c>
      <c r="C1258">
        <v>11.462000000000002</v>
      </c>
      <c r="D1258" s="2">
        <v>44882</v>
      </c>
    </row>
    <row r="1259" spans="1:4" x14ac:dyDescent="0.2">
      <c r="A1259" t="s">
        <v>766</v>
      </c>
      <c r="C1259">
        <v>10.218999999999999</v>
      </c>
      <c r="D1259" s="2">
        <v>44882</v>
      </c>
    </row>
    <row r="1260" spans="1:4" x14ac:dyDescent="0.2">
      <c r="A1260" t="s">
        <v>767</v>
      </c>
      <c r="C1260">
        <v>23.507000000000001</v>
      </c>
      <c r="D1260" s="2">
        <v>44882</v>
      </c>
    </row>
    <row r="1261" spans="1:4" x14ac:dyDescent="0.2">
      <c r="A1261" t="s">
        <v>768</v>
      </c>
      <c r="C1261">
        <v>35.255000000000003</v>
      </c>
      <c r="D1261" s="2">
        <v>44882</v>
      </c>
    </row>
    <row r="1262" spans="1:4" x14ac:dyDescent="0.2">
      <c r="A1262" t="s">
        <v>770</v>
      </c>
      <c r="C1262">
        <v>1.056</v>
      </c>
      <c r="D1262" s="2">
        <v>44882</v>
      </c>
    </row>
    <row r="1263" spans="1:4" x14ac:dyDescent="0.2">
      <c r="A1263" t="s">
        <v>771</v>
      </c>
      <c r="C1263">
        <v>1.3420000000000001</v>
      </c>
      <c r="D1263" s="2">
        <v>44882</v>
      </c>
    </row>
    <row r="1264" spans="1:4" x14ac:dyDescent="0.2">
      <c r="A1264" t="s">
        <v>772</v>
      </c>
      <c r="C1264">
        <v>1.837</v>
      </c>
      <c r="D1264" s="2">
        <v>44882</v>
      </c>
    </row>
    <row r="1265" spans="1:4" x14ac:dyDescent="0.2">
      <c r="A1265" t="s">
        <v>773</v>
      </c>
      <c r="C1265">
        <v>3.399</v>
      </c>
      <c r="D1265" s="2">
        <v>44882</v>
      </c>
    </row>
    <row r="1266" spans="1:4" x14ac:dyDescent="0.2">
      <c r="A1266" t="s">
        <v>774</v>
      </c>
      <c r="C1266">
        <v>4.4110000000000005</v>
      </c>
      <c r="D1266" s="2">
        <v>44882</v>
      </c>
    </row>
    <row r="1267" spans="1:4" x14ac:dyDescent="0.2">
      <c r="A1267" t="s">
        <v>775</v>
      </c>
      <c r="C1267">
        <v>6.1930000000000005</v>
      </c>
      <c r="D1267" s="2">
        <v>44882</v>
      </c>
    </row>
    <row r="1268" spans="1:4" x14ac:dyDescent="0.2">
      <c r="A1268" t="s">
        <v>776</v>
      </c>
      <c r="C1268">
        <v>7.4580000000000011</v>
      </c>
      <c r="D1268" s="2">
        <v>44882</v>
      </c>
    </row>
    <row r="1269" spans="1:4" x14ac:dyDescent="0.2">
      <c r="A1269" t="s">
        <v>777</v>
      </c>
      <c r="C1269">
        <v>15.521000000000001</v>
      </c>
      <c r="D1269" s="2">
        <v>44882</v>
      </c>
    </row>
    <row r="1270" spans="1:4" x14ac:dyDescent="0.2">
      <c r="A1270" t="s">
        <v>778</v>
      </c>
      <c r="C1270">
        <v>51.359000000000002</v>
      </c>
      <c r="D1270" s="2">
        <v>44882</v>
      </c>
    </row>
    <row r="1271" spans="1:4" x14ac:dyDescent="0.2">
      <c r="A1271" t="s">
        <v>779</v>
      </c>
      <c r="C1271">
        <v>0.78100000000000003</v>
      </c>
      <c r="D1271" s="2">
        <v>44882</v>
      </c>
    </row>
    <row r="1272" spans="1:4" x14ac:dyDescent="0.2">
      <c r="A1272" t="s">
        <v>780</v>
      </c>
      <c r="C1272">
        <v>1.056</v>
      </c>
      <c r="D1272" s="2">
        <v>44882</v>
      </c>
    </row>
    <row r="1273" spans="1:4" x14ac:dyDescent="0.2">
      <c r="A1273" t="s">
        <v>781</v>
      </c>
      <c r="C1273">
        <v>3.1680000000000001</v>
      </c>
      <c r="D1273" s="2">
        <v>44882</v>
      </c>
    </row>
    <row r="1274" spans="1:4" x14ac:dyDescent="0.2">
      <c r="A1274" t="s">
        <v>782</v>
      </c>
      <c r="C1274">
        <v>4.125</v>
      </c>
      <c r="D1274" s="2">
        <v>44882</v>
      </c>
    </row>
    <row r="1275" spans="1:4" x14ac:dyDescent="0.2">
      <c r="A1275" t="s">
        <v>783</v>
      </c>
      <c r="C1275">
        <v>3.0470000000000002</v>
      </c>
      <c r="D1275" s="2">
        <v>44882</v>
      </c>
    </row>
    <row r="1276" spans="1:4" x14ac:dyDescent="0.2">
      <c r="A1276" t="s">
        <v>784</v>
      </c>
      <c r="C1276">
        <v>6.4240000000000004</v>
      </c>
      <c r="D1276" s="2">
        <v>44882</v>
      </c>
    </row>
    <row r="1277" spans="1:4" x14ac:dyDescent="0.2">
      <c r="A1277" t="s">
        <v>785</v>
      </c>
      <c r="C1277">
        <v>4.8620000000000001</v>
      </c>
      <c r="D1277" s="2">
        <v>44882</v>
      </c>
    </row>
    <row r="1278" spans="1:4" x14ac:dyDescent="0.2">
      <c r="A1278" t="s">
        <v>786</v>
      </c>
      <c r="C1278">
        <v>1.4278000000000002</v>
      </c>
      <c r="D1278" s="2">
        <v>44882</v>
      </c>
    </row>
    <row r="1279" spans="1:4" x14ac:dyDescent="0.2">
      <c r="A1279" t="s">
        <v>787</v>
      </c>
      <c r="C1279">
        <v>2.2109999999999999</v>
      </c>
      <c r="D1279" s="2">
        <v>44882</v>
      </c>
    </row>
    <row r="1280" spans="1:4" x14ac:dyDescent="0.2">
      <c r="A1280" t="s">
        <v>788</v>
      </c>
      <c r="C1280">
        <v>3.3440000000000003</v>
      </c>
      <c r="D1280" s="2">
        <v>44882</v>
      </c>
    </row>
    <row r="1281" spans="1:4" x14ac:dyDescent="0.2">
      <c r="A1281" t="s">
        <v>789</v>
      </c>
      <c r="C1281">
        <v>3.8500000000000005</v>
      </c>
      <c r="D1281" s="2">
        <v>44882</v>
      </c>
    </row>
    <row r="1282" spans="1:4" x14ac:dyDescent="0.2">
      <c r="A1282" t="s">
        <v>790</v>
      </c>
      <c r="C1282">
        <v>4.0799000000000003</v>
      </c>
      <c r="D1282" s="2">
        <v>44882</v>
      </c>
    </row>
    <row r="1283" spans="1:4" x14ac:dyDescent="0.2">
      <c r="A1283" t="s">
        <v>791</v>
      </c>
      <c r="C1283">
        <v>3.5750000000000002</v>
      </c>
      <c r="D1283" s="2">
        <v>44882</v>
      </c>
    </row>
    <row r="1284" spans="1:4" x14ac:dyDescent="0.2">
      <c r="A1284" t="s">
        <v>792</v>
      </c>
      <c r="C1284">
        <v>5.2250000000000005</v>
      </c>
      <c r="D1284" s="2">
        <v>44882</v>
      </c>
    </row>
    <row r="1285" spans="1:4" x14ac:dyDescent="0.2">
      <c r="A1285" t="s">
        <v>793</v>
      </c>
      <c r="C1285">
        <v>4.6325136000000002</v>
      </c>
      <c r="D1285" s="2">
        <v>44882</v>
      </c>
    </row>
    <row r="1286" spans="1:4" x14ac:dyDescent="0.2">
      <c r="A1286" t="s">
        <v>794</v>
      </c>
      <c r="C1286">
        <v>7.5680000000000005</v>
      </c>
      <c r="D1286" s="2">
        <v>44882</v>
      </c>
    </row>
    <row r="1287" spans="1:4" x14ac:dyDescent="0.2">
      <c r="A1287" t="s">
        <v>795</v>
      </c>
      <c r="C1287">
        <v>5.1260000000000003</v>
      </c>
      <c r="D1287" s="2">
        <v>44882</v>
      </c>
    </row>
    <row r="1288" spans="1:4" x14ac:dyDescent="0.2">
      <c r="A1288" t="s">
        <v>796</v>
      </c>
      <c r="C1288">
        <v>7.8210000000000006</v>
      </c>
      <c r="D1288" s="2">
        <v>44882</v>
      </c>
    </row>
    <row r="1289" spans="1:4" x14ac:dyDescent="0.2">
      <c r="A1289" t="s">
        <v>797</v>
      </c>
      <c r="C1289">
        <v>8.2115000000000009</v>
      </c>
      <c r="D1289" s="2">
        <v>44882</v>
      </c>
    </row>
    <row r="1290" spans="1:4" x14ac:dyDescent="0.2">
      <c r="A1290" t="s">
        <v>798</v>
      </c>
      <c r="C1290">
        <v>6.0940000000000003</v>
      </c>
      <c r="D1290" s="2">
        <v>44882</v>
      </c>
    </row>
    <row r="1291" spans="1:4" x14ac:dyDescent="0.2">
      <c r="A1291" t="s">
        <v>799</v>
      </c>
      <c r="C1291">
        <v>5.9070000000000009</v>
      </c>
      <c r="D1291" s="2">
        <v>44882</v>
      </c>
    </row>
    <row r="1292" spans="1:4" x14ac:dyDescent="0.2">
      <c r="A1292" t="s">
        <v>800</v>
      </c>
      <c r="C1292">
        <v>6.149</v>
      </c>
      <c r="D1292" s="2">
        <v>44882</v>
      </c>
    </row>
    <row r="1293" spans="1:4" x14ac:dyDescent="0.2">
      <c r="A1293" t="s">
        <v>801</v>
      </c>
      <c r="C1293">
        <v>11.088000000000001</v>
      </c>
      <c r="D1293" s="2">
        <v>44882</v>
      </c>
    </row>
    <row r="1294" spans="1:4" x14ac:dyDescent="0.2">
      <c r="A1294" t="s">
        <v>802</v>
      </c>
      <c r="C1294">
        <v>9.8780000000000019</v>
      </c>
      <c r="D1294" s="2">
        <v>44882</v>
      </c>
    </row>
    <row r="1295" spans="1:4" x14ac:dyDescent="0.2">
      <c r="A1295" t="s">
        <v>803</v>
      </c>
      <c r="C1295">
        <v>8.9540000000000006</v>
      </c>
      <c r="D1295" s="2">
        <v>44882</v>
      </c>
    </row>
    <row r="1296" spans="1:4" x14ac:dyDescent="0.2">
      <c r="A1296" t="s">
        <v>804</v>
      </c>
      <c r="C1296">
        <v>11.693000000000001</v>
      </c>
      <c r="D1296" s="2">
        <v>44882</v>
      </c>
    </row>
    <row r="1297" spans="1:4" x14ac:dyDescent="0.2">
      <c r="A1297" t="s">
        <v>805</v>
      </c>
      <c r="C1297">
        <v>8.4667000000000012</v>
      </c>
      <c r="D1297" s="2">
        <v>44882</v>
      </c>
    </row>
    <row r="1298" spans="1:4" x14ac:dyDescent="0.2">
      <c r="A1298" t="s">
        <v>806</v>
      </c>
      <c r="C1298">
        <v>25.223000000000003</v>
      </c>
      <c r="D1298" s="2">
        <v>44882</v>
      </c>
    </row>
    <row r="1299" spans="1:4" x14ac:dyDescent="0.2">
      <c r="A1299" t="s">
        <v>807</v>
      </c>
      <c r="C1299">
        <v>25.223000000000003</v>
      </c>
      <c r="D1299" s="2">
        <v>44882</v>
      </c>
    </row>
    <row r="1300" spans="1:4" x14ac:dyDescent="0.2">
      <c r="A1300" t="s">
        <v>808</v>
      </c>
      <c r="C1300">
        <v>25.223000000000003</v>
      </c>
      <c r="D1300" s="2">
        <v>44882</v>
      </c>
    </row>
    <row r="1301" spans="1:4" x14ac:dyDescent="0.2">
      <c r="A1301" t="s">
        <v>809</v>
      </c>
      <c r="C1301">
        <v>2.8050000000000002</v>
      </c>
      <c r="D1301" s="2">
        <v>44882</v>
      </c>
    </row>
    <row r="1302" spans="1:4" x14ac:dyDescent="0.2">
      <c r="A1302" t="s">
        <v>810</v>
      </c>
      <c r="C1302">
        <v>2.4750000000000001</v>
      </c>
      <c r="D1302" s="2">
        <v>44882</v>
      </c>
    </row>
    <row r="1303" spans="1:4" x14ac:dyDescent="0.2">
      <c r="A1303" t="s">
        <v>811</v>
      </c>
      <c r="C1303">
        <v>2.8050000000000002</v>
      </c>
      <c r="D1303" s="2">
        <v>44882</v>
      </c>
    </row>
    <row r="1304" spans="1:4" x14ac:dyDescent="0.2">
      <c r="A1304" t="s">
        <v>812</v>
      </c>
      <c r="C1304">
        <v>2.5410000000000004</v>
      </c>
      <c r="D1304" s="2">
        <v>44882</v>
      </c>
    </row>
    <row r="1305" spans="1:4" x14ac:dyDescent="0.2">
      <c r="A1305" t="s">
        <v>813</v>
      </c>
      <c r="C1305">
        <v>4.8180000000000005</v>
      </c>
      <c r="D1305" s="2">
        <v>44882</v>
      </c>
    </row>
    <row r="1306" spans="1:4" x14ac:dyDescent="0.2">
      <c r="A1306" t="s">
        <v>814</v>
      </c>
      <c r="C1306">
        <v>4.4110000000000005</v>
      </c>
      <c r="D1306" s="2">
        <v>44882</v>
      </c>
    </row>
    <row r="1307" spans="1:4" x14ac:dyDescent="0.2">
      <c r="A1307" t="s">
        <v>815</v>
      </c>
      <c r="C1307">
        <v>7.6780000000000008</v>
      </c>
      <c r="D1307" s="2">
        <v>44882</v>
      </c>
    </row>
    <row r="1308" spans="1:4" x14ac:dyDescent="0.2">
      <c r="A1308" t="s">
        <v>816</v>
      </c>
      <c r="C1308">
        <v>10.549000000000001</v>
      </c>
      <c r="D1308" s="2">
        <v>44882</v>
      </c>
    </row>
    <row r="1309" spans="1:4" x14ac:dyDescent="0.2">
      <c r="A1309" t="s">
        <v>817</v>
      </c>
      <c r="C1309">
        <v>11.605000000000002</v>
      </c>
      <c r="D1309" s="2">
        <v>44882</v>
      </c>
    </row>
    <row r="1310" spans="1:4" x14ac:dyDescent="0.2">
      <c r="A1310" t="s">
        <v>818</v>
      </c>
      <c r="C1310">
        <v>17.303000000000001</v>
      </c>
      <c r="D1310" s="2">
        <v>44882</v>
      </c>
    </row>
    <row r="1311" spans="1:4" x14ac:dyDescent="0.2">
      <c r="A1311" t="s">
        <v>819</v>
      </c>
      <c r="C1311">
        <v>12.859</v>
      </c>
      <c r="D1311" s="2">
        <v>44882</v>
      </c>
    </row>
    <row r="1312" spans="1:4" x14ac:dyDescent="0.2">
      <c r="A1312" t="s">
        <v>820</v>
      </c>
      <c r="C1312">
        <v>2.9260000000000006</v>
      </c>
      <c r="D1312" s="2">
        <v>44882</v>
      </c>
    </row>
    <row r="1313" spans="1:4" x14ac:dyDescent="0.2">
      <c r="A1313" t="s">
        <v>821</v>
      </c>
      <c r="C1313">
        <v>3.8390000000000004</v>
      </c>
      <c r="D1313" s="2">
        <v>44882</v>
      </c>
    </row>
    <row r="1314" spans="1:4" x14ac:dyDescent="0.2">
      <c r="A1314" t="s">
        <v>822</v>
      </c>
      <c r="C1314">
        <v>5.2140000000000004</v>
      </c>
      <c r="D1314" s="2">
        <v>44882</v>
      </c>
    </row>
    <row r="1315" spans="1:4" x14ac:dyDescent="0.2">
      <c r="A1315" t="s">
        <v>823</v>
      </c>
      <c r="C1315">
        <v>7.6780000000000008</v>
      </c>
      <c r="D1315" s="2">
        <v>44882</v>
      </c>
    </row>
    <row r="1316" spans="1:4" x14ac:dyDescent="0.2">
      <c r="A1316" t="s">
        <v>824</v>
      </c>
      <c r="C1316">
        <v>10.549000000000001</v>
      </c>
      <c r="D1316" s="2">
        <v>44882</v>
      </c>
    </row>
    <row r="1317" spans="1:4" x14ac:dyDescent="0.2">
      <c r="A1317" t="s">
        <v>825</v>
      </c>
      <c r="C1317">
        <v>16.048999999999999</v>
      </c>
      <c r="D1317" s="2">
        <v>44882</v>
      </c>
    </row>
    <row r="1318" spans="1:4" x14ac:dyDescent="0.2">
      <c r="A1318" t="s">
        <v>826</v>
      </c>
      <c r="C1318">
        <v>22.363</v>
      </c>
      <c r="D1318" s="2">
        <v>44882</v>
      </c>
    </row>
    <row r="1319" spans="1:4" x14ac:dyDescent="0.2">
      <c r="A1319" t="s">
        <v>827</v>
      </c>
      <c r="C1319">
        <v>19.492000000000001</v>
      </c>
      <c r="D1319" s="2">
        <v>44882</v>
      </c>
    </row>
    <row r="1320" spans="1:4" x14ac:dyDescent="0.2">
      <c r="A1320" t="s">
        <v>828</v>
      </c>
      <c r="C1320">
        <v>2.9810000000000003</v>
      </c>
      <c r="D1320" s="2">
        <v>44882</v>
      </c>
    </row>
    <row r="1321" spans="1:4" x14ac:dyDescent="0.2">
      <c r="A1321" t="s">
        <v>829</v>
      </c>
      <c r="C1321">
        <v>4.3559999999999999</v>
      </c>
      <c r="D1321" s="2">
        <v>44882</v>
      </c>
    </row>
    <row r="1322" spans="1:4" x14ac:dyDescent="0.2">
      <c r="A1322" t="s">
        <v>830</v>
      </c>
      <c r="C1322">
        <v>5.9070000000000009</v>
      </c>
      <c r="D1322" s="2">
        <v>44882</v>
      </c>
    </row>
    <row r="1323" spans="1:4" x14ac:dyDescent="0.2">
      <c r="A1323" t="s">
        <v>831</v>
      </c>
      <c r="C1323">
        <v>10.318000000000001</v>
      </c>
      <c r="D1323" s="2">
        <v>44882</v>
      </c>
    </row>
    <row r="1324" spans="1:4" x14ac:dyDescent="0.2">
      <c r="A1324" t="s">
        <v>832</v>
      </c>
      <c r="C1324">
        <v>13.189000000000002</v>
      </c>
      <c r="D1324" s="2">
        <v>44882</v>
      </c>
    </row>
    <row r="1325" spans="1:4" x14ac:dyDescent="0.2">
      <c r="A1325" t="s">
        <v>833</v>
      </c>
      <c r="C1325">
        <v>17.193000000000001</v>
      </c>
      <c r="D1325" s="2">
        <v>44882</v>
      </c>
    </row>
    <row r="1326" spans="1:4" x14ac:dyDescent="0.2">
      <c r="A1326" t="s">
        <v>834</v>
      </c>
      <c r="C1326">
        <v>21.494</v>
      </c>
      <c r="D1326" s="2">
        <v>44882</v>
      </c>
    </row>
    <row r="1327" spans="1:4" x14ac:dyDescent="0.2">
      <c r="A1327" t="s">
        <v>835</v>
      </c>
      <c r="C1327">
        <v>46.277000000000001</v>
      </c>
      <c r="D1327" s="2">
        <v>44882</v>
      </c>
    </row>
    <row r="1328" spans="1:4" x14ac:dyDescent="0.2">
      <c r="A1328" t="s">
        <v>836</v>
      </c>
      <c r="C1328">
        <v>6.2039999999999988</v>
      </c>
      <c r="D1328" s="2">
        <v>44882</v>
      </c>
    </row>
    <row r="1329" spans="1:4" x14ac:dyDescent="0.2">
      <c r="A1329" t="s">
        <v>837</v>
      </c>
      <c r="C1329">
        <v>5.2469999999999999</v>
      </c>
      <c r="D1329" s="2">
        <v>44882</v>
      </c>
    </row>
    <row r="1330" spans="1:4" x14ac:dyDescent="0.2">
      <c r="A1330" t="s">
        <v>838</v>
      </c>
      <c r="C1330">
        <v>5.8520000000000012</v>
      </c>
      <c r="D1330" s="2">
        <v>44882</v>
      </c>
    </row>
    <row r="1331" spans="1:4" x14ac:dyDescent="0.2">
      <c r="A1331" t="s">
        <v>839</v>
      </c>
      <c r="C1331">
        <v>7.1060000000000008</v>
      </c>
      <c r="D1331" s="2">
        <v>44882</v>
      </c>
    </row>
    <row r="1332" spans="1:4" x14ac:dyDescent="0.2">
      <c r="A1332" t="s">
        <v>840</v>
      </c>
      <c r="C1332">
        <v>6.7650000000000006</v>
      </c>
      <c r="D1332" s="2">
        <v>44882</v>
      </c>
    </row>
    <row r="1333" spans="1:4" x14ac:dyDescent="0.2">
      <c r="A1333" t="s">
        <v>841</v>
      </c>
      <c r="C1333">
        <v>5.4340000000000011</v>
      </c>
      <c r="D1333" s="2">
        <v>44882</v>
      </c>
    </row>
    <row r="1334" spans="1:4" x14ac:dyDescent="0.2">
      <c r="A1334" t="s">
        <v>842</v>
      </c>
      <c r="C1334">
        <v>12.617000000000001</v>
      </c>
      <c r="D1334" s="2">
        <v>44882</v>
      </c>
    </row>
    <row r="1335" spans="1:4" x14ac:dyDescent="0.2">
      <c r="A1335" t="s">
        <v>843</v>
      </c>
      <c r="C1335">
        <v>13.189000000000002</v>
      </c>
      <c r="D1335" s="2">
        <v>44882</v>
      </c>
    </row>
    <row r="1336" spans="1:4" x14ac:dyDescent="0.2">
      <c r="A1336" t="s">
        <v>844</v>
      </c>
      <c r="C1336">
        <v>13.761000000000001</v>
      </c>
      <c r="D1336" s="2">
        <v>44882</v>
      </c>
    </row>
    <row r="1337" spans="1:4" x14ac:dyDescent="0.2">
      <c r="A1337" t="s">
        <v>845</v>
      </c>
      <c r="C1337">
        <v>16.335000000000001</v>
      </c>
      <c r="D1337" s="2">
        <v>44882</v>
      </c>
    </row>
    <row r="1338" spans="1:4" x14ac:dyDescent="0.2">
      <c r="A1338" t="s">
        <v>846</v>
      </c>
      <c r="C1338">
        <v>13.750000000000002</v>
      </c>
      <c r="D1338" s="2">
        <v>44882</v>
      </c>
    </row>
    <row r="1339" spans="1:4" x14ac:dyDescent="0.2">
      <c r="A1339" t="s">
        <v>847</v>
      </c>
      <c r="C1339">
        <v>17.490000000000002</v>
      </c>
      <c r="D1339" s="2">
        <v>44882</v>
      </c>
    </row>
    <row r="1340" spans="1:4" x14ac:dyDescent="0.2">
      <c r="A1340" t="s">
        <v>848</v>
      </c>
      <c r="C1340">
        <v>20.690999999999999</v>
      </c>
      <c r="D1340" s="2">
        <v>44882</v>
      </c>
    </row>
    <row r="1341" spans="1:4" x14ac:dyDescent="0.2">
      <c r="A1341" t="s">
        <v>849</v>
      </c>
      <c r="C1341">
        <v>16.038</v>
      </c>
      <c r="D1341" s="2">
        <v>44882</v>
      </c>
    </row>
    <row r="1342" spans="1:4" x14ac:dyDescent="0.2">
      <c r="A1342" t="s">
        <v>850</v>
      </c>
      <c r="C1342">
        <v>15.411000000000001</v>
      </c>
      <c r="D1342" s="2">
        <v>44882</v>
      </c>
    </row>
    <row r="1343" spans="1:4" x14ac:dyDescent="0.2">
      <c r="A1343" t="s">
        <v>851</v>
      </c>
      <c r="C1343">
        <v>26.939</v>
      </c>
      <c r="D1343" s="2">
        <v>44882</v>
      </c>
    </row>
    <row r="1344" spans="1:4" x14ac:dyDescent="0.2">
      <c r="A1344" t="s">
        <v>852</v>
      </c>
      <c r="C1344">
        <v>27.522000000000002</v>
      </c>
      <c r="D1344" s="2">
        <v>44882</v>
      </c>
    </row>
    <row r="1345" spans="1:4" x14ac:dyDescent="0.2">
      <c r="A1345" t="s">
        <v>853</v>
      </c>
      <c r="C1345">
        <v>27.808000000000003</v>
      </c>
      <c r="D1345" s="2">
        <v>44882</v>
      </c>
    </row>
    <row r="1346" spans="1:4" x14ac:dyDescent="0.2">
      <c r="A1346" t="s">
        <v>854</v>
      </c>
      <c r="C1346">
        <v>49.995000000000005</v>
      </c>
      <c r="D1346" s="2">
        <v>44882</v>
      </c>
    </row>
    <row r="1347" spans="1:4" x14ac:dyDescent="0.2">
      <c r="A1347" t="s">
        <v>855</v>
      </c>
      <c r="C1347">
        <v>51.216000000000008</v>
      </c>
      <c r="D1347" s="2">
        <v>44882</v>
      </c>
    </row>
    <row r="1348" spans="1:4" x14ac:dyDescent="0.2">
      <c r="A1348" t="s">
        <v>856</v>
      </c>
      <c r="C1348">
        <v>53.438000000000002</v>
      </c>
      <c r="D1348" s="2">
        <v>44882</v>
      </c>
    </row>
    <row r="1349" spans="1:4" x14ac:dyDescent="0.2">
      <c r="A1349" t="s">
        <v>858</v>
      </c>
      <c r="C1349">
        <v>4.3559999999999999</v>
      </c>
      <c r="D1349" s="2">
        <v>44882</v>
      </c>
    </row>
    <row r="1350" spans="1:4" x14ac:dyDescent="0.2">
      <c r="A1350" t="s">
        <v>859</v>
      </c>
      <c r="C1350">
        <v>5.9070000000000009</v>
      </c>
      <c r="D1350" s="2">
        <v>44882</v>
      </c>
    </row>
    <row r="1351" spans="1:4" x14ac:dyDescent="0.2">
      <c r="A1351" t="s">
        <v>860</v>
      </c>
      <c r="C1351">
        <v>3.4870000000000001</v>
      </c>
      <c r="D1351" s="2">
        <v>44882</v>
      </c>
    </row>
    <row r="1352" spans="1:4" x14ac:dyDescent="0.2">
      <c r="A1352" t="s">
        <v>861</v>
      </c>
      <c r="C1352">
        <v>10.318000000000001</v>
      </c>
      <c r="D1352" s="2">
        <v>44882</v>
      </c>
    </row>
    <row r="1353" spans="1:4" x14ac:dyDescent="0.2">
      <c r="A1353" t="s">
        <v>862</v>
      </c>
      <c r="C1353">
        <v>8.9320000000000004</v>
      </c>
      <c r="D1353" s="2">
        <v>44882</v>
      </c>
    </row>
    <row r="1354" spans="1:4" x14ac:dyDescent="0.2">
      <c r="A1354" t="s">
        <v>863</v>
      </c>
      <c r="C1354">
        <v>9.4489999999999998</v>
      </c>
      <c r="D1354" s="2">
        <v>44882</v>
      </c>
    </row>
    <row r="1355" spans="1:4" x14ac:dyDescent="0.2">
      <c r="A1355" t="s">
        <v>864</v>
      </c>
      <c r="C1355">
        <v>13.189000000000002</v>
      </c>
      <c r="D1355" s="2">
        <v>44882</v>
      </c>
    </row>
    <row r="1356" spans="1:4" x14ac:dyDescent="0.2">
      <c r="A1356" t="s">
        <v>865</v>
      </c>
      <c r="C1356">
        <v>12.694000000000001</v>
      </c>
      <c r="D1356" s="2">
        <v>44882</v>
      </c>
    </row>
    <row r="1357" spans="1:4" x14ac:dyDescent="0.2">
      <c r="A1357" t="s">
        <v>866</v>
      </c>
      <c r="C1357">
        <v>13.189000000000002</v>
      </c>
      <c r="D1357" s="2">
        <v>44882</v>
      </c>
    </row>
    <row r="1358" spans="1:4" x14ac:dyDescent="0.2">
      <c r="A1358" t="s">
        <v>867</v>
      </c>
      <c r="C1358">
        <v>12.386000000000001</v>
      </c>
      <c r="D1358" s="2">
        <v>44882</v>
      </c>
    </row>
    <row r="1359" spans="1:4" x14ac:dyDescent="0.2">
      <c r="A1359" t="s">
        <v>868</v>
      </c>
      <c r="C1359">
        <v>14.124000000000001</v>
      </c>
      <c r="D1359" s="2">
        <v>44882</v>
      </c>
    </row>
    <row r="1360" spans="1:4" x14ac:dyDescent="0.2">
      <c r="A1360" t="s">
        <v>869</v>
      </c>
      <c r="C1360">
        <v>15.059000000000001</v>
      </c>
      <c r="D1360" s="2">
        <v>44882</v>
      </c>
    </row>
    <row r="1361" spans="1:4" x14ac:dyDescent="0.2">
      <c r="A1361" t="s">
        <v>870</v>
      </c>
      <c r="C1361">
        <v>14.894</v>
      </c>
      <c r="D1361" s="2">
        <v>44882</v>
      </c>
    </row>
    <row r="1362" spans="1:4" x14ac:dyDescent="0.2">
      <c r="A1362" t="s">
        <v>871</v>
      </c>
      <c r="C1362">
        <v>13.376000000000001</v>
      </c>
      <c r="D1362" s="2">
        <v>44882</v>
      </c>
    </row>
    <row r="1363" spans="1:4" x14ac:dyDescent="0.2">
      <c r="A1363" t="s">
        <v>872</v>
      </c>
      <c r="C1363">
        <v>17.193000000000001</v>
      </c>
      <c r="D1363" s="2">
        <v>44882</v>
      </c>
    </row>
    <row r="1364" spans="1:4" x14ac:dyDescent="0.2">
      <c r="A1364" t="s">
        <v>873</v>
      </c>
      <c r="C1364">
        <v>20.669</v>
      </c>
      <c r="D1364" s="2">
        <v>44882</v>
      </c>
    </row>
    <row r="1365" spans="1:4" x14ac:dyDescent="0.2">
      <c r="A1365" t="s">
        <v>874</v>
      </c>
      <c r="C1365">
        <v>19.019000000000002</v>
      </c>
      <c r="D1365" s="2">
        <v>44882</v>
      </c>
    </row>
    <row r="1366" spans="1:4" x14ac:dyDescent="0.2">
      <c r="A1366" t="s">
        <v>875</v>
      </c>
      <c r="C1366">
        <v>19.8</v>
      </c>
      <c r="D1366" s="2">
        <v>44882</v>
      </c>
    </row>
    <row r="1367" spans="1:4" x14ac:dyDescent="0.2">
      <c r="A1367" t="s">
        <v>876</v>
      </c>
      <c r="C1367">
        <v>21.494</v>
      </c>
      <c r="D1367" s="2">
        <v>44882</v>
      </c>
    </row>
    <row r="1368" spans="1:4" x14ac:dyDescent="0.2">
      <c r="A1368" t="s">
        <v>877</v>
      </c>
      <c r="C1368">
        <v>18.843</v>
      </c>
      <c r="D1368" s="2">
        <v>44882</v>
      </c>
    </row>
    <row r="1369" spans="1:4" x14ac:dyDescent="0.2">
      <c r="A1369" t="s">
        <v>878</v>
      </c>
      <c r="C1369">
        <v>19.096</v>
      </c>
      <c r="D1369" s="2">
        <v>44882</v>
      </c>
    </row>
    <row r="1370" spans="1:4" x14ac:dyDescent="0.2">
      <c r="A1370" t="s">
        <v>879</v>
      </c>
      <c r="C1370">
        <v>44.902000000000001</v>
      </c>
      <c r="D1370" s="2">
        <v>44882</v>
      </c>
    </row>
    <row r="1371" spans="1:4" x14ac:dyDescent="0.2">
      <c r="A1371" t="s">
        <v>880</v>
      </c>
      <c r="C1371">
        <v>50.721000000000004</v>
      </c>
      <c r="D1371" s="2">
        <v>44882</v>
      </c>
    </row>
    <row r="1372" spans="1:4" x14ac:dyDescent="0.2">
      <c r="A1372" t="s">
        <v>881</v>
      </c>
      <c r="C1372">
        <v>44.902000000000001</v>
      </c>
      <c r="D1372" s="2">
        <v>44882</v>
      </c>
    </row>
    <row r="1373" spans="1:4" x14ac:dyDescent="0.2">
      <c r="A1373" t="s">
        <v>882</v>
      </c>
      <c r="C1373">
        <v>2.0680000000000001</v>
      </c>
      <c r="D1373" s="2">
        <v>44882</v>
      </c>
    </row>
    <row r="1374" spans="1:4" x14ac:dyDescent="0.2">
      <c r="A1374" t="s">
        <v>883</v>
      </c>
      <c r="C1374">
        <v>3.3660000000000005</v>
      </c>
      <c r="D1374" s="2">
        <v>44882</v>
      </c>
    </row>
    <row r="1375" spans="1:4" x14ac:dyDescent="0.2">
      <c r="A1375" t="s">
        <v>884</v>
      </c>
      <c r="C1375">
        <v>4.2679999999999998</v>
      </c>
      <c r="D1375" s="2">
        <v>44882</v>
      </c>
    </row>
    <row r="1376" spans="1:4" x14ac:dyDescent="0.2">
      <c r="A1376" t="s">
        <v>885</v>
      </c>
      <c r="C1376">
        <v>5.9729999999999999</v>
      </c>
      <c r="D1376" s="2">
        <v>44882</v>
      </c>
    </row>
    <row r="1377" spans="1:4" x14ac:dyDescent="0.2">
      <c r="A1377" t="s">
        <v>886</v>
      </c>
      <c r="C1377">
        <v>7.3370000000000006</v>
      </c>
      <c r="D1377" s="2">
        <v>44882</v>
      </c>
    </row>
    <row r="1378" spans="1:4" x14ac:dyDescent="0.2">
      <c r="A1378" t="s">
        <v>887</v>
      </c>
      <c r="C1378">
        <v>8.5030000000000019</v>
      </c>
      <c r="D1378" s="2">
        <v>44882</v>
      </c>
    </row>
    <row r="1379" spans="1:4" x14ac:dyDescent="0.2">
      <c r="A1379" t="s">
        <v>888</v>
      </c>
      <c r="C1379">
        <v>12.815000000000001</v>
      </c>
      <c r="D1379" s="2">
        <v>44882</v>
      </c>
    </row>
    <row r="1380" spans="1:4" x14ac:dyDescent="0.2">
      <c r="A1380" t="s">
        <v>889</v>
      </c>
      <c r="C1380">
        <v>23.298000000000002</v>
      </c>
      <c r="D1380" s="2">
        <v>44882</v>
      </c>
    </row>
    <row r="1381" spans="1:4" x14ac:dyDescent="0.2">
      <c r="A1381" t="s">
        <v>890</v>
      </c>
      <c r="C1381">
        <v>4.620000000000001</v>
      </c>
      <c r="D1381" s="2">
        <v>44882</v>
      </c>
    </row>
    <row r="1382" spans="1:4" x14ac:dyDescent="0.2">
      <c r="A1382" t="s">
        <v>891</v>
      </c>
      <c r="C1382">
        <v>5.1898</v>
      </c>
      <c r="D1382" s="2">
        <v>44882</v>
      </c>
    </row>
    <row r="1383" spans="1:4" x14ac:dyDescent="0.2">
      <c r="A1383" t="s">
        <v>892</v>
      </c>
      <c r="C1383">
        <v>5.7596000000000016</v>
      </c>
      <c r="D1383" s="2">
        <v>44882</v>
      </c>
    </row>
    <row r="1384" spans="1:4" x14ac:dyDescent="0.2">
      <c r="A1384" t="s">
        <v>893</v>
      </c>
      <c r="C1384">
        <v>6.7067000000000023</v>
      </c>
      <c r="D1384" s="2">
        <v>44882</v>
      </c>
    </row>
    <row r="1385" spans="1:4" x14ac:dyDescent="0.2">
      <c r="A1385" t="s">
        <v>894</v>
      </c>
      <c r="C1385">
        <v>8.0696000000000012</v>
      </c>
      <c r="D1385" s="2">
        <v>44882</v>
      </c>
    </row>
    <row r="1386" spans="1:4" x14ac:dyDescent="0.2">
      <c r="A1386" t="s">
        <v>895</v>
      </c>
      <c r="C1386">
        <v>10.495100000000001</v>
      </c>
      <c r="D1386" s="2">
        <v>44882</v>
      </c>
    </row>
    <row r="1387" spans="1:4" x14ac:dyDescent="0.2">
      <c r="A1387" t="s">
        <v>896</v>
      </c>
      <c r="C1387">
        <v>12.635700000000002</v>
      </c>
      <c r="D1387" s="2">
        <v>44882</v>
      </c>
    </row>
    <row r="1388" spans="1:4" x14ac:dyDescent="0.2">
      <c r="A1388" t="s">
        <v>897</v>
      </c>
      <c r="C1388">
        <v>25.348400000000005</v>
      </c>
      <c r="D1388" s="2">
        <v>44882</v>
      </c>
    </row>
    <row r="1389" spans="1:4" x14ac:dyDescent="0.2">
      <c r="A1389" t="s">
        <v>898</v>
      </c>
      <c r="C1389">
        <v>30.592100000000002</v>
      </c>
      <c r="D1389" s="2">
        <v>44882</v>
      </c>
    </row>
    <row r="1390" spans="1:4" x14ac:dyDescent="0.2">
      <c r="A1390" t="s">
        <v>899</v>
      </c>
      <c r="C1390">
        <v>33.487300000000005</v>
      </c>
      <c r="D1390" s="2">
        <v>44882</v>
      </c>
    </row>
    <row r="1391" spans="1:4" x14ac:dyDescent="0.2">
      <c r="A1391" t="s">
        <v>900</v>
      </c>
      <c r="C1391">
        <v>24.247300000000003</v>
      </c>
      <c r="D1391" s="2">
        <v>44882</v>
      </c>
    </row>
    <row r="1392" spans="1:4" x14ac:dyDescent="0.2">
      <c r="A1392" t="s">
        <v>901</v>
      </c>
      <c r="C1392">
        <v>25.4177</v>
      </c>
      <c r="D1392" s="2">
        <v>44882</v>
      </c>
    </row>
    <row r="1393" spans="1:4" x14ac:dyDescent="0.2">
      <c r="A1393" t="s">
        <v>902</v>
      </c>
      <c r="C1393">
        <v>27.150200000000002</v>
      </c>
      <c r="D1393" s="2">
        <v>44882</v>
      </c>
    </row>
    <row r="1394" spans="1:4" x14ac:dyDescent="0.2">
      <c r="A1394" t="s">
        <v>903</v>
      </c>
      <c r="C1394">
        <v>31.939599999999999</v>
      </c>
      <c r="D1394" s="2">
        <v>44882</v>
      </c>
    </row>
    <row r="1395" spans="1:4" x14ac:dyDescent="0.2">
      <c r="A1395" t="s">
        <v>904</v>
      </c>
      <c r="C1395">
        <v>51.613100000000003</v>
      </c>
      <c r="D1395" s="2">
        <v>44882</v>
      </c>
    </row>
    <row r="1396" spans="1:4" x14ac:dyDescent="0.2">
      <c r="A1396" t="s">
        <v>905</v>
      </c>
      <c r="C1396">
        <v>60.7453</v>
      </c>
      <c r="D1396" s="2">
        <v>44882</v>
      </c>
    </row>
    <row r="1397" spans="1:4" x14ac:dyDescent="0.2">
      <c r="A1397" t="s">
        <v>906</v>
      </c>
      <c r="C1397">
        <v>64.980300000000014</v>
      </c>
      <c r="D1397" s="2">
        <v>44882</v>
      </c>
    </row>
    <row r="1398" spans="1:4" x14ac:dyDescent="0.2">
      <c r="A1398" t="s">
        <v>907</v>
      </c>
      <c r="C1398">
        <v>84.733000000000004</v>
      </c>
      <c r="D1398" s="2">
        <v>44882</v>
      </c>
    </row>
    <row r="1399" spans="1:4" x14ac:dyDescent="0.2">
      <c r="A1399" t="s">
        <v>908</v>
      </c>
      <c r="C1399">
        <v>245.57500000000002</v>
      </c>
      <c r="D1399" s="2">
        <v>44882</v>
      </c>
    </row>
    <row r="1400" spans="1:4" x14ac:dyDescent="0.2">
      <c r="A1400" t="s">
        <v>909</v>
      </c>
      <c r="C1400">
        <v>292.31950000000001</v>
      </c>
      <c r="D1400" s="2">
        <v>44882</v>
      </c>
    </row>
    <row r="1401" spans="1:4" x14ac:dyDescent="0.2">
      <c r="A1401" t="s">
        <v>912</v>
      </c>
      <c r="C1401">
        <v>68.853400000000008</v>
      </c>
      <c r="D1401" s="2">
        <v>44882</v>
      </c>
    </row>
    <row r="1402" spans="1:4" x14ac:dyDescent="0.2">
      <c r="A1402" t="s">
        <v>913</v>
      </c>
      <c r="C1402">
        <v>136.41650000000001</v>
      </c>
      <c r="D1402" s="2">
        <v>44882</v>
      </c>
    </row>
    <row r="1403" spans="1:4" x14ac:dyDescent="0.2">
      <c r="A1403" t="s">
        <v>914</v>
      </c>
      <c r="C1403">
        <v>109.0782</v>
      </c>
      <c r="D1403" s="2">
        <v>44882</v>
      </c>
    </row>
    <row r="1404" spans="1:4" x14ac:dyDescent="0.2">
      <c r="A1404" t="s">
        <v>2098</v>
      </c>
      <c r="C1404">
        <v>16.085300000000004</v>
      </c>
      <c r="D1404" s="2">
        <v>44882</v>
      </c>
    </row>
    <row r="1405" spans="1:4" x14ac:dyDescent="0.2">
      <c r="A1405" t="s">
        <v>2099</v>
      </c>
      <c r="C1405">
        <v>21.775600000000001</v>
      </c>
      <c r="D1405" s="2">
        <v>44882</v>
      </c>
    </row>
    <row r="1406" spans="1:4" x14ac:dyDescent="0.2">
      <c r="A1406" t="s">
        <v>2100</v>
      </c>
      <c r="C1406">
        <v>22.761200000000002</v>
      </c>
      <c r="D1406" s="2">
        <v>44882</v>
      </c>
    </row>
    <row r="1407" spans="1:4" x14ac:dyDescent="0.2">
      <c r="A1407" t="s">
        <v>2101</v>
      </c>
      <c r="C1407">
        <v>28.543900000000004</v>
      </c>
      <c r="D1407" s="2">
        <v>44882</v>
      </c>
    </row>
    <row r="1408" spans="1:4" x14ac:dyDescent="0.2">
      <c r="A1408" t="s">
        <v>915</v>
      </c>
      <c r="C1408">
        <v>8.0795000000000012</v>
      </c>
      <c r="D1408" s="2">
        <v>44882</v>
      </c>
    </row>
    <row r="1409" spans="1:4" x14ac:dyDescent="0.2">
      <c r="A1409" t="s">
        <v>916</v>
      </c>
      <c r="C1409">
        <v>8.9320000000000004</v>
      </c>
      <c r="D1409" s="2">
        <v>44882</v>
      </c>
    </row>
    <row r="1410" spans="1:4" x14ac:dyDescent="0.2">
      <c r="A1410" t="s">
        <v>917</v>
      </c>
      <c r="C1410">
        <v>10.367500000000001</v>
      </c>
      <c r="D1410" s="2">
        <v>44882</v>
      </c>
    </row>
    <row r="1411" spans="1:4" x14ac:dyDescent="0.2">
      <c r="A1411" t="s">
        <v>918</v>
      </c>
      <c r="C1411">
        <v>6.0060000000000002</v>
      </c>
      <c r="D1411" s="2">
        <v>44882</v>
      </c>
    </row>
    <row r="1412" spans="1:4" x14ac:dyDescent="0.2">
      <c r="A1412" t="s">
        <v>919</v>
      </c>
      <c r="C1412">
        <v>15.994</v>
      </c>
      <c r="D1412" s="2">
        <v>44882</v>
      </c>
    </row>
    <row r="1413" spans="1:4" x14ac:dyDescent="0.2">
      <c r="A1413" t="s">
        <v>920</v>
      </c>
      <c r="C1413">
        <v>23.088999999999999</v>
      </c>
      <c r="D1413" s="2">
        <v>44882</v>
      </c>
    </row>
    <row r="1414" spans="1:4" x14ac:dyDescent="0.2">
      <c r="A1414" t="s">
        <v>921</v>
      </c>
      <c r="C1414">
        <v>29.650500000000001</v>
      </c>
      <c r="D1414" s="2">
        <v>44882</v>
      </c>
    </row>
    <row r="1415" spans="1:4" x14ac:dyDescent="0.2">
      <c r="A1415" t="s">
        <v>922</v>
      </c>
      <c r="C1415">
        <v>110.58300000000001</v>
      </c>
      <c r="D1415" s="2">
        <v>44882</v>
      </c>
    </row>
    <row r="1416" spans="1:4" x14ac:dyDescent="0.2">
      <c r="A1416" t="s">
        <v>923</v>
      </c>
      <c r="C1416">
        <v>131.75800000000001</v>
      </c>
      <c r="D1416" s="2">
        <v>44882</v>
      </c>
    </row>
    <row r="1417" spans="1:4" x14ac:dyDescent="0.2">
      <c r="A1417" t="s">
        <v>924</v>
      </c>
      <c r="C1417">
        <v>179.65200000000002</v>
      </c>
      <c r="D1417" s="2">
        <v>44882</v>
      </c>
    </row>
    <row r="1418" spans="1:4" x14ac:dyDescent="0.2">
      <c r="A1418" t="s">
        <v>925</v>
      </c>
      <c r="C1418">
        <v>8.0795000000000012</v>
      </c>
      <c r="D1418" s="2">
        <v>44882</v>
      </c>
    </row>
    <row r="1419" spans="1:4" x14ac:dyDescent="0.2">
      <c r="A1419" t="s">
        <v>926</v>
      </c>
      <c r="C1419">
        <v>9.7844999999999995</v>
      </c>
      <c r="D1419" s="2">
        <v>44882</v>
      </c>
    </row>
    <row r="1420" spans="1:4" x14ac:dyDescent="0.2">
      <c r="A1420" t="s">
        <v>927</v>
      </c>
      <c r="C1420">
        <v>11.649000000000001</v>
      </c>
      <c r="D1420" s="2">
        <v>44882</v>
      </c>
    </row>
    <row r="1421" spans="1:4" x14ac:dyDescent="0.2">
      <c r="A1421" t="s">
        <v>928</v>
      </c>
      <c r="C1421">
        <v>14.899500000000002</v>
      </c>
      <c r="D1421" s="2">
        <v>44882</v>
      </c>
    </row>
    <row r="1422" spans="1:4" x14ac:dyDescent="0.2">
      <c r="A1422" t="s">
        <v>929</v>
      </c>
      <c r="C1422">
        <v>22.236500000000003</v>
      </c>
      <c r="D1422" s="2">
        <v>44882</v>
      </c>
    </row>
    <row r="1423" spans="1:4" x14ac:dyDescent="0.2">
      <c r="A1423" t="s">
        <v>930</v>
      </c>
      <c r="C1423">
        <v>28.512000000000004</v>
      </c>
      <c r="D1423" s="2">
        <v>44882</v>
      </c>
    </row>
    <row r="1424" spans="1:4" x14ac:dyDescent="0.2">
      <c r="A1424" t="s">
        <v>931</v>
      </c>
      <c r="C1424">
        <v>101.464</v>
      </c>
      <c r="D1424" s="2">
        <v>44882</v>
      </c>
    </row>
    <row r="1425" spans="1:4" x14ac:dyDescent="0.2">
      <c r="A1425" t="s">
        <v>932</v>
      </c>
      <c r="C1425">
        <v>121.12100000000001</v>
      </c>
      <c r="D1425" s="2">
        <v>44882</v>
      </c>
    </row>
    <row r="1426" spans="1:4" x14ac:dyDescent="0.2">
      <c r="A1426" t="s">
        <v>933</v>
      </c>
      <c r="C1426">
        <v>165.40700000000001</v>
      </c>
      <c r="D1426" s="2">
        <v>44882</v>
      </c>
    </row>
    <row r="1427" spans="1:4" x14ac:dyDescent="0.2">
      <c r="A1427" t="s">
        <v>934</v>
      </c>
      <c r="C1427">
        <v>8.0795000000000012</v>
      </c>
      <c r="D1427" s="2">
        <v>44882</v>
      </c>
    </row>
    <row r="1428" spans="1:4" x14ac:dyDescent="0.2">
      <c r="A1428" t="s">
        <v>935</v>
      </c>
      <c r="C1428">
        <v>8.9320000000000004</v>
      </c>
      <c r="D1428" s="2">
        <v>44882</v>
      </c>
    </row>
    <row r="1429" spans="1:4" x14ac:dyDescent="0.2">
      <c r="A1429" t="s">
        <v>936</v>
      </c>
      <c r="C1429">
        <v>10.367500000000001</v>
      </c>
      <c r="D1429" s="2">
        <v>44882</v>
      </c>
    </row>
    <row r="1430" spans="1:4" x14ac:dyDescent="0.2">
      <c r="A1430" t="s">
        <v>937</v>
      </c>
      <c r="C1430">
        <v>7.438200000000001</v>
      </c>
      <c r="D1430" s="2">
        <v>44882</v>
      </c>
    </row>
    <row r="1431" spans="1:4" x14ac:dyDescent="0.2">
      <c r="A1431" t="s">
        <v>938</v>
      </c>
      <c r="C1431">
        <v>15.994</v>
      </c>
      <c r="D1431" s="2">
        <v>44882</v>
      </c>
    </row>
    <row r="1432" spans="1:4" x14ac:dyDescent="0.2">
      <c r="A1432" t="s">
        <v>939</v>
      </c>
      <c r="C1432">
        <v>23.088999999999999</v>
      </c>
      <c r="D1432" s="2">
        <v>44882</v>
      </c>
    </row>
    <row r="1433" spans="1:4" x14ac:dyDescent="0.2">
      <c r="A1433" t="s">
        <v>940</v>
      </c>
      <c r="C1433">
        <v>29.650500000000001</v>
      </c>
      <c r="D1433" s="2">
        <v>44882</v>
      </c>
    </row>
    <row r="1434" spans="1:4" x14ac:dyDescent="0.2">
      <c r="A1434" t="s">
        <v>941</v>
      </c>
      <c r="C1434">
        <v>110.58300000000001</v>
      </c>
      <c r="D1434" s="2">
        <v>44882</v>
      </c>
    </row>
    <row r="1435" spans="1:4" x14ac:dyDescent="0.2">
      <c r="A1435" t="s">
        <v>942</v>
      </c>
      <c r="C1435">
        <v>131.75800000000001</v>
      </c>
      <c r="D1435" s="2">
        <v>44882</v>
      </c>
    </row>
    <row r="1436" spans="1:4" x14ac:dyDescent="0.2">
      <c r="A1436" t="s">
        <v>943</v>
      </c>
      <c r="C1436">
        <v>179.65200000000002</v>
      </c>
      <c r="D1436" s="2">
        <v>44882</v>
      </c>
    </row>
    <row r="1437" spans="1:4" x14ac:dyDescent="0.2">
      <c r="A1437" t="s">
        <v>944</v>
      </c>
      <c r="C1437">
        <v>8.0795000000000012</v>
      </c>
      <c r="D1437" s="2">
        <v>44882</v>
      </c>
    </row>
    <row r="1438" spans="1:4" x14ac:dyDescent="0.2">
      <c r="A1438" t="s">
        <v>945</v>
      </c>
      <c r="C1438">
        <v>9.7844999999999995</v>
      </c>
      <c r="D1438" s="2">
        <v>44882</v>
      </c>
    </row>
    <row r="1439" spans="1:4" x14ac:dyDescent="0.2">
      <c r="A1439" t="s">
        <v>946</v>
      </c>
      <c r="C1439">
        <v>11.649000000000001</v>
      </c>
      <c r="D1439" s="2">
        <v>44882</v>
      </c>
    </row>
    <row r="1440" spans="1:4" x14ac:dyDescent="0.2">
      <c r="A1440" t="s">
        <v>947</v>
      </c>
      <c r="C1440">
        <v>14.899500000000002</v>
      </c>
      <c r="D1440" s="2">
        <v>44882</v>
      </c>
    </row>
    <row r="1441" spans="1:4" x14ac:dyDescent="0.2">
      <c r="A1441" t="s">
        <v>948</v>
      </c>
      <c r="C1441">
        <v>22.236500000000003</v>
      </c>
      <c r="D1441" s="2">
        <v>44882</v>
      </c>
    </row>
    <row r="1442" spans="1:4" x14ac:dyDescent="0.2">
      <c r="A1442" t="s">
        <v>949</v>
      </c>
      <c r="C1442">
        <v>28.512000000000004</v>
      </c>
      <c r="D1442" s="2">
        <v>44882</v>
      </c>
    </row>
    <row r="1443" spans="1:4" x14ac:dyDescent="0.2">
      <c r="A1443" t="s">
        <v>950</v>
      </c>
      <c r="C1443">
        <v>101.464</v>
      </c>
      <c r="D1443" s="2">
        <v>44882</v>
      </c>
    </row>
    <row r="1444" spans="1:4" x14ac:dyDescent="0.2">
      <c r="A1444" t="s">
        <v>951</v>
      </c>
      <c r="C1444">
        <v>121.12100000000001</v>
      </c>
      <c r="D1444" s="2">
        <v>44882</v>
      </c>
    </row>
    <row r="1445" spans="1:4" x14ac:dyDescent="0.2">
      <c r="A1445" t="s">
        <v>952</v>
      </c>
      <c r="C1445">
        <v>165.40700000000001</v>
      </c>
      <c r="D1445" s="2">
        <v>44882</v>
      </c>
    </row>
    <row r="1446" spans="1:4" x14ac:dyDescent="0.2">
      <c r="A1446" t="s">
        <v>953</v>
      </c>
      <c r="C1446">
        <v>3.9578000000000002</v>
      </c>
      <c r="D1446" s="2">
        <v>44882</v>
      </c>
    </row>
    <row r="1447" spans="1:4" x14ac:dyDescent="0.2">
      <c r="A1447" t="s">
        <v>954</v>
      </c>
      <c r="C1447">
        <v>4.2504</v>
      </c>
      <c r="D1447" s="2">
        <v>44882</v>
      </c>
    </row>
    <row r="1448" spans="1:4" x14ac:dyDescent="0.2">
      <c r="A1448" t="s">
        <v>955</v>
      </c>
      <c r="C1448">
        <v>5.0743</v>
      </c>
      <c r="D1448" s="2">
        <v>44882</v>
      </c>
    </row>
    <row r="1449" spans="1:4" x14ac:dyDescent="0.2">
      <c r="A1449" t="s">
        <v>957</v>
      </c>
      <c r="C1449">
        <v>9.7251000000000012</v>
      </c>
      <c r="D1449" s="2">
        <v>44882</v>
      </c>
    </row>
    <row r="1450" spans="1:4" x14ac:dyDescent="0.2">
      <c r="A1450" t="s">
        <v>958</v>
      </c>
      <c r="C1450">
        <v>14.822500000000002</v>
      </c>
      <c r="D1450" s="2">
        <v>44882</v>
      </c>
    </row>
    <row r="1451" spans="1:4" x14ac:dyDescent="0.2">
      <c r="A1451" t="s">
        <v>961</v>
      </c>
      <c r="C1451">
        <v>71.502200000000002</v>
      </c>
      <c r="D1451" s="2">
        <v>44882</v>
      </c>
    </row>
    <row r="1452" spans="1:4" x14ac:dyDescent="0.2">
      <c r="A1452" t="s">
        <v>962</v>
      </c>
      <c r="C1452">
        <v>93.863000000000028</v>
      </c>
      <c r="D1452" s="2">
        <v>44882</v>
      </c>
    </row>
    <row r="1453" spans="1:4" x14ac:dyDescent="0.2">
      <c r="A1453" t="s">
        <v>963</v>
      </c>
      <c r="C1453">
        <v>3.9193000000000002</v>
      </c>
      <c r="D1453" s="2">
        <v>44882</v>
      </c>
    </row>
    <row r="1454" spans="1:4" x14ac:dyDescent="0.2">
      <c r="A1454" t="s">
        <v>964</v>
      </c>
      <c r="C1454">
        <v>5.3130000000000006</v>
      </c>
      <c r="D1454" s="2">
        <v>44882</v>
      </c>
    </row>
    <row r="1455" spans="1:4" x14ac:dyDescent="0.2">
      <c r="A1455" t="s">
        <v>966</v>
      </c>
      <c r="C1455">
        <v>10.2102</v>
      </c>
      <c r="D1455" s="2">
        <v>44882</v>
      </c>
    </row>
    <row r="1456" spans="1:4" x14ac:dyDescent="0.2">
      <c r="A1456" t="s">
        <v>967</v>
      </c>
      <c r="C1456">
        <v>16.108400000000003</v>
      </c>
      <c r="D1456" s="2">
        <v>44882</v>
      </c>
    </row>
    <row r="1457" spans="1:4" x14ac:dyDescent="0.2">
      <c r="A1457" t="s">
        <v>970</v>
      </c>
      <c r="C1457">
        <v>77.408100000000005</v>
      </c>
      <c r="D1457" s="2">
        <v>44882</v>
      </c>
    </row>
    <row r="1458" spans="1:4" x14ac:dyDescent="0.2">
      <c r="A1458" t="s">
        <v>971</v>
      </c>
      <c r="C1458">
        <v>97.64370000000001</v>
      </c>
      <c r="D1458" s="2">
        <v>44882</v>
      </c>
    </row>
    <row r="1459" spans="1:4" x14ac:dyDescent="0.2">
      <c r="A1459" t="s">
        <v>972</v>
      </c>
      <c r="C1459">
        <v>3.6883000000000004</v>
      </c>
      <c r="D1459" s="2">
        <v>44882</v>
      </c>
    </row>
    <row r="1460" spans="1:4" x14ac:dyDescent="0.2">
      <c r="A1460" t="s">
        <v>973</v>
      </c>
      <c r="C1460">
        <v>4.1811000000000007</v>
      </c>
      <c r="D1460" s="2">
        <v>44882</v>
      </c>
    </row>
    <row r="1461" spans="1:4" x14ac:dyDescent="0.2">
      <c r="A1461" t="s">
        <v>974</v>
      </c>
      <c r="C1461">
        <v>5.2821999999999996</v>
      </c>
      <c r="D1461" s="2">
        <v>44882</v>
      </c>
    </row>
    <row r="1462" spans="1:4" x14ac:dyDescent="0.2">
      <c r="A1462" t="s">
        <v>976</v>
      </c>
      <c r="C1462">
        <v>10.2102</v>
      </c>
      <c r="D1462" s="2">
        <v>44882</v>
      </c>
    </row>
    <row r="1463" spans="1:4" x14ac:dyDescent="0.2">
      <c r="A1463" t="s">
        <v>977</v>
      </c>
      <c r="C1463">
        <v>15.892800000000001</v>
      </c>
      <c r="D1463" s="2">
        <v>44882</v>
      </c>
    </row>
    <row r="1464" spans="1:4" x14ac:dyDescent="0.2">
      <c r="A1464" t="s">
        <v>980</v>
      </c>
      <c r="C1464">
        <v>69.400099999999995</v>
      </c>
      <c r="D1464" s="2">
        <v>44882</v>
      </c>
    </row>
    <row r="1465" spans="1:4" x14ac:dyDescent="0.2">
      <c r="A1465" t="s">
        <v>981</v>
      </c>
      <c r="C1465">
        <v>93.986200000000011</v>
      </c>
      <c r="D1465" s="2">
        <v>44882</v>
      </c>
    </row>
    <row r="1466" spans="1:4" x14ac:dyDescent="0.2">
      <c r="A1466" t="s">
        <v>982</v>
      </c>
      <c r="C1466">
        <v>9.6866000000000021</v>
      </c>
      <c r="D1466" s="2">
        <v>44882</v>
      </c>
    </row>
    <row r="1467" spans="1:4" x14ac:dyDescent="0.2">
      <c r="A1467" t="s">
        <v>983</v>
      </c>
      <c r="C1467">
        <v>10.063900000000002</v>
      </c>
      <c r="D1467" s="2">
        <v>44882</v>
      </c>
    </row>
    <row r="1468" spans="1:4" x14ac:dyDescent="0.2">
      <c r="A1468" t="s">
        <v>984</v>
      </c>
      <c r="C1468">
        <v>12.589500000000001</v>
      </c>
      <c r="D1468" s="2">
        <v>44882</v>
      </c>
    </row>
    <row r="1469" spans="1:4" x14ac:dyDescent="0.2">
      <c r="A1469" t="s">
        <v>985</v>
      </c>
      <c r="C1469">
        <v>14.861000000000002</v>
      </c>
      <c r="D1469" s="2">
        <v>44882</v>
      </c>
    </row>
    <row r="1470" spans="1:4" x14ac:dyDescent="0.2">
      <c r="A1470" t="s">
        <v>986</v>
      </c>
      <c r="C1470">
        <v>29.601000000000003</v>
      </c>
      <c r="D1470" s="2">
        <v>44882</v>
      </c>
    </row>
    <row r="1471" spans="1:4" x14ac:dyDescent="0.2">
      <c r="A1471" t="s">
        <v>987</v>
      </c>
      <c r="C1471">
        <v>18.934300000000004</v>
      </c>
      <c r="D1471" s="2">
        <v>44882</v>
      </c>
    </row>
    <row r="1472" spans="1:4" x14ac:dyDescent="0.2">
      <c r="A1472" t="s">
        <v>988</v>
      </c>
      <c r="C1472">
        <v>36.9985</v>
      </c>
      <c r="D1472" s="2">
        <v>44882</v>
      </c>
    </row>
    <row r="1473" spans="1:4" x14ac:dyDescent="0.2">
      <c r="A1473" t="s">
        <v>989</v>
      </c>
      <c r="C1473">
        <v>29.398600000000002</v>
      </c>
      <c r="D1473" s="2">
        <v>44882</v>
      </c>
    </row>
    <row r="1474" spans="1:4" x14ac:dyDescent="0.2">
      <c r="A1474" t="s">
        <v>990</v>
      </c>
      <c r="C1474">
        <v>38.361400000000003</v>
      </c>
      <c r="D1474" s="2">
        <v>44882</v>
      </c>
    </row>
    <row r="1475" spans="1:4" x14ac:dyDescent="0.2">
      <c r="A1475" t="s">
        <v>991</v>
      </c>
      <c r="C1475">
        <v>4.0656000000000008</v>
      </c>
      <c r="D1475" s="2">
        <v>44882</v>
      </c>
    </row>
    <row r="1476" spans="1:4" x14ac:dyDescent="0.2">
      <c r="A1476" t="s">
        <v>992</v>
      </c>
      <c r="C1476">
        <v>4.4813999999999998</v>
      </c>
      <c r="D1476" s="2">
        <v>44882</v>
      </c>
    </row>
    <row r="1477" spans="1:4" x14ac:dyDescent="0.2">
      <c r="A1477" t="s">
        <v>993</v>
      </c>
      <c r="C1477">
        <v>5.3283999999999994</v>
      </c>
      <c r="D1477" s="2">
        <v>44882</v>
      </c>
    </row>
    <row r="1478" spans="1:4" x14ac:dyDescent="0.2">
      <c r="A1478" t="s">
        <v>994</v>
      </c>
      <c r="C1478">
        <v>6.5065</v>
      </c>
      <c r="D1478" s="2">
        <v>44882</v>
      </c>
    </row>
    <row r="1479" spans="1:4" x14ac:dyDescent="0.2">
      <c r="A1479" t="s">
        <v>995</v>
      </c>
      <c r="C1479">
        <v>9.0321000000000016</v>
      </c>
      <c r="D1479" s="2">
        <v>44882</v>
      </c>
    </row>
    <row r="1480" spans="1:4" x14ac:dyDescent="0.2">
      <c r="A1480" t="s">
        <v>996</v>
      </c>
      <c r="C1480">
        <v>14.260399999999999</v>
      </c>
      <c r="D1480" s="2">
        <v>44882</v>
      </c>
    </row>
    <row r="1481" spans="1:4" x14ac:dyDescent="0.2">
      <c r="A1481" t="s">
        <v>998</v>
      </c>
      <c r="C1481">
        <v>51.828700000000012</v>
      </c>
      <c r="D1481" s="2">
        <v>44882</v>
      </c>
    </row>
    <row r="1482" spans="1:4" x14ac:dyDescent="0.2">
      <c r="A1482" t="s">
        <v>999</v>
      </c>
      <c r="C1482">
        <v>65.835000000000008</v>
      </c>
      <c r="D1482" s="2">
        <v>44882</v>
      </c>
    </row>
    <row r="1483" spans="1:4" x14ac:dyDescent="0.2">
      <c r="A1483" t="s">
        <v>1000</v>
      </c>
      <c r="C1483">
        <v>88.195800000000006</v>
      </c>
      <c r="D1483" s="2">
        <v>44882</v>
      </c>
    </row>
    <row r="1484" spans="1:4" x14ac:dyDescent="0.2">
      <c r="A1484" t="s">
        <v>1001</v>
      </c>
      <c r="C1484">
        <v>17.117100000000001</v>
      </c>
      <c r="D1484" s="2">
        <v>44882</v>
      </c>
    </row>
    <row r="1485" spans="1:4" x14ac:dyDescent="0.2">
      <c r="A1485" t="s">
        <v>1002</v>
      </c>
      <c r="C1485">
        <v>18.279800000000002</v>
      </c>
      <c r="D1485" s="2">
        <v>44882</v>
      </c>
    </row>
    <row r="1486" spans="1:4" x14ac:dyDescent="0.2">
      <c r="A1486" t="s">
        <v>1003</v>
      </c>
      <c r="C1486">
        <v>17.240300000000001</v>
      </c>
      <c r="D1486" s="2">
        <v>44882</v>
      </c>
    </row>
    <row r="1487" spans="1:4" x14ac:dyDescent="0.2">
      <c r="A1487" t="s">
        <v>1004</v>
      </c>
      <c r="C1487">
        <v>18.449200000000001</v>
      </c>
      <c r="D1487" s="2">
        <v>44882</v>
      </c>
    </row>
    <row r="1488" spans="1:4" x14ac:dyDescent="0.2">
      <c r="A1488" t="s">
        <v>1005</v>
      </c>
      <c r="C1488">
        <v>14.113000000000001</v>
      </c>
      <c r="D1488" s="2">
        <v>44882</v>
      </c>
    </row>
    <row r="1489" spans="1:4" x14ac:dyDescent="0.2">
      <c r="A1489" t="s">
        <v>1006</v>
      </c>
      <c r="C1489">
        <v>21.9604</v>
      </c>
      <c r="D1489" s="2">
        <v>44882</v>
      </c>
    </row>
    <row r="1490" spans="1:4" x14ac:dyDescent="0.2">
      <c r="A1490" t="s">
        <v>1007</v>
      </c>
      <c r="C1490">
        <v>25.879700000000003</v>
      </c>
      <c r="D1490" s="2">
        <v>44882</v>
      </c>
    </row>
    <row r="1491" spans="1:4" x14ac:dyDescent="0.2">
      <c r="A1491" t="s">
        <v>2448</v>
      </c>
      <c r="C1491">
        <v>30.569000000000006</v>
      </c>
      <c r="D1491" s="2">
        <v>44882</v>
      </c>
    </row>
    <row r="1492" spans="1:4" x14ac:dyDescent="0.2">
      <c r="A1492" t="s">
        <v>1009</v>
      </c>
      <c r="C1492">
        <v>37.568300000000001</v>
      </c>
      <c r="D1492" s="2">
        <v>44882</v>
      </c>
    </row>
    <row r="1493" spans="1:4" x14ac:dyDescent="0.2">
      <c r="A1493" t="s">
        <v>1010</v>
      </c>
      <c r="C1493">
        <v>59.621100000000013</v>
      </c>
      <c r="D1493" s="2">
        <v>44882</v>
      </c>
    </row>
    <row r="1494" spans="1:4" x14ac:dyDescent="0.2">
      <c r="A1494" t="s">
        <v>1011</v>
      </c>
      <c r="C1494">
        <v>81.535300000000007</v>
      </c>
      <c r="D1494" s="2">
        <v>44882</v>
      </c>
    </row>
    <row r="1495" spans="1:4" x14ac:dyDescent="0.2">
      <c r="A1495" t="s">
        <v>1875</v>
      </c>
      <c r="C1495">
        <v>1.4740000000000002</v>
      </c>
      <c r="D1495" s="2">
        <v>44882</v>
      </c>
    </row>
    <row r="1496" spans="1:4" x14ac:dyDescent="0.2">
      <c r="A1496" t="s">
        <v>2496</v>
      </c>
      <c r="C1496">
        <v>2.1230000000000002</v>
      </c>
      <c r="D1496" s="2">
        <v>44882</v>
      </c>
    </row>
    <row r="1497" spans="1:4" x14ac:dyDescent="0.2">
      <c r="A1497" t="s">
        <v>1012</v>
      </c>
      <c r="C1497">
        <v>2.1406000000000001</v>
      </c>
      <c r="D1497" s="2">
        <v>44882</v>
      </c>
    </row>
    <row r="1498" spans="1:4" x14ac:dyDescent="0.2">
      <c r="A1498" t="s">
        <v>1013</v>
      </c>
      <c r="C1498">
        <v>2.4178000000000002</v>
      </c>
      <c r="D1498" s="2">
        <v>44882</v>
      </c>
    </row>
    <row r="1499" spans="1:4" x14ac:dyDescent="0.2">
      <c r="A1499" t="s">
        <v>1014</v>
      </c>
      <c r="C1499">
        <v>2.8490000000000002</v>
      </c>
      <c r="D1499" s="2">
        <v>44882</v>
      </c>
    </row>
    <row r="1500" spans="1:4" x14ac:dyDescent="0.2">
      <c r="A1500" t="s">
        <v>1015</v>
      </c>
      <c r="C1500">
        <v>0.11000000000000001</v>
      </c>
      <c r="D1500" s="2">
        <v>44882</v>
      </c>
    </row>
    <row r="1501" spans="1:4" x14ac:dyDescent="0.2">
      <c r="A1501" t="s">
        <v>1016</v>
      </c>
      <c r="C1501">
        <v>4.7124000000000015</v>
      </c>
      <c r="D1501" s="2">
        <v>44882</v>
      </c>
    </row>
    <row r="1502" spans="1:4" x14ac:dyDescent="0.2">
      <c r="A1502" t="s">
        <v>1017</v>
      </c>
      <c r="C1502">
        <v>6.0830000000000011</v>
      </c>
      <c r="D1502" s="2">
        <v>44882</v>
      </c>
    </row>
    <row r="1503" spans="1:4" x14ac:dyDescent="0.2">
      <c r="A1503" t="s">
        <v>1018</v>
      </c>
      <c r="C1503">
        <v>7.3073000000000015</v>
      </c>
      <c r="D1503" s="2">
        <v>44882</v>
      </c>
    </row>
    <row r="1504" spans="1:4" x14ac:dyDescent="0.2">
      <c r="A1504" t="s">
        <v>1020</v>
      </c>
      <c r="C1504">
        <v>37.137099999999997</v>
      </c>
      <c r="D1504" s="2">
        <v>44882</v>
      </c>
    </row>
    <row r="1505" spans="1:4" x14ac:dyDescent="0.2">
      <c r="A1505" t="s">
        <v>1021</v>
      </c>
      <c r="C1505">
        <v>45.483900000000006</v>
      </c>
      <c r="D1505" s="2">
        <v>44882</v>
      </c>
    </row>
    <row r="1506" spans="1:4" x14ac:dyDescent="0.2">
      <c r="A1506" t="s">
        <v>1022</v>
      </c>
      <c r="C1506">
        <v>6.9839000000000011</v>
      </c>
      <c r="D1506" s="2">
        <v>44882</v>
      </c>
    </row>
    <row r="1507" spans="1:4" x14ac:dyDescent="0.2">
      <c r="A1507" t="s">
        <v>1023</v>
      </c>
      <c r="C1507">
        <v>7.0763000000000007</v>
      </c>
      <c r="D1507" s="2">
        <v>44882</v>
      </c>
    </row>
    <row r="1508" spans="1:4" x14ac:dyDescent="0.2">
      <c r="A1508" t="s">
        <v>1024</v>
      </c>
      <c r="C1508">
        <v>7.1841000000000008</v>
      </c>
      <c r="D1508" s="2">
        <v>44882</v>
      </c>
    </row>
    <row r="1509" spans="1:4" x14ac:dyDescent="0.2">
      <c r="A1509" t="s">
        <v>1025</v>
      </c>
      <c r="C1509">
        <v>7.3073000000000015</v>
      </c>
      <c r="D1509" s="2">
        <v>44882</v>
      </c>
    </row>
    <row r="1510" spans="1:4" x14ac:dyDescent="0.2">
      <c r="A1510" t="s">
        <v>1026</v>
      </c>
      <c r="C1510">
        <v>10.926300000000001</v>
      </c>
      <c r="D1510" s="2">
        <v>44882</v>
      </c>
    </row>
    <row r="1511" spans="1:4" x14ac:dyDescent="0.2">
      <c r="A1511" t="s">
        <v>1027</v>
      </c>
      <c r="C1511">
        <v>11.711700000000004</v>
      </c>
      <c r="D1511" s="2">
        <v>44882</v>
      </c>
    </row>
    <row r="1512" spans="1:4" x14ac:dyDescent="0.2">
      <c r="A1512" t="s">
        <v>1028</v>
      </c>
      <c r="C1512">
        <v>13.013</v>
      </c>
      <c r="D1512" s="2">
        <v>44882</v>
      </c>
    </row>
    <row r="1513" spans="1:4" x14ac:dyDescent="0.2">
      <c r="A1513" t="s">
        <v>1029</v>
      </c>
      <c r="C1513">
        <v>76.299300000000002</v>
      </c>
      <c r="D1513" s="2">
        <v>44882</v>
      </c>
    </row>
    <row r="1514" spans="1:4" x14ac:dyDescent="0.2">
      <c r="A1514" t="s">
        <v>1030</v>
      </c>
      <c r="C1514">
        <v>87.302600000000012</v>
      </c>
      <c r="D1514" s="2">
        <v>44882</v>
      </c>
    </row>
    <row r="1515" spans="1:4" x14ac:dyDescent="0.2">
      <c r="A1515" t="s">
        <v>1031</v>
      </c>
      <c r="C1515">
        <v>98.975800000000007</v>
      </c>
      <c r="D1515" s="2">
        <v>44882</v>
      </c>
    </row>
    <row r="1516" spans="1:4" x14ac:dyDescent="0.2">
      <c r="A1516" t="s">
        <v>1057</v>
      </c>
      <c r="C1516">
        <v>5.8597000000000001</v>
      </c>
      <c r="D1516" s="2">
        <v>44882</v>
      </c>
    </row>
    <row r="1517" spans="1:4" x14ac:dyDescent="0.2">
      <c r="A1517" t="s">
        <v>1075</v>
      </c>
      <c r="C1517">
        <v>9.6866000000000021</v>
      </c>
      <c r="D1517" s="2">
        <v>44882</v>
      </c>
    </row>
    <row r="1518" spans="1:4" x14ac:dyDescent="0.2">
      <c r="A1518" t="s">
        <v>1058</v>
      </c>
      <c r="C1518">
        <v>7.6461000000000015</v>
      </c>
      <c r="D1518" s="2">
        <v>44882</v>
      </c>
    </row>
    <row r="1519" spans="1:4" x14ac:dyDescent="0.2">
      <c r="A1519" t="s">
        <v>1076</v>
      </c>
      <c r="C1519">
        <v>5.5671000000000008</v>
      </c>
      <c r="D1519" s="2">
        <v>44882</v>
      </c>
    </row>
    <row r="1520" spans="1:4" x14ac:dyDescent="0.2">
      <c r="A1520" t="s">
        <v>1059</v>
      </c>
      <c r="C1520">
        <v>6.2293000000000012</v>
      </c>
      <c r="D1520" s="2">
        <v>44882</v>
      </c>
    </row>
    <row r="1521" spans="1:4" x14ac:dyDescent="0.2">
      <c r="A1521" t="s">
        <v>1077</v>
      </c>
      <c r="C1521">
        <v>6.6758999999999995</v>
      </c>
      <c r="D1521" s="2">
        <v>44882</v>
      </c>
    </row>
    <row r="1522" spans="1:4" x14ac:dyDescent="0.2">
      <c r="A1522" t="s">
        <v>1060</v>
      </c>
      <c r="C1522">
        <v>6.7221000000000011</v>
      </c>
      <c r="D1522" s="2">
        <v>44882</v>
      </c>
    </row>
    <row r="1523" spans="1:4" x14ac:dyDescent="0.2">
      <c r="A1523" t="s">
        <v>1078</v>
      </c>
      <c r="C1523">
        <v>6.1270000000000007</v>
      </c>
      <c r="D1523" s="2">
        <v>44882</v>
      </c>
    </row>
    <row r="1524" spans="1:4" x14ac:dyDescent="0.2">
      <c r="A1524" t="s">
        <v>1061</v>
      </c>
      <c r="C1524">
        <v>7.7847000000000008</v>
      </c>
      <c r="D1524" s="2">
        <v>44882</v>
      </c>
    </row>
    <row r="1525" spans="1:4" x14ac:dyDescent="0.2">
      <c r="A1525" t="s">
        <v>1079</v>
      </c>
      <c r="C1525">
        <v>6.5758000000000001</v>
      </c>
      <c r="D1525" s="2">
        <v>44882</v>
      </c>
    </row>
    <row r="1526" spans="1:4" x14ac:dyDescent="0.2">
      <c r="A1526" t="s">
        <v>1062</v>
      </c>
      <c r="C1526">
        <v>7.9464000000000006</v>
      </c>
      <c r="D1526" s="2">
        <v>44882</v>
      </c>
    </row>
    <row r="1527" spans="1:4" x14ac:dyDescent="0.2">
      <c r="A1527" t="s">
        <v>1080</v>
      </c>
      <c r="C1527">
        <v>7.1379000000000001</v>
      </c>
      <c r="D1527" s="2">
        <v>44882</v>
      </c>
    </row>
    <row r="1528" spans="1:4" x14ac:dyDescent="0.2">
      <c r="A1528" t="s">
        <v>1063</v>
      </c>
      <c r="C1528">
        <v>9.3478000000000012</v>
      </c>
      <c r="D1528" s="2">
        <v>44882</v>
      </c>
    </row>
    <row r="1529" spans="1:4" x14ac:dyDescent="0.2">
      <c r="A1529" t="s">
        <v>1081</v>
      </c>
      <c r="C1529">
        <v>7.438200000000001</v>
      </c>
      <c r="D1529" s="2">
        <v>44882</v>
      </c>
    </row>
    <row r="1530" spans="1:4" x14ac:dyDescent="0.2">
      <c r="A1530" t="s">
        <v>1064</v>
      </c>
      <c r="C1530">
        <v>15.515500000000001</v>
      </c>
      <c r="D1530" s="2">
        <v>44882</v>
      </c>
    </row>
    <row r="1531" spans="1:4" x14ac:dyDescent="0.2">
      <c r="A1531" t="s">
        <v>1082</v>
      </c>
      <c r="C1531">
        <v>7.8386000000000005</v>
      </c>
      <c r="D1531" s="2">
        <v>44882</v>
      </c>
    </row>
    <row r="1532" spans="1:4" x14ac:dyDescent="0.2">
      <c r="A1532" t="s">
        <v>1065</v>
      </c>
      <c r="C1532">
        <v>10.872400000000001</v>
      </c>
      <c r="D1532" s="2">
        <v>44882</v>
      </c>
    </row>
    <row r="1533" spans="1:4" x14ac:dyDescent="0.2">
      <c r="A1533" t="s">
        <v>1083</v>
      </c>
      <c r="C1533">
        <v>15.983000000000001</v>
      </c>
      <c r="D1533" s="2">
        <v>44882</v>
      </c>
    </row>
    <row r="1534" spans="1:4" x14ac:dyDescent="0.2">
      <c r="A1534" t="s">
        <v>1066</v>
      </c>
      <c r="C1534">
        <v>11.1265</v>
      </c>
      <c r="D1534" s="2">
        <v>44882</v>
      </c>
    </row>
    <row r="1535" spans="1:4" x14ac:dyDescent="0.2">
      <c r="A1535" t="s">
        <v>1084</v>
      </c>
      <c r="C1535">
        <v>5.8960000000000008</v>
      </c>
      <c r="D1535" s="2">
        <v>44882</v>
      </c>
    </row>
    <row r="1536" spans="1:4" x14ac:dyDescent="0.2">
      <c r="A1536" t="s">
        <v>1067</v>
      </c>
      <c r="C1536">
        <v>12.4894</v>
      </c>
      <c r="D1536" s="2">
        <v>44882</v>
      </c>
    </row>
    <row r="1537" spans="1:4" x14ac:dyDescent="0.2">
      <c r="A1537" t="s">
        <v>1068</v>
      </c>
      <c r="C1537">
        <v>12.3508</v>
      </c>
      <c r="D1537" s="2">
        <v>44882</v>
      </c>
    </row>
    <row r="1538" spans="1:4" x14ac:dyDescent="0.2">
      <c r="A1538" t="s">
        <v>1086</v>
      </c>
      <c r="C1538">
        <v>10.610600000000002</v>
      </c>
      <c r="D1538" s="2">
        <v>44882</v>
      </c>
    </row>
    <row r="1539" spans="1:4" x14ac:dyDescent="0.2">
      <c r="A1539" t="s">
        <v>1069</v>
      </c>
      <c r="C1539">
        <v>12.797400000000001</v>
      </c>
      <c r="D1539" s="2">
        <v>44882</v>
      </c>
    </row>
    <row r="1540" spans="1:4" x14ac:dyDescent="0.2">
      <c r="A1540" t="s">
        <v>1087</v>
      </c>
      <c r="C1540">
        <v>22.55</v>
      </c>
      <c r="D1540" s="2">
        <v>44882</v>
      </c>
    </row>
    <row r="1541" spans="1:4" x14ac:dyDescent="0.2">
      <c r="A1541" t="s">
        <v>1070</v>
      </c>
      <c r="C1541">
        <v>16.886099999999999</v>
      </c>
      <c r="D1541" s="2">
        <v>44882</v>
      </c>
    </row>
    <row r="1542" spans="1:4" x14ac:dyDescent="0.2">
      <c r="A1542" t="s">
        <v>1088</v>
      </c>
      <c r="C1542">
        <v>26.103000000000002</v>
      </c>
      <c r="D1542" s="2">
        <v>44882</v>
      </c>
    </row>
    <row r="1543" spans="1:4" x14ac:dyDescent="0.2">
      <c r="A1543" t="s">
        <v>1071</v>
      </c>
      <c r="C1543">
        <v>17.694600000000001</v>
      </c>
      <c r="D1543" s="2">
        <v>44882</v>
      </c>
    </row>
    <row r="1544" spans="1:4" x14ac:dyDescent="0.2">
      <c r="A1544" t="s">
        <v>1089</v>
      </c>
      <c r="C1544">
        <v>15.862000000000004</v>
      </c>
      <c r="D1544" s="2">
        <v>44882</v>
      </c>
    </row>
    <row r="1545" spans="1:4" x14ac:dyDescent="0.2">
      <c r="A1545" t="s">
        <v>1072</v>
      </c>
      <c r="C1545">
        <v>18.302900000000001</v>
      </c>
      <c r="D1545" s="2">
        <v>44882</v>
      </c>
    </row>
    <row r="1546" spans="1:4" x14ac:dyDescent="0.2">
      <c r="A1546" t="s">
        <v>1090</v>
      </c>
      <c r="C1546">
        <v>14.799400000000002</v>
      </c>
      <c r="D1546" s="2">
        <v>44882</v>
      </c>
    </row>
    <row r="1547" spans="1:4" x14ac:dyDescent="0.2">
      <c r="A1547" t="s">
        <v>1091</v>
      </c>
      <c r="C1547">
        <v>18.087299999999999</v>
      </c>
      <c r="D1547" s="2">
        <v>44882</v>
      </c>
    </row>
    <row r="1548" spans="1:4" x14ac:dyDescent="0.2">
      <c r="A1548" t="s">
        <v>1074</v>
      </c>
      <c r="C1548">
        <v>23.692900000000005</v>
      </c>
      <c r="D1548" s="2">
        <v>44882</v>
      </c>
    </row>
    <row r="1549" spans="1:4" x14ac:dyDescent="0.2">
      <c r="A1549" t="s">
        <v>1092</v>
      </c>
      <c r="C1549">
        <v>18.603200000000001</v>
      </c>
      <c r="D1549" s="2">
        <v>44882</v>
      </c>
    </row>
    <row r="1550" spans="1:4" x14ac:dyDescent="0.2">
      <c r="A1550" t="s">
        <v>1094</v>
      </c>
      <c r="C1550">
        <v>63.147700000000007</v>
      </c>
      <c r="D1550" s="2">
        <v>44882</v>
      </c>
    </row>
    <row r="1551" spans="1:4" x14ac:dyDescent="0.2">
      <c r="A1551" t="s">
        <v>1873</v>
      </c>
      <c r="C1551">
        <v>31.9055</v>
      </c>
      <c r="D1551" s="2">
        <v>44882</v>
      </c>
    </row>
    <row r="1552" spans="1:4" x14ac:dyDescent="0.2">
      <c r="A1552" t="s">
        <v>1095</v>
      </c>
      <c r="C1552">
        <v>94.933300000000003</v>
      </c>
      <c r="D1552" s="2">
        <v>44882</v>
      </c>
    </row>
    <row r="1553" spans="1:4" x14ac:dyDescent="0.2">
      <c r="A1553" t="s">
        <v>1096</v>
      </c>
      <c r="C1553">
        <v>147.994</v>
      </c>
      <c r="D1553" s="2">
        <v>44882</v>
      </c>
    </row>
    <row r="1554" spans="1:4" x14ac:dyDescent="0.2">
      <c r="A1554" t="s">
        <v>1032</v>
      </c>
      <c r="C1554">
        <v>2.9183000000000003</v>
      </c>
      <c r="D1554" s="2">
        <v>44882</v>
      </c>
    </row>
    <row r="1555" spans="1:4" x14ac:dyDescent="0.2">
      <c r="A1555" t="s">
        <v>1033</v>
      </c>
      <c r="C1555">
        <v>3.2417000000000002</v>
      </c>
      <c r="D1555" s="2">
        <v>44882</v>
      </c>
    </row>
    <row r="1556" spans="1:4" x14ac:dyDescent="0.2">
      <c r="A1556" t="s">
        <v>1034</v>
      </c>
      <c r="C1556">
        <v>3.2801999999999998</v>
      </c>
      <c r="D1556" s="2">
        <v>44882</v>
      </c>
    </row>
    <row r="1557" spans="1:4" x14ac:dyDescent="0.2">
      <c r="A1557" t="s">
        <v>1035</v>
      </c>
      <c r="C1557">
        <v>5.2745000000000006</v>
      </c>
      <c r="D1557" s="2">
        <v>44882</v>
      </c>
    </row>
    <row r="1558" spans="1:4" x14ac:dyDescent="0.2">
      <c r="A1558" t="s">
        <v>1036</v>
      </c>
      <c r="C1558">
        <v>5.2745000000000006</v>
      </c>
      <c r="D1558" s="2">
        <v>44882</v>
      </c>
    </row>
    <row r="1559" spans="1:4" x14ac:dyDescent="0.2">
      <c r="A1559" t="s">
        <v>1037</v>
      </c>
      <c r="C1559">
        <v>4.4660000000000002</v>
      </c>
      <c r="D1559" s="2">
        <v>44882</v>
      </c>
    </row>
    <row r="1560" spans="1:4" x14ac:dyDescent="0.2">
      <c r="A1560" t="s">
        <v>1038</v>
      </c>
      <c r="C1560">
        <v>11.4884</v>
      </c>
      <c r="D1560" s="2">
        <v>44882</v>
      </c>
    </row>
    <row r="1561" spans="1:4" x14ac:dyDescent="0.2">
      <c r="A1561" t="s">
        <v>1039</v>
      </c>
      <c r="C1561">
        <v>8.8010999999999999</v>
      </c>
      <c r="D1561" s="2">
        <v>44882</v>
      </c>
    </row>
    <row r="1562" spans="1:4" x14ac:dyDescent="0.2">
      <c r="A1562" t="s">
        <v>1040</v>
      </c>
      <c r="C1562">
        <v>5.8289</v>
      </c>
      <c r="D1562" s="2">
        <v>44882</v>
      </c>
    </row>
    <row r="1563" spans="1:4" x14ac:dyDescent="0.2">
      <c r="A1563" t="s">
        <v>1041</v>
      </c>
      <c r="C1563">
        <v>5.9829000000000008</v>
      </c>
      <c r="D1563" s="2">
        <v>44882</v>
      </c>
    </row>
    <row r="1564" spans="1:4" x14ac:dyDescent="0.2">
      <c r="A1564" t="s">
        <v>1042</v>
      </c>
      <c r="C1564">
        <v>11.4114</v>
      </c>
      <c r="D1564" s="2">
        <v>44882</v>
      </c>
    </row>
    <row r="1565" spans="1:4" x14ac:dyDescent="0.2">
      <c r="A1565" t="s">
        <v>1043</v>
      </c>
      <c r="C1565">
        <v>11.3575</v>
      </c>
      <c r="D1565" s="2">
        <v>44882</v>
      </c>
    </row>
    <row r="1566" spans="1:4" x14ac:dyDescent="0.2">
      <c r="A1566" t="s">
        <v>1044</v>
      </c>
      <c r="C1566">
        <v>9.7713000000000001</v>
      </c>
      <c r="D1566" s="2">
        <v>44882</v>
      </c>
    </row>
    <row r="1567" spans="1:4" x14ac:dyDescent="0.2">
      <c r="A1567" t="s">
        <v>1045</v>
      </c>
      <c r="C1567">
        <v>12.6335</v>
      </c>
      <c r="D1567" s="2">
        <v>44882</v>
      </c>
    </row>
    <row r="1568" spans="1:4" x14ac:dyDescent="0.2">
      <c r="A1568" t="s">
        <v>1046</v>
      </c>
      <c r="C1568">
        <v>17.632999999999999</v>
      </c>
      <c r="D1568" s="2">
        <v>44882</v>
      </c>
    </row>
    <row r="1569" spans="1:4" x14ac:dyDescent="0.2">
      <c r="A1569" t="s">
        <v>1047</v>
      </c>
      <c r="C1569">
        <v>14.568400000000002</v>
      </c>
      <c r="D1569" s="2">
        <v>44882</v>
      </c>
    </row>
    <row r="1570" spans="1:4" x14ac:dyDescent="0.2">
      <c r="A1570" t="s">
        <v>1008</v>
      </c>
      <c r="C1570">
        <v>12.812800000000001</v>
      </c>
      <c r="D1570" s="2">
        <v>44882</v>
      </c>
    </row>
    <row r="1571" spans="1:4" x14ac:dyDescent="0.2">
      <c r="A1571" t="s">
        <v>1048</v>
      </c>
      <c r="C1571">
        <v>13.0746</v>
      </c>
      <c r="D1571" s="2">
        <v>44882</v>
      </c>
    </row>
    <row r="1572" spans="1:4" x14ac:dyDescent="0.2">
      <c r="A1572" t="s">
        <v>1049</v>
      </c>
      <c r="C1572">
        <v>8.9781999999999993</v>
      </c>
      <c r="D1572" s="2">
        <v>44882</v>
      </c>
    </row>
    <row r="1573" spans="1:4" x14ac:dyDescent="0.2">
      <c r="A1573" t="s">
        <v>1050</v>
      </c>
      <c r="C1573">
        <v>31.916500000000003</v>
      </c>
      <c r="D1573" s="2">
        <v>44882</v>
      </c>
    </row>
    <row r="1574" spans="1:4" x14ac:dyDescent="0.2">
      <c r="A1574" t="s">
        <v>1052</v>
      </c>
      <c r="C1574">
        <v>37.984100000000005</v>
      </c>
      <c r="D1574" s="2">
        <v>44882</v>
      </c>
    </row>
    <row r="1575" spans="1:4" x14ac:dyDescent="0.2">
      <c r="A1575" t="s">
        <v>1053</v>
      </c>
      <c r="C1575">
        <v>51.828700000000012</v>
      </c>
      <c r="D1575" s="2">
        <v>44882</v>
      </c>
    </row>
    <row r="1576" spans="1:4" x14ac:dyDescent="0.2">
      <c r="A1576" t="s">
        <v>1054</v>
      </c>
      <c r="C1576">
        <v>44.259599999999999</v>
      </c>
      <c r="D1576" s="2">
        <v>44882</v>
      </c>
    </row>
    <row r="1577" spans="1:4" x14ac:dyDescent="0.2">
      <c r="A1577" t="s">
        <v>1055</v>
      </c>
      <c r="C1577">
        <v>57.180200000000006</v>
      </c>
      <c r="D1577" s="2">
        <v>44882</v>
      </c>
    </row>
    <row r="1578" spans="1:4" x14ac:dyDescent="0.2">
      <c r="A1578" t="s">
        <v>1056</v>
      </c>
      <c r="C1578">
        <v>59.105200000000004</v>
      </c>
      <c r="D1578" s="2">
        <v>44882</v>
      </c>
    </row>
    <row r="1579" spans="1:4" x14ac:dyDescent="0.2">
      <c r="A1579" t="s">
        <v>1097</v>
      </c>
      <c r="C1579">
        <v>5.9475900000000008</v>
      </c>
      <c r="D1579" s="2">
        <v>44882</v>
      </c>
    </row>
    <row r="1580" spans="1:4" x14ac:dyDescent="0.2">
      <c r="A1580" t="s">
        <v>1099</v>
      </c>
      <c r="C1580">
        <v>7.1379000000000001</v>
      </c>
      <c r="D1580" s="2">
        <v>44882</v>
      </c>
    </row>
    <row r="1581" spans="1:4" x14ac:dyDescent="0.2">
      <c r="A1581" t="s">
        <v>1100</v>
      </c>
      <c r="C1581">
        <v>7.8771000000000004</v>
      </c>
      <c r="D1581" s="2">
        <v>44882</v>
      </c>
    </row>
    <row r="1582" spans="1:4" x14ac:dyDescent="0.2">
      <c r="A1582" t="s">
        <v>1101</v>
      </c>
      <c r="C1582">
        <v>9.4633000000000003</v>
      </c>
      <c r="D1582" s="2">
        <v>44882</v>
      </c>
    </row>
    <row r="1583" spans="1:4" x14ac:dyDescent="0.2">
      <c r="A1583" t="s">
        <v>1102</v>
      </c>
      <c r="C1583">
        <v>12.150600000000001</v>
      </c>
      <c r="D1583" s="2">
        <v>44882</v>
      </c>
    </row>
    <row r="1584" spans="1:4" x14ac:dyDescent="0.2">
      <c r="A1584" t="s">
        <v>1103</v>
      </c>
      <c r="C1584">
        <v>15.314860000000003</v>
      </c>
      <c r="D1584" s="2">
        <v>44882</v>
      </c>
    </row>
    <row r="1585" spans="1:4" x14ac:dyDescent="0.2">
      <c r="A1585" t="s">
        <v>1106</v>
      </c>
      <c r="C1585">
        <v>93.639700000000005</v>
      </c>
      <c r="D1585" s="2">
        <v>44882</v>
      </c>
    </row>
    <row r="1586" spans="1:4" x14ac:dyDescent="0.2">
      <c r="A1586" t="s">
        <v>1107</v>
      </c>
      <c r="C1586">
        <v>115.22279999999999</v>
      </c>
      <c r="D1586" s="2">
        <v>44882</v>
      </c>
    </row>
    <row r="1587" spans="1:4" x14ac:dyDescent="0.2">
      <c r="A1587" t="s">
        <v>1108</v>
      </c>
      <c r="C1587">
        <v>6.9377000000000004</v>
      </c>
      <c r="D1587" s="2">
        <v>44882</v>
      </c>
    </row>
    <row r="1588" spans="1:4" x14ac:dyDescent="0.2">
      <c r="A1588" t="s">
        <v>1110</v>
      </c>
      <c r="C1588">
        <v>7.0301000000000009</v>
      </c>
      <c r="D1588" s="2">
        <v>44882</v>
      </c>
    </row>
    <row r="1589" spans="1:4" x14ac:dyDescent="0.2">
      <c r="A1589" t="s">
        <v>1111</v>
      </c>
      <c r="C1589">
        <v>7.6461000000000015</v>
      </c>
      <c r="D1589" s="2">
        <v>44882</v>
      </c>
    </row>
    <row r="1590" spans="1:4" x14ac:dyDescent="0.2">
      <c r="A1590" t="s">
        <v>1112</v>
      </c>
      <c r="C1590">
        <v>8.5393000000000008</v>
      </c>
      <c r="D1590" s="2">
        <v>44882</v>
      </c>
    </row>
    <row r="1591" spans="1:4" x14ac:dyDescent="0.2">
      <c r="A1591" t="s">
        <v>1113</v>
      </c>
      <c r="C1591">
        <v>9.2630999999999997</v>
      </c>
      <c r="D1591" s="2">
        <v>44882</v>
      </c>
    </row>
    <row r="1592" spans="1:4" x14ac:dyDescent="0.2">
      <c r="A1592" t="s">
        <v>1114</v>
      </c>
      <c r="C1592">
        <v>9.9021999999999988</v>
      </c>
      <c r="D1592" s="2">
        <v>44882</v>
      </c>
    </row>
    <row r="1593" spans="1:4" x14ac:dyDescent="0.2">
      <c r="A1593" t="s">
        <v>1115</v>
      </c>
      <c r="C1593">
        <v>10.626000000000001</v>
      </c>
      <c r="D1593" s="2">
        <v>44882</v>
      </c>
    </row>
    <row r="1594" spans="1:4" x14ac:dyDescent="0.2">
      <c r="A1594" t="s">
        <v>1116</v>
      </c>
      <c r="C1594">
        <v>11.711700000000004</v>
      </c>
      <c r="D1594" s="2">
        <v>44882</v>
      </c>
    </row>
    <row r="1595" spans="1:4" x14ac:dyDescent="0.2">
      <c r="A1595" t="s">
        <v>1117</v>
      </c>
      <c r="C1595">
        <v>10.987900000000002</v>
      </c>
      <c r="D1595" s="2">
        <v>44882</v>
      </c>
    </row>
    <row r="1596" spans="1:4" x14ac:dyDescent="0.2">
      <c r="A1596" t="s">
        <v>1118</v>
      </c>
      <c r="C1596">
        <v>12.989900000000002</v>
      </c>
      <c r="D1596" s="2">
        <v>44882</v>
      </c>
    </row>
    <row r="1597" spans="1:4" x14ac:dyDescent="0.2">
      <c r="A1597" t="s">
        <v>1119</v>
      </c>
      <c r="C1597">
        <v>13.721400000000001</v>
      </c>
      <c r="D1597" s="2">
        <v>44882</v>
      </c>
    </row>
    <row r="1598" spans="1:4" x14ac:dyDescent="0.2">
      <c r="A1598" t="s">
        <v>1120</v>
      </c>
      <c r="C1598">
        <v>12.928300000000002</v>
      </c>
      <c r="D1598" s="2">
        <v>44882</v>
      </c>
    </row>
    <row r="1599" spans="1:4" x14ac:dyDescent="0.2">
      <c r="A1599" t="s">
        <v>1121</v>
      </c>
      <c r="C1599">
        <v>14.691599999999999</v>
      </c>
      <c r="D1599" s="2">
        <v>44882</v>
      </c>
    </row>
    <row r="1600" spans="1:4" x14ac:dyDescent="0.2">
      <c r="A1600" t="s">
        <v>1122</v>
      </c>
      <c r="C1600">
        <v>15.600200000000005</v>
      </c>
      <c r="D1600" s="2">
        <v>44882</v>
      </c>
    </row>
    <row r="1601" spans="1:4" x14ac:dyDescent="0.2">
      <c r="A1601" t="s">
        <v>1124</v>
      </c>
      <c r="C1601">
        <v>18.318300000000001</v>
      </c>
      <c r="D1601" s="2">
        <v>44882</v>
      </c>
    </row>
    <row r="1602" spans="1:4" x14ac:dyDescent="0.2">
      <c r="A1602" t="s">
        <v>1125</v>
      </c>
      <c r="C1602">
        <v>31.508400000000002</v>
      </c>
      <c r="D1602" s="2">
        <v>44882</v>
      </c>
    </row>
    <row r="1603" spans="1:4" x14ac:dyDescent="0.2">
      <c r="A1603" t="s">
        <v>1127</v>
      </c>
      <c r="C1603">
        <v>151.33250000000001</v>
      </c>
      <c r="D1603" s="2">
        <v>44882</v>
      </c>
    </row>
    <row r="1604" spans="1:4" x14ac:dyDescent="0.2">
      <c r="A1604" t="s">
        <v>1128</v>
      </c>
      <c r="C1604">
        <v>90.42110000000001</v>
      </c>
      <c r="D1604" s="2">
        <v>44882</v>
      </c>
    </row>
    <row r="1605" spans="1:4" x14ac:dyDescent="0.2">
      <c r="A1605" t="s">
        <v>1129</v>
      </c>
      <c r="C1605">
        <v>88.388300000000015</v>
      </c>
      <c r="D1605" s="2">
        <v>44882</v>
      </c>
    </row>
    <row r="1606" spans="1:4" x14ac:dyDescent="0.2">
      <c r="A1606" t="s">
        <v>1130</v>
      </c>
      <c r="C1606">
        <v>101.12410000000003</v>
      </c>
      <c r="D1606" s="2">
        <v>44882</v>
      </c>
    </row>
    <row r="1607" spans="1:4" x14ac:dyDescent="0.2">
      <c r="A1607" t="s">
        <v>1131</v>
      </c>
      <c r="C1607">
        <v>104.41199999999999</v>
      </c>
      <c r="D1607" s="2">
        <v>44882</v>
      </c>
    </row>
    <row r="1608" spans="1:4" x14ac:dyDescent="0.2">
      <c r="A1608" t="s">
        <v>1132</v>
      </c>
      <c r="C1608">
        <v>112.4508</v>
      </c>
      <c r="D1608" s="2">
        <v>44882</v>
      </c>
    </row>
    <row r="1609" spans="1:4" x14ac:dyDescent="0.2">
      <c r="A1609" t="s">
        <v>1133</v>
      </c>
      <c r="C1609">
        <v>6.4295</v>
      </c>
      <c r="D1609" s="2">
        <v>44882</v>
      </c>
    </row>
    <row r="1610" spans="1:4" x14ac:dyDescent="0.2">
      <c r="A1610" t="s">
        <v>1134</v>
      </c>
      <c r="C1610">
        <v>6.9069000000000003</v>
      </c>
      <c r="D1610" s="2">
        <v>44882</v>
      </c>
    </row>
    <row r="1611" spans="1:4" x14ac:dyDescent="0.2">
      <c r="A1611" t="s">
        <v>1135</v>
      </c>
      <c r="C1611">
        <v>7.1148000000000007</v>
      </c>
      <c r="D1611" s="2">
        <v>44882</v>
      </c>
    </row>
    <row r="1612" spans="1:4" x14ac:dyDescent="0.2">
      <c r="A1612" t="s">
        <v>1136</v>
      </c>
      <c r="C1612">
        <v>8.3160000000000007</v>
      </c>
      <c r="D1612" s="2">
        <v>44882</v>
      </c>
    </row>
    <row r="1613" spans="1:4" x14ac:dyDescent="0.2">
      <c r="A1613" t="s">
        <v>1137</v>
      </c>
      <c r="C1613">
        <v>8.5777999999999999</v>
      </c>
      <c r="D1613" s="2">
        <v>44882</v>
      </c>
    </row>
    <row r="1614" spans="1:4" x14ac:dyDescent="0.2">
      <c r="A1614" t="s">
        <v>1138</v>
      </c>
      <c r="C1614">
        <v>8.9627999999999997</v>
      </c>
      <c r="D1614" s="2">
        <v>44882</v>
      </c>
    </row>
    <row r="1615" spans="1:4" x14ac:dyDescent="0.2">
      <c r="A1615" t="s">
        <v>1139</v>
      </c>
      <c r="C1615">
        <v>10.1486</v>
      </c>
      <c r="D1615" s="2">
        <v>44882</v>
      </c>
    </row>
    <row r="1616" spans="1:4" x14ac:dyDescent="0.2">
      <c r="A1616" t="s">
        <v>1140</v>
      </c>
      <c r="C1616">
        <v>10.410399999999999</v>
      </c>
      <c r="D1616" s="2">
        <v>44882</v>
      </c>
    </row>
    <row r="1617" spans="1:4" x14ac:dyDescent="0.2">
      <c r="A1617" t="s">
        <v>1141</v>
      </c>
      <c r="C1617">
        <v>10.6183</v>
      </c>
      <c r="D1617" s="2">
        <v>44882</v>
      </c>
    </row>
    <row r="1618" spans="1:4" x14ac:dyDescent="0.2">
      <c r="A1618" t="s">
        <v>1142</v>
      </c>
      <c r="C1618">
        <v>11.041800000000002</v>
      </c>
      <c r="D1618" s="2">
        <v>44882</v>
      </c>
    </row>
    <row r="1619" spans="1:4" x14ac:dyDescent="0.2">
      <c r="A1619" t="s">
        <v>1143</v>
      </c>
      <c r="C1619">
        <v>13.798400000000001</v>
      </c>
      <c r="D1619" s="2">
        <v>44882</v>
      </c>
    </row>
    <row r="1620" spans="1:4" x14ac:dyDescent="0.2">
      <c r="A1620" t="s">
        <v>1144</v>
      </c>
      <c r="C1620">
        <v>14.914900000000003</v>
      </c>
      <c r="D1620" s="2">
        <v>44882</v>
      </c>
    </row>
    <row r="1621" spans="1:4" x14ac:dyDescent="0.2">
      <c r="A1621" t="s">
        <v>1145</v>
      </c>
      <c r="C1621">
        <v>15.492400000000002</v>
      </c>
      <c r="D1621" s="2">
        <v>44882</v>
      </c>
    </row>
    <row r="1622" spans="1:4" x14ac:dyDescent="0.2">
      <c r="A1622" t="s">
        <v>1146</v>
      </c>
      <c r="C1622">
        <v>16.062200000000001</v>
      </c>
      <c r="D1622" s="2">
        <v>44882</v>
      </c>
    </row>
    <row r="1623" spans="1:4" x14ac:dyDescent="0.2">
      <c r="A1623" t="s">
        <v>1147</v>
      </c>
      <c r="C1623">
        <v>17.994900000000005</v>
      </c>
      <c r="D1623" s="2">
        <v>44882</v>
      </c>
    </row>
    <row r="1624" spans="1:4" x14ac:dyDescent="0.2">
      <c r="A1624" t="s">
        <v>1148</v>
      </c>
      <c r="C1624">
        <v>17.994900000000005</v>
      </c>
      <c r="D1624" s="2">
        <v>44882</v>
      </c>
    </row>
    <row r="1625" spans="1:4" x14ac:dyDescent="0.2">
      <c r="A1625" t="s">
        <v>1149</v>
      </c>
      <c r="C1625">
        <v>18.418400000000002</v>
      </c>
      <c r="D1625" s="2">
        <v>44882</v>
      </c>
    </row>
    <row r="1626" spans="1:4" x14ac:dyDescent="0.2">
      <c r="A1626" t="s">
        <v>1150</v>
      </c>
      <c r="C1626">
        <v>19.257700000000003</v>
      </c>
      <c r="D1626" s="2">
        <v>44882</v>
      </c>
    </row>
    <row r="1627" spans="1:4" x14ac:dyDescent="0.2">
      <c r="A1627" t="s">
        <v>1151</v>
      </c>
      <c r="C1627">
        <v>20.089299999999998</v>
      </c>
      <c r="D1627" s="2">
        <v>44882</v>
      </c>
    </row>
    <row r="1628" spans="1:4" x14ac:dyDescent="0.2">
      <c r="A1628" t="s">
        <v>1152</v>
      </c>
      <c r="C1628">
        <v>70.616700000000009</v>
      </c>
      <c r="D1628" s="2">
        <v>44882</v>
      </c>
    </row>
    <row r="1629" spans="1:4" x14ac:dyDescent="0.2">
      <c r="A1629" t="s">
        <v>1154</v>
      </c>
      <c r="C1629">
        <v>73.843000000000018</v>
      </c>
      <c r="D1629" s="2">
        <v>44882</v>
      </c>
    </row>
    <row r="1630" spans="1:4" x14ac:dyDescent="0.2">
      <c r="A1630" t="s">
        <v>1155</v>
      </c>
      <c r="C1630">
        <v>75.067300000000003</v>
      </c>
      <c r="D1630" s="2">
        <v>44882</v>
      </c>
    </row>
    <row r="1631" spans="1:4" x14ac:dyDescent="0.2">
      <c r="A1631" t="s">
        <v>1156</v>
      </c>
      <c r="C1631">
        <v>77.315700000000007</v>
      </c>
      <c r="D1631" s="2">
        <v>44882</v>
      </c>
    </row>
    <row r="1632" spans="1:4" x14ac:dyDescent="0.2">
      <c r="A1632" t="s">
        <v>1157</v>
      </c>
      <c r="C1632">
        <v>80.6267</v>
      </c>
      <c r="D1632" s="2">
        <v>44882</v>
      </c>
    </row>
    <row r="1633" spans="1:4" x14ac:dyDescent="0.2">
      <c r="A1633" t="s">
        <v>1158</v>
      </c>
      <c r="C1633">
        <v>82.744200000000006</v>
      </c>
      <c r="D1633" s="2">
        <v>44882</v>
      </c>
    </row>
    <row r="1634" spans="1:4" x14ac:dyDescent="0.2">
      <c r="A1634" t="s">
        <v>1159</v>
      </c>
      <c r="C1634">
        <v>85.077299999999994</v>
      </c>
      <c r="D1634" s="2">
        <v>44882</v>
      </c>
    </row>
    <row r="1635" spans="1:4" x14ac:dyDescent="0.2">
      <c r="A1635" t="s">
        <v>1160</v>
      </c>
      <c r="C1635">
        <v>88.303600000000017</v>
      </c>
      <c r="D1635" s="2">
        <v>44882</v>
      </c>
    </row>
    <row r="1636" spans="1:4" x14ac:dyDescent="0.2">
      <c r="A1636" t="s">
        <v>1161</v>
      </c>
      <c r="C1636">
        <v>90.644400000000005</v>
      </c>
      <c r="D1636" s="2">
        <v>44882</v>
      </c>
    </row>
    <row r="1637" spans="1:4" x14ac:dyDescent="0.2">
      <c r="A1637" t="s">
        <v>1162</v>
      </c>
      <c r="C1637">
        <v>96.088300000000018</v>
      </c>
      <c r="D1637" s="2">
        <v>44882</v>
      </c>
    </row>
    <row r="1638" spans="1:4" x14ac:dyDescent="0.2">
      <c r="A1638" t="s">
        <v>1164</v>
      </c>
      <c r="C1638">
        <v>105.105</v>
      </c>
      <c r="D1638" s="2">
        <v>44882</v>
      </c>
    </row>
    <row r="1639" spans="1:4" x14ac:dyDescent="0.2">
      <c r="A1639" t="s">
        <v>1165</v>
      </c>
      <c r="C1639">
        <v>107.98480000000002</v>
      </c>
      <c r="D1639" s="2">
        <v>44882</v>
      </c>
    </row>
    <row r="1640" spans="1:4" x14ac:dyDescent="0.2">
      <c r="A1640" t="s">
        <v>1166</v>
      </c>
      <c r="C1640">
        <v>110.5412</v>
      </c>
      <c r="D1640" s="2">
        <v>44882</v>
      </c>
    </row>
    <row r="1641" spans="1:4" x14ac:dyDescent="0.2">
      <c r="A1641" t="s">
        <v>1167</v>
      </c>
      <c r="C1641">
        <v>115.10730000000001</v>
      </c>
      <c r="D1641" s="2">
        <v>44882</v>
      </c>
    </row>
    <row r="1642" spans="1:4" x14ac:dyDescent="0.2">
      <c r="A1642" t="s">
        <v>1168</v>
      </c>
      <c r="C1642">
        <v>129.67570000000001</v>
      </c>
      <c r="D1642" s="2">
        <v>44882</v>
      </c>
    </row>
    <row r="1643" spans="1:4" x14ac:dyDescent="0.2">
      <c r="A1643" t="s">
        <v>1169</v>
      </c>
      <c r="C1643">
        <v>132.77880000000002</v>
      </c>
      <c r="D1643" s="2">
        <v>44882</v>
      </c>
    </row>
    <row r="1644" spans="1:4" x14ac:dyDescent="0.2">
      <c r="A1644" t="s">
        <v>1170</v>
      </c>
      <c r="C1644">
        <v>3.8887200000000002</v>
      </c>
      <c r="D1644" s="2">
        <v>44882</v>
      </c>
    </row>
    <row r="1645" spans="1:4" x14ac:dyDescent="0.2">
      <c r="A1645" t="s">
        <v>1171</v>
      </c>
      <c r="C1645">
        <v>2.75</v>
      </c>
      <c r="D1645" s="2">
        <v>44882</v>
      </c>
    </row>
    <row r="1646" spans="1:4" x14ac:dyDescent="0.2">
      <c r="A1646" t="s">
        <v>1172</v>
      </c>
      <c r="C1646">
        <v>6.4152000000000005</v>
      </c>
      <c r="D1646" s="2">
        <v>44882</v>
      </c>
    </row>
    <row r="1647" spans="1:4" x14ac:dyDescent="0.2">
      <c r="A1647" t="s">
        <v>1867</v>
      </c>
      <c r="C1647">
        <v>11.420640000000002</v>
      </c>
      <c r="D1647" s="2">
        <v>44882</v>
      </c>
    </row>
    <row r="1648" spans="1:4" x14ac:dyDescent="0.2">
      <c r="A1648" t="s">
        <v>1174</v>
      </c>
      <c r="C1648">
        <v>13.559040000000001</v>
      </c>
      <c r="D1648" s="2">
        <v>44882</v>
      </c>
    </row>
    <row r="1649" spans="1:4" x14ac:dyDescent="0.2">
      <c r="A1649" t="s">
        <v>1175</v>
      </c>
      <c r="C1649">
        <v>12.771000000000001</v>
      </c>
      <c r="D1649" s="2">
        <v>44882</v>
      </c>
    </row>
    <row r="1650" spans="1:4" x14ac:dyDescent="0.2">
      <c r="A1650" t="s">
        <v>1177</v>
      </c>
      <c r="C1650">
        <v>38.158560000000001</v>
      </c>
      <c r="D1650" s="2">
        <v>44882</v>
      </c>
    </row>
    <row r="1651" spans="1:4" x14ac:dyDescent="0.2">
      <c r="A1651" t="s">
        <v>1178</v>
      </c>
      <c r="C1651">
        <v>62.661500000000011</v>
      </c>
      <c r="D1651" s="2">
        <v>44882</v>
      </c>
    </row>
    <row r="1652" spans="1:4" x14ac:dyDescent="0.2">
      <c r="A1652" t="s">
        <v>1179</v>
      </c>
      <c r="C1652">
        <v>5.02128</v>
      </c>
      <c r="D1652" s="2">
        <v>44882</v>
      </c>
    </row>
    <row r="1653" spans="1:4" x14ac:dyDescent="0.2">
      <c r="A1653" t="s">
        <v>1180</v>
      </c>
      <c r="C1653">
        <v>6.0429599999999999</v>
      </c>
      <c r="D1653" s="2">
        <v>44882</v>
      </c>
    </row>
    <row r="1654" spans="1:4" x14ac:dyDescent="0.2">
      <c r="A1654" t="s">
        <v>1181</v>
      </c>
      <c r="C1654">
        <v>8.5852800000000009</v>
      </c>
      <c r="D1654" s="2">
        <v>44882</v>
      </c>
    </row>
    <row r="1655" spans="1:4" x14ac:dyDescent="0.2">
      <c r="A1655" t="s">
        <v>1182</v>
      </c>
      <c r="C1655">
        <v>9.9633600000000015</v>
      </c>
      <c r="D1655" s="2">
        <v>44882</v>
      </c>
    </row>
    <row r="1656" spans="1:4" x14ac:dyDescent="0.2">
      <c r="A1656" t="s">
        <v>1183</v>
      </c>
      <c r="C1656">
        <v>15.459840000000003</v>
      </c>
      <c r="D1656" s="2">
        <v>44882</v>
      </c>
    </row>
    <row r="1657" spans="1:4" x14ac:dyDescent="0.2">
      <c r="A1657" t="s">
        <v>1184</v>
      </c>
      <c r="C1657">
        <v>18.437760000000004</v>
      </c>
      <c r="D1657" s="2">
        <v>44882</v>
      </c>
    </row>
    <row r="1658" spans="1:4" x14ac:dyDescent="0.2">
      <c r="A1658" t="s">
        <v>1185</v>
      </c>
      <c r="C1658">
        <v>23.823360000000001</v>
      </c>
      <c r="D1658" s="2">
        <v>44882</v>
      </c>
    </row>
    <row r="1659" spans="1:4" x14ac:dyDescent="0.2">
      <c r="A1659" t="s">
        <v>1186</v>
      </c>
      <c r="C1659">
        <v>99.489500000000007</v>
      </c>
      <c r="D1659" s="2">
        <v>44882</v>
      </c>
    </row>
    <row r="1660" spans="1:4" x14ac:dyDescent="0.2">
      <c r="A1660" t="s">
        <v>1866</v>
      </c>
      <c r="C1660">
        <v>2.1230000000000002</v>
      </c>
      <c r="D1660" s="2">
        <v>44882</v>
      </c>
    </row>
    <row r="1661" spans="1:4" x14ac:dyDescent="0.2">
      <c r="A1661" t="s">
        <v>1198</v>
      </c>
      <c r="C1661">
        <v>3.5530000000000004</v>
      </c>
      <c r="D1661" s="2">
        <v>44882</v>
      </c>
    </row>
    <row r="1662" spans="1:4" x14ac:dyDescent="0.2">
      <c r="A1662" t="s">
        <v>1197</v>
      </c>
      <c r="C1662">
        <v>2.8380000000000005</v>
      </c>
      <c r="D1662" s="2">
        <v>44882</v>
      </c>
    </row>
    <row r="1663" spans="1:4" x14ac:dyDescent="0.2">
      <c r="A1663" t="s">
        <v>1195</v>
      </c>
      <c r="C1663">
        <v>1.1660000000000001</v>
      </c>
      <c r="D1663" s="2">
        <v>44882</v>
      </c>
    </row>
    <row r="1664" spans="1:4" x14ac:dyDescent="0.2">
      <c r="A1664" t="s">
        <v>1192</v>
      </c>
      <c r="C1664">
        <v>0.96800000000000008</v>
      </c>
      <c r="D1664" s="2">
        <v>44882</v>
      </c>
    </row>
    <row r="1665" spans="1:4" x14ac:dyDescent="0.2">
      <c r="A1665" t="s">
        <v>1199</v>
      </c>
      <c r="C1665">
        <v>5.3944000000000001</v>
      </c>
      <c r="D1665" s="2">
        <v>44882</v>
      </c>
    </row>
    <row r="1666" spans="1:4" x14ac:dyDescent="0.2">
      <c r="A1666" t="s">
        <v>1200</v>
      </c>
      <c r="C1666">
        <v>7.6670000000000007</v>
      </c>
      <c r="D1666" s="2">
        <v>44882</v>
      </c>
    </row>
    <row r="1667" spans="1:4" x14ac:dyDescent="0.2">
      <c r="A1667" t="s">
        <v>1201</v>
      </c>
      <c r="C1667">
        <v>17.919</v>
      </c>
      <c r="D1667" s="2">
        <v>44882</v>
      </c>
    </row>
    <row r="1668" spans="1:4" x14ac:dyDescent="0.2">
      <c r="A1668" t="s">
        <v>1196</v>
      </c>
      <c r="C1668">
        <v>0.78100000000000003</v>
      </c>
      <c r="D1668" s="2">
        <v>44882</v>
      </c>
    </row>
    <row r="1669" spans="1:4" x14ac:dyDescent="0.2">
      <c r="A1669" t="s">
        <v>1194</v>
      </c>
      <c r="C1669">
        <v>0.89100000000000013</v>
      </c>
      <c r="D1669" s="2">
        <v>44882</v>
      </c>
    </row>
    <row r="1670" spans="1:4" x14ac:dyDescent="0.2">
      <c r="A1670" t="s">
        <v>1874</v>
      </c>
      <c r="C1670">
        <v>3.355</v>
      </c>
      <c r="D1670" s="2">
        <v>44882</v>
      </c>
    </row>
    <row r="1671" spans="1:4" x14ac:dyDescent="0.2">
      <c r="A1671" t="s">
        <v>1204</v>
      </c>
      <c r="C1671">
        <v>37.950000000000003</v>
      </c>
      <c r="D1671" s="2">
        <v>44882</v>
      </c>
    </row>
    <row r="1672" spans="1:4" x14ac:dyDescent="0.2">
      <c r="A1672" t="s">
        <v>1202</v>
      </c>
      <c r="C1672">
        <v>19.511800000000001</v>
      </c>
      <c r="D1672" s="2">
        <v>44882</v>
      </c>
    </row>
    <row r="1673" spans="1:4" x14ac:dyDescent="0.2">
      <c r="A1673" t="s">
        <v>1203</v>
      </c>
      <c r="C1673">
        <v>43.736000000000004</v>
      </c>
      <c r="D1673" s="2">
        <v>44882</v>
      </c>
    </row>
    <row r="1674" spans="1:4" x14ac:dyDescent="0.2">
      <c r="A1674" t="s">
        <v>1209</v>
      </c>
      <c r="C1674">
        <v>8.2830000000000013</v>
      </c>
      <c r="D1674" s="2">
        <v>44882</v>
      </c>
    </row>
    <row r="1675" spans="1:4" x14ac:dyDescent="0.2">
      <c r="A1675" t="s">
        <v>1210</v>
      </c>
      <c r="C1675">
        <v>19.910000000000004</v>
      </c>
      <c r="D1675" s="2">
        <v>44882</v>
      </c>
    </row>
    <row r="1676" spans="1:4" x14ac:dyDescent="0.2">
      <c r="A1676" t="s">
        <v>1211</v>
      </c>
      <c r="C1676">
        <v>30.305000000000003</v>
      </c>
      <c r="D1676" s="2">
        <v>44882</v>
      </c>
    </row>
    <row r="1677" spans="1:4" x14ac:dyDescent="0.2">
      <c r="A1677" t="s">
        <v>1212</v>
      </c>
      <c r="C1677">
        <v>31.779000000000003</v>
      </c>
      <c r="D1677" s="2">
        <v>44882</v>
      </c>
    </row>
    <row r="1678" spans="1:4" x14ac:dyDescent="0.2">
      <c r="A1678" t="s">
        <v>1206</v>
      </c>
      <c r="C1678">
        <v>3.4760000000000004</v>
      </c>
      <c r="D1678" s="2">
        <v>44882</v>
      </c>
    </row>
    <row r="1679" spans="1:4" x14ac:dyDescent="0.2">
      <c r="A1679" t="s">
        <v>1207</v>
      </c>
      <c r="C1679">
        <v>6.0720000000000001</v>
      </c>
      <c r="D1679" s="2">
        <v>44882</v>
      </c>
    </row>
    <row r="1680" spans="1:4" x14ac:dyDescent="0.2">
      <c r="A1680" t="s">
        <v>1208</v>
      </c>
      <c r="C1680">
        <v>12.188000000000001</v>
      </c>
      <c r="D1680" s="2">
        <v>44882</v>
      </c>
    </row>
    <row r="1681" spans="1:4" x14ac:dyDescent="0.2">
      <c r="A1681" t="s">
        <v>1218</v>
      </c>
      <c r="C1681">
        <v>3.0470000000000002</v>
      </c>
      <c r="D1681" s="2">
        <v>44882</v>
      </c>
    </row>
    <row r="1682" spans="1:4" x14ac:dyDescent="0.2">
      <c r="A1682" t="s">
        <v>1219</v>
      </c>
      <c r="C1682">
        <v>2.8600000000000003</v>
      </c>
      <c r="D1682" s="2">
        <v>44882</v>
      </c>
    </row>
    <row r="1683" spans="1:4" x14ac:dyDescent="0.2">
      <c r="A1683" t="s">
        <v>1220</v>
      </c>
      <c r="C1683">
        <v>4.2570000000000006</v>
      </c>
      <c r="D1683" s="2">
        <v>44882</v>
      </c>
    </row>
    <row r="1684" spans="1:4" x14ac:dyDescent="0.2">
      <c r="A1684" t="s">
        <v>1221</v>
      </c>
      <c r="C1684">
        <v>7.2050000000000001</v>
      </c>
      <c r="D1684" s="2">
        <v>44882</v>
      </c>
    </row>
    <row r="1685" spans="1:4" x14ac:dyDescent="0.2">
      <c r="A1685" t="s">
        <v>1214</v>
      </c>
      <c r="C1685">
        <v>1.3420000000000001</v>
      </c>
      <c r="D1685" s="2">
        <v>44882</v>
      </c>
    </row>
    <row r="1686" spans="1:4" x14ac:dyDescent="0.2">
      <c r="A1686" t="s">
        <v>1216</v>
      </c>
      <c r="C1686">
        <v>1.7490000000000003</v>
      </c>
      <c r="D1686" s="2">
        <v>44882</v>
      </c>
    </row>
    <row r="1687" spans="1:4" x14ac:dyDescent="0.2">
      <c r="A1687" t="s">
        <v>1217</v>
      </c>
      <c r="C1687">
        <v>3.2560000000000002</v>
      </c>
      <c r="D1687" s="2">
        <v>44882</v>
      </c>
    </row>
    <row r="1688" spans="1:4" x14ac:dyDescent="0.2">
      <c r="A1688" t="s">
        <v>1236</v>
      </c>
      <c r="C1688">
        <v>11</v>
      </c>
      <c r="D1688" s="2">
        <v>44882</v>
      </c>
    </row>
    <row r="1689" spans="1:4" x14ac:dyDescent="0.2">
      <c r="A1689" t="s">
        <v>1237</v>
      </c>
      <c r="C1689">
        <v>47.234000000000002</v>
      </c>
      <c r="D1689" s="2">
        <v>44882</v>
      </c>
    </row>
    <row r="1690" spans="1:4" x14ac:dyDescent="0.2">
      <c r="A1690" t="s">
        <v>1238</v>
      </c>
      <c r="C1690">
        <v>34.969000000000001</v>
      </c>
      <c r="D1690" s="2">
        <v>44882</v>
      </c>
    </row>
    <row r="1691" spans="1:4" x14ac:dyDescent="0.2">
      <c r="A1691" t="s">
        <v>1239</v>
      </c>
      <c r="C1691">
        <v>48.059000000000005</v>
      </c>
      <c r="D1691" s="2">
        <v>44882</v>
      </c>
    </row>
    <row r="1692" spans="1:4" x14ac:dyDescent="0.2">
      <c r="A1692" t="s">
        <v>1232</v>
      </c>
      <c r="C1692">
        <v>4.5540000000000012</v>
      </c>
      <c r="D1692" s="2">
        <v>44882</v>
      </c>
    </row>
    <row r="1693" spans="1:4" x14ac:dyDescent="0.2">
      <c r="A1693" t="s">
        <v>1233</v>
      </c>
      <c r="C1693">
        <v>5.3570000000000002</v>
      </c>
      <c r="D1693" s="2">
        <v>44882</v>
      </c>
    </row>
    <row r="1694" spans="1:4" x14ac:dyDescent="0.2">
      <c r="A1694" t="s">
        <v>1234</v>
      </c>
      <c r="C1694">
        <v>6.1270000000000007</v>
      </c>
      <c r="D1694" s="2">
        <v>44882</v>
      </c>
    </row>
    <row r="1695" spans="1:4" x14ac:dyDescent="0.2">
      <c r="A1695" t="s">
        <v>1235</v>
      </c>
      <c r="C1695">
        <v>9.8890000000000011</v>
      </c>
      <c r="D1695" s="2">
        <v>44882</v>
      </c>
    </row>
    <row r="1696" spans="1:4" x14ac:dyDescent="0.2">
      <c r="A1696" t="s">
        <v>1230</v>
      </c>
      <c r="C1696">
        <v>2.2220000000000004</v>
      </c>
      <c r="D1696" s="2">
        <v>44882</v>
      </c>
    </row>
    <row r="1697" spans="1:4" x14ac:dyDescent="0.2">
      <c r="A1697" t="s">
        <v>1231</v>
      </c>
      <c r="C1697">
        <v>3.08</v>
      </c>
      <c r="D1697" s="2">
        <v>44882</v>
      </c>
    </row>
    <row r="1698" spans="1:4" x14ac:dyDescent="0.2">
      <c r="A1698" t="s">
        <v>1228</v>
      </c>
      <c r="C1698">
        <v>2.3760000000000003</v>
      </c>
      <c r="D1698" s="2">
        <v>44882</v>
      </c>
    </row>
    <row r="1699" spans="1:4" x14ac:dyDescent="0.2">
      <c r="A1699" t="s">
        <v>1229</v>
      </c>
      <c r="C1699">
        <v>2.9700000000000006</v>
      </c>
      <c r="D1699" s="2">
        <v>44882</v>
      </c>
    </row>
    <row r="1700" spans="1:4" x14ac:dyDescent="0.2">
      <c r="A1700" t="s">
        <v>2104</v>
      </c>
      <c r="C1700">
        <v>1.7160000000000002</v>
      </c>
      <c r="D1700" s="2">
        <v>44882</v>
      </c>
    </row>
    <row r="1701" spans="1:4" x14ac:dyDescent="0.2">
      <c r="A1701" t="s">
        <v>2105</v>
      </c>
      <c r="C1701">
        <v>1.1990000000000003</v>
      </c>
      <c r="D1701" s="2">
        <v>44882</v>
      </c>
    </row>
    <row r="1702" spans="1:4" x14ac:dyDescent="0.2">
      <c r="A1702" t="s">
        <v>1246</v>
      </c>
      <c r="C1702">
        <v>2.6619999999999999</v>
      </c>
      <c r="D1702" s="2">
        <v>44882</v>
      </c>
    </row>
    <row r="1703" spans="1:4" x14ac:dyDescent="0.2">
      <c r="A1703" t="s">
        <v>1247</v>
      </c>
      <c r="C1703">
        <v>2.9700000000000006</v>
      </c>
      <c r="D1703" s="2">
        <v>44882</v>
      </c>
    </row>
    <row r="1704" spans="1:4" x14ac:dyDescent="0.2">
      <c r="A1704" t="s">
        <v>1248</v>
      </c>
      <c r="C1704">
        <v>1.2727000000000002</v>
      </c>
      <c r="D1704" s="2">
        <v>44882</v>
      </c>
    </row>
    <row r="1705" spans="1:4" x14ac:dyDescent="0.2">
      <c r="A1705" t="s">
        <v>2102</v>
      </c>
      <c r="C1705">
        <v>1.8480000000000001</v>
      </c>
      <c r="D1705" s="2">
        <v>44882</v>
      </c>
    </row>
    <row r="1706" spans="1:4" x14ac:dyDescent="0.2">
      <c r="A1706" t="s">
        <v>1291</v>
      </c>
      <c r="C1706">
        <v>1.903</v>
      </c>
      <c r="D1706" s="2">
        <v>44882</v>
      </c>
    </row>
    <row r="1707" spans="1:4" x14ac:dyDescent="0.2">
      <c r="A1707" t="s">
        <v>1290</v>
      </c>
      <c r="C1707">
        <v>2.3100000000000005</v>
      </c>
      <c r="D1707" s="2">
        <v>44882</v>
      </c>
    </row>
    <row r="1708" spans="1:4" x14ac:dyDescent="0.2">
      <c r="A1708" t="s">
        <v>1292</v>
      </c>
      <c r="C1708">
        <v>1.254</v>
      </c>
      <c r="D1708" s="2">
        <v>44882</v>
      </c>
    </row>
    <row r="1709" spans="1:4" x14ac:dyDescent="0.2">
      <c r="A1709" t="s">
        <v>1294</v>
      </c>
      <c r="C1709">
        <v>5.5770000000000008</v>
      </c>
      <c r="D1709" s="2">
        <v>44882</v>
      </c>
    </row>
    <row r="1710" spans="1:4" x14ac:dyDescent="0.2">
      <c r="A1710" t="s">
        <v>1293</v>
      </c>
      <c r="C1710">
        <v>2.1230000000000002</v>
      </c>
      <c r="D1710" s="2">
        <v>44882</v>
      </c>
    </row>
    <row r="1711" spans="1:4" x14ac:dyDescent="0.2">
      <c r="A1711" t="s">
        <v>1295</v>
      </c>
      <c r="C1711">
        <v>1.3860000000000001</v>
      </c>
      <c r="D1711" s="2">
        <v>44882</v>
      </c>
    </row>
    <row r="1712" spans="1:4" x14ac:dyDescent="0.2">
      <c r="A1712" t="s">
        <v>1289</v>
      </c>
      <c r="C1712">
        <v>3.399</v>
      </c>
      <c r="D1712" s="2">
        <v>44882</v>
      </c>
    </row>
    <row r="1713" spans="1:4" x14ac:dyDescent="0.2">
      <c r="A1713" t="s">
        <v>1283</v>
      </c>
      <c r="C1713">
        <v>16.269000000000002</v>
      </c>
      <c r="D1713" s="2">
        <v>44882</v>
      </c>
    </row>
    <row r="1714" spans="1:4" x14ac:dyDescent="0.2">
      <c r="A1714" t="s">
        <v>1282</v>
      </c>
      <c r="C1714">
        <v>8.2390000000000008</v>
      </c>
      <c r="D1714" s="2">
        <v>44882</v>
      </c>
    </row>
    <row r="1715" spans="1:4" x14ac:dyDescent="0.2">
      <c r="A1715" t="s">
        <v>1281</v>
      </c>
      <c r="C1715">
        <v>6.9740000000000002</v>
      </c>
      <c r="D1715" s="2">
        <v>44882</v>
      </c>
    </row>
    <row r="1716" spans="1:4" x14ac:dyDescent="0.2">
      <c r="A1716" t="s">
        <v>1278</v>
      </c>
      <c r="C1716">
        <v>10.604000000000001</v>
      </c>
      <c r="D1716" s="2">
        <v>44882</v>
      </c>
    </row>
    <row r="1717" spans="1:4" x14ac:dyDescent="0.2">
      <c r="A1717" t="s">
        <v>1280</v>
      </c>
      <c r="C1717">
        <v>25.575000000000003</v>
      </c>
      <c r="D1717" s="2">
        <v>44882</v>
      </c>
    </row>
    <row r="1718" spans="1:4" x14ac:dyDescent="0.2">
      <c r="A1718" t="s">
        <v>1279</v>
      </c>
      <c r="C1718">
        <v>15.499000000000001</v>
      </c>
      <c r="D1718" s="2">
        <v>44882</v>
      </c>
    </row>
    <row r="1719" spans="1:4" x14ac:dyDescent="0.2">
      <c r="A1719" t="s">
        <v>1276</v>
      </c>
      <c r="C1719">
        <v>15.367000000000003</v>
      </c>
      <c r="D1719" s="2">
        <v>44882</v>
      </c>
    </row>
    <row r="1720" spans="1:4" x14ac:dyDescent="0.2">
      <c r="A1720" t="s">
        <v>1275</v>
      </c>
      <c r="C1720">
        <v>12.056000000000003</v>
      </c>
      <c r="D1720" s="2">
        <v>44882</v>
      </c>
    </row>
    <row r="1721" spans="1:4" x14ac:dyDescent="0.2">
      <c r="A1721" t="s">
        <v>1277</v>
      </c>
      <c r="C1721">
        <v>40.006999999999998</v>
      </c>
      <c r="D1721" s="2">
        <v>44882</v>
      </c>
    </row>
    <row r="1722" spans="1:4" x14ac:dyDescent="0.2">
      <c r="A1722" t="s">
        <v>1274</v>
      </c>
      <c r="C1722">
        <v>47.861000000000004</v>
      </c>
      <c r="D1722" s="2">
        <v>44882</v>
      </c>
    </row>
    <row r="1723" spans="1:4" x14ac:dyDescent="0.2">
      <c r="A1723" t="s">
        <v>1273</v>
      </c>
      <c r="C1723">
        <v>41.690000000000005</v>
      </c>
      <c r="D1723" s="2">
        <v>44882</v>
      </c>
    </row>
    <row r="1724" spans="1:4" x14ac:dyDescent="0.2">
      <c r="A1724" t="s">
        <v>1272</v>
      </c>
      <c r="C1724">
        <v>21.230000000000004</v>
      </c>
      <c r="D1724" s="2">
        <v>44882</v>
      </c>
    </row>
    <row r="1725" spans="1:4" x14ac:dyDescent="0.2">
      <c r="A1725" t="s">
        <v>1928</v>
      </c>
      <c r="C1725">
        <v>2.6950000000000003</v>
      </c>
      <c r="D1725" s="2">
        <v>44882</v>
      </c>
    </row>
    <row r="1726" spans="1:4" x14ac:dyDescent="0.2">
      <c r="A1726" t="s">
        <v>1288</v>
      </c>
      <c r="C1726">
        <v>4.2130000000000001</v>
      </c>
      <c r="D1726" s="2">
        <v>44882</v>
      </c>
    </row>
    <row r="1727" spans="1:4" x14ac:dyDescent="0.2">
      <c r="A1727" t="s">
        <v>1287</v>
      </c>
      <c r="C1727">
        <v>3.6410000000000005</v>
      </c>
      <c r="D1727" s="2">
        <v>44882</v>
      </c>
    </row>
    <row r="1728" spans="1:4" x14ac:dyDescent="0.2">
      <c r="A1728" t="s">
        <v>1286</v>
      </c>
      <c r="C1728">
        <v>15.246</v>
      </c>
      <c r="D1728" s="2">
        <v>44882</v>
      </c>
    </row>
    <row r="1729" spans="1:4" x14ac:dyDescent="0.2">
      <c r="A1729" t="s">
        <v>1285</v>
      </c>
      <c r="C1729">
        <v>5.4119999999999999</v>
      </c>
      <c r="D1729" s="2">
        <v>44882</v>
      </c>
    </row>
    <row r="1730" spans="1:4" x14ac:dyDescent="0.2">
      <c r="A1730" t="s">
        <v>1284</v>
      </c>
      <c r="C1730">
        <v>3.9380000000000006</v>
      </c>
      <c r="D1730" s="2">
        <v>44882</v>
      </c>
    </row>
    <row r="1731" spans="1:4" x14ac:dyDescent="0.2">
      <c r="A1731" t="s">
        <v>1320</v>
      </c>
      <c r="C1731">
        <v>24.761000000000003</v>
      </c>
      <c r="D1731" s="2">
        <v>44882</v>
      </c>
    </row>
    <row r="1732" spans="1:4" x14ac:dyDescent="0.2">
      <c r="A1732" t="s">
        <v>1321</v>
      </c>
      <c r="C1732">
        <v>31.592000000000002</v>
      </c>
      <c r="D1732" s="2">
        <v>44882</v>
      </c>
    </row>
    <row r="1733" spans="1:4" x14ac:dyDescent="0.2">
      <c r="A1733" t="s">
        <v>1322</v>
      </c>
      <c r="C1733">
        <v>67.231999999999999</v>
      </c>
      <c r="D1733" s="2">
        <v>44882</v>
      </c>
    </row>
    <row r="1734" spans="1:4" x14ac:dyDescent="0.2">
      <c r="A1734" t="s">
        <v>1323</v>
      </c>
      <c r="C1734">
        <v>82.576999999999998</v>
      </c>
      <c r="D1734" s="2">
        <v>44882</v>
      </c>
    </row>
    <row r="1735" spans="1:4" x14ac:dyDescent="0.2">
      <c r="A1735" t="s">
        <v>1869</v>
      </c>
      <c r="C1735">
        <v>7.3590000000000009</v>
      </c>
      <c r="D1735" s="2">
        <v>44882</v>
      </c>
    </row>
    <row r="1736" spans="1:4" x14ac:dyDescent="0.2">
      <c r="A1736" t="s">
        <v>2106</v>
      </c>
      <c r="C1736">
        <v>6.5340000000000007</v>
      </c>
      <c r="D1736" s="2">
        <v>44882</v>
      </c>
    </row>
    <row r="1737" spans="1:4" x14ac:dyDescent="0.2">
      <c r="A1737" t="s">
        <v>1317</v>
      </c>
      <c r="C1737">
        <v>6.8750000000000009</v>
      </c>
      <c r="D1737" s="2">
        <v>44882</v>
      </c>
    </row>
    <row r="1738" spans="1:4" x14ac:dyDescent="0.2">
      <c r="A1738" t="s">
        <v>1318</v>
      </c>
      <c r="C1738">
        <v>11.605000000000002</v>
      </c>
      <c r="D1738" s="2">
        <v>44882</v>
      </c>
    </row>
    <row r="1739" spans="1:4" x14ac:dyDescent="0.2">
      <c r="A1739" t="s">
        <v>1319</v>
      </c>
      <c r="C1739">
        <v>20.196000000000002</v>
      </c>
      <c r="D1739" s="2">
        <v>44882</v>
      </c>
    </row>
    <row r="1740" spans="1:4" x14ac:dyDescent="0.2">
      <c r="A1740" t="s">
        <v>1328</v>
      </c>
      <c r="C1740">
        <v>36.289000000000009</v>
      </c>
      <c r="D1740" s="2">
        <v>44882</v>
      </c>
    </row>
    <row r="1741" spans="1:4" x14ac:dyDescent="0.2">
      <c r="A1741" t="s">
        <v>1329</v>
      </c>
      <c r="C1741">
        <v>43.956000000000003</v>
      </c>
      <c r="D1741" s="2">
        <v>44882</v>
      </c>
    </row>
    <row r="1742" spans="1:4" x14ac:dyDescent="0.2">
      <c r="A1742" t="s">
        <v>1330</v>
      </c>
      <c r="C1742">
        <v>50.699000000000005</v>
      </c>
      <c r="D1742" s="2">
        <v>44882</v>
      </c>
    </row>
    <row r="1743" spans="1:4" x14ac:dyDescent="0.2">
      <c r="A1743" t="s">
        <v>1331</v>
      </c>
      <c r="C1743">
        <v>35.464000000000006</v>
      </c>
      <c r="D1743" s="2">
        <v>44882</v>
      </c>
    </row>
    <row r="1744" spans="1:4" x14ac:dyDescent="0.2">
      <c r="A1744" t="s">
        <v>1324</v>
      </c>
      <c r="C1744">
        <v>8.6349999999999998</v>
      </c>
      <c r="D1744" s="2">
        <v>44882</v>
      </c>
    </row>
    <row r="1745" spans="1:4" x14ac:dyDescent="0.2">
      <c r="A1745" t="s">
        <v>1325</v>
      </c>
      <c r="C1745">
        <v>8.91</v>
      </c>
      <c r="D1745" s="2">
        <v>44882</v>
      </c>
    </row>
    <row r="1746" spans="1:4" x14ac:dyDescent="0.2">
      <c r="A1746" t="s">
        <v>1326</v>
      </c>
      <c r="C1746">
        <v>14.179000000000002</v>
      </c>
      <c r="D1746" s="2">
        <v>44882</v>
      </c>
    </row>
    <row r="1747" spans="1:4" x14ac:dyDescent="0.2">
      <c r="A1747" t="s">
        <v>1327</v>
      </c>
      <c r="C1747">
        <v>18.59</v>
      </c>
      <c r="D1747" s="2">
        <v>44882</v>
      </c>
    </row>
    <row r="1748" spans="1:4" x14ac:dyDescent="0.2">
      <c r="A1748" t="s">
        <v>2107</v>
      </c>
      <c r="C1748">
        <v>20.482000000000003</v>
      </c>
      <c r="D1748" s="2">
        <v>44882</v>
      </c>
    </row>
    <row r="1749" spans="1:4" x14ac:dyDescent="0.2">
      <c r="A1749" t="s">
        <v>1188</v>
      </c>
      <c r="C1749">
        <v>5.8630000000000004</v>
      </c>
      <c r="D1749" s="2">
        <v>44882</v>
      </c>
    </row>
    <row r="1750" spans="1:4" x14ac:dyDescent="0.2">
      <c r="A1750" t="s">
        <v>1189</v>
      </c>
      <c r="C1750">
        <v>5.3570000000000002</v>
      </c>
      <c r="D1750" s="2">
        <v>44882</v>
      </c>
    </row>
    <row r="1751" spans="1:4" x14ac:dyDescent="0.2">
      <c r="A1751" t="s">
        <v>1191</v>
      </c>
      <c r="C1751">
        <v>1.2100000000000002</v>
      </c>
      <c r="D1751" s="2">
        <v>44882</v>
      </c>
    </row>
    <row r="1752" spans="1:4" x14ac:dyDescent="0.2">
      <c r="A1752" t="s">
        <v>1187</v>
      </c>
      <c r="C1752">
        <v>7.2160000000000002</v>
      </c>
      <c r="D1752" s="2">
        <v>44882</v>
      </c>
    </row>
    <row r="1753" spans="1:4" x14ac:dyDescent="0.2">
      <c r="A1753" t="s">
        <v>1213</v>
      </c>
      <c r="C1753">
        <v>175.8075</v>
      </c>
      <c r="D1753" s="2">
        <v>44882</v>
      </c>
    </row>
    <row r="1754" spans="1:4" x14ac:dyDescent="0.2">
      <c r="A1754" t="s">
        <v>1225</v>
      </c>
      <c r="C1754">
        <v>3.1240000000000001</v>
      </c>
      <c r="D1754" s="2">
        <v>44882</v>
      </c>
    </row>
    <row r="1755" spans="1:4" x14ac:dyDescent="0.2">
      <c r="A1755" t="s">
        <v>1224</v>
      </c>
      <c r="C1755">
        <v>8.7340000000000018</v>
      </c>
      <c r="D1755" s="2">
        <v>44882</v>
      </c>
    </row>
    <row r="1756" spans="1:4" x14ac:dyDescent="0.2">
      <c r="A1756" t="s">
        <v>1227</v>
      </c>
      <c r="C1756">
        <v>1.3860000000000001</v>
      </c>
      <c r="D1756" s="2">
        <v>44882</v>
      </c>
    </row>
    <row r="1757" spans="1:4" x14ac:dyDescent="0.2">
      <c r="A1757" t="s">
        <v>1226</v>
      </c>
      <c r="C1757">
        <v>2.09</v>
      </c>
      <c r="D1757" s="2">
        <v>44882</v>
      </c>
    </row>
    <row r="1758" spans="1:4" x14ac:dyDescent="0.2">
      <c r="A1758" t="s">
        <v>1243</v>
      </c>
      <c r="C1758">
        <v>6.8420000000000005</v>
      </c>
      <c r="D1758" s="2">
        <v>44882</v>
      </c>
    </row>
    <row r="1759" spans="1:4" x14ac:dyDescent="0.2">
      <c r="A1759" t="s">
        <v>1242</v>
      </c>
      <c r="C1759">
        <v>12.32</v>
      </c>
      <c r="D1759" s="2">
        <v>44882</v>
      </c>
    </row>
    <row r="1760" spans="1:4" x14ac:dyDescent="0.2">
      <c r="A1760" t="s">
        <v>1245</v>
      </c>
      <c r="C1760">
        <v>2.6950000000000003</v>
      </c>
      <c r="D1760" s="2">
        <v>44882</v>
      </c>
    </row>
    <row r="1761" spans="1:4" x14ac:dyDescent="0.2">
      <c r="A1761" t="s">
        <v>1244</v>
      </c>
      <c r="C1761">
        <v>2.9370000000000003</v>
      </c>
      <c r="D1761" s="2">
        <v>44882</v>
      </c>
    </row>
    <row r="1762" spans="1:4" x14ac:dyDescent="0.2">
      <c r="A1762" t="s">
        <v>1254</v>
      </c>
      <c r="C1762">
        <v>4.0920000000000005</v>
      </c>
      <c r="D1762" s="2">
        <v>44882</v>
      </c>
    </row>
    <row r="1763" spans="1:4" x14ac:dyDescent="0.2">
      <c r="A1763" t="s">
        <v>1253</v>
      </c>
      <c r="C1763">
        <v>5.6430000000000007</v>
      </c>
      <c r="D1763" s="2">
        <v>44882</v>
      </c>
    </row>
    <row r="1764" spans="1:4" x14ac:dyDescent="0.2">
      <c r="A1764" t="s">
        <v>1256</v>
      </c>
      <c r="C1764">
        <v>6.4240000000000004</v>
      </c>
      <c r="D1764" s="2">
        <v>44882</v>
      </c>
    </row>
    <row r="1765" spans="1:4" x14ac:dyDescent="0.2">
      <c r="A1765" t="s">
        <v>1251</v>
      </c>
      <c r="C1765">
        <v>14.498000000000001</v>
      </c>
      <c r="D1765" s="2">
        <v>44882</v>
      </c>
    </row>
    <row r="1766" spans="1:4" x14ac:dyDescent="0.2">
      <c r="A1766" t="s">
        <v>1250</v>
      </c>
      <c r="C1766">
        <v>15.532</v>
      </c>
      <c r="D1766" s="2">
        <v>44882</v>
      </c>
    </row>
    <row r="1767" spans="1:4" x14ac:dyDescent="0.2">
      <c r="A1767" t="s">
        <v>1249</v>
      </c>
      <c r="C1767">
        <v>19.657000000000004</v>
      </c>
      <c r="D1767" s="2">
        <v>44882</v>
      </c>
    </row>
    <row r="1768" spans="1:4" x14ac:dyDescent="0.2">
      <c r="A1768" t="s">
        <v>1255</v>
      </c>
      <c r="C1768">
        <v>3.2450000000000006</v>
      </c>
      <c r="D1768" s="2">
        <v>44882</v>
      </c>
    </row>
    <row r="1769" spans="1:4" x14ac:dyDescent="0.2">
      <c r="A1769" t="s">
        <v>1257</v>
      </c>
      <c r="C1769">
        <v>1.1000000000000001</v>
      </c>
      <c r="D1769" s="2">
        <v>44882</v>
      </c>
    </row>
    <row r="1770" spans="1:4" x14ac:dyDescent="0.2">
      <c r="A1770" t="s">
        <v>1258</v>
      </c>
      <c r="C1770">
        <v>6.6000000000000005</v>
      </c>
      <c r="D1770" s="2">
        <v>44882</v>
      </c>
    </row>
    <row r="1771" spans="1:4" x14ac:dyDescent="0.2">
      <c r="A1771" t="s">
        <v>1259</v>
      </c>
      <c r="C1771">
        <v>5.7640000000000011</v>
      </c>
      <c r="D1771" s="2">
        <v>44882</v>
      </c>
    </row>
    <row r="1772" spans="1:4" x14ac:dyDescent="0.2">
      <c r="A1772" t="s">
        <v>1261</v>
      </c>
      <c r="C1772">
        <v>1.5070000000000003</v>
      </c>
      <c r="D1772" s="2">
        <v>44882</v>
      </c>
    </row>
    <row r="1773" spans="1:4" x14ac:dyDescent="0.2">
      <c r="A1773" t="s">
        <v>1263</v>
      </c>
      <c r="C1773">
        <v>17.908000000000001</v>
      </c>
      <c r="D1773" s="2">
        <v>44882</v>
      </c>
    </row>
    <row r="1774" spans="1:4" x14ac:dyDescent="0.2">
      <c r="A1774" t="s">
        <v>1262</v>
      </c>
      <c r="C1774">
        <v>24.068000000000001</v>
      </c>
      <c r="D1774" s="2">
        <v>44882</v>
      </c>
    </row>
    <row r="1775" spans="1:4" x14ac:dyDescent="0.2">
      <c r="A1775" t="s">
        <v>1267</v>
      </c>
      <c r="C1775">
        <v>4.5979999999999999</v>
      </c>
      <c r="D1775" s="2">
        <v>44882</v>
      </c>
    </row>
    <row r="1776" spans="1:4" x14ac:dyDescent="0.2">
      <c r="A1776" t="s">
        <v>1266</v>
      </c>
      <c r="C1776">
        <v>8.5250000000000004</v>
      </c>
      <c r="D1776" s="2">
        <v>44882</v>
      </c>
    </row>
    <row r="1777" spans="1:4" x14ac:dyDescent="0.2">
      <c r="A1777" t="s">
        <v>1269</v>
      </c>
      <c r="C1777">
        <v>2.0350000000000001</v>
      </c>
      <c r="D1777" s="2">
        <v>44882</v>
      </c>
    </row>
    <row r="1778" spans="1:4" x14ac:dyDescent="0.2">
      <c r="A1778" t="s">
        <v>1271</v>
      </c>
      <c r="C1778">
        <v>1.2869999999999999</v>
      </c>
      <c r="D1778" s="2">
        <v>44882</v>
      </c>
    </row>
    <row r="1779" spans="1:4" x14ac:dyDescent="0.2">
      <c r="A1779" t="s">
        <v>1270</v>
      </c>
      <c r="C1779">
        <v>1.518</v>
      </c>
      <c r="D1779" s="2">
        <v>44882</v>
      </c>
    </row>
    <row r="1780" spans="1:4" x14ac:dyDescent="0.2">
      <c r="A1780" t="s">
        <v>1268</v>
      </c>
      <c r="C1780">
        <v>1.9360000000000002</v>
      </c>
      <c r="D1780" s="2">
        <v>44882</v>
      </c>
    </row>
    <row r="1781" spans="1:4" x14ac:dyDescent="0.2">
      <c r="A1781" t="s">
        <v>1301</v>
      </c>
      <c r="C1781">
        <v>18.406300000000002</v>
      </c>
      <c r="D1781" s="2">
        <v>44882</v>
      </c>
    </row>
    <row r="1782" spans="1:4" x14ac:dyDescent="0.2">
      <c r="A1782" t="s">
        <v>1300</v>
      </c>
      <c r="C1782">
        <v>3.7070000000000003</v>
      </c>
      <c r="D1782" s="2">
        <v>44882</v>
      </c>
    </row>
    <row r="1783" spans="1:4" x14ac:dyDescent="0.2">
      <c r="A1783" t="s">
        <v>1306</v>
      </c>
      <c r="C1783">
        <v>4.1360000000000001</v>
      </c>
      <c r="D1783" s="2">
        <v>44882</v>
      </c>
    </row>
    <row r="1784" spans="1:4" x14ac:dyDescent="0.2">
      <c r="A1784" t="s">
        <v>1303</v>
      </c>
      <c r="C1784">
        <v>15.185500000000001</v>
      </c>
      <c r="D1784" s="2">
        <v>44882</v>
      </c>
    </row>
    <row r="1785" spans="1:4" x14ac:dyDescent="0.2">
      <c r="A1785" t="s">
        <v>1304</v>
      </c>
      <c r="C1785">
        <v>3.8720000000000003</v>
      </c>
      <c r="D1785" s="2">
        <v>44882</v>
      </c>
    </row>
    <row r="1786" spans="1:4" x14ac:dyDescent="0.2">
      <c r="A1786" t="s">
        <v>1310</v>
      </c>
      <c r="C1786">
        <v>1.6610000000000003</v>
      </c>
      <c r="D1786" s="2">
        <v>44882</v>
      </c>
    </row>
    <row r="1787" spans="1:4" x14ac:dyDescent="0.2">
      <c r="A1787" t="s">
        <v>1309</v>
      </c>
      <c r="C1787">
        <v>1.1110000000000002</v>
      </c>
      <c r="D1787" s="2">
        <v>44882</v>
      </c>
    </row>
    <row r="1788" spans="1:4" x14ac:dyDescent="0.2">
      <c r="A1788" t="s">
        <v>1305</v>
      </c>
      <c r="C1788">
        <v>1.276</v>
      </c>
      <c r="D1788" s="2">
        <v>44882</v>
      </c>
    </row>
    <row r="1789" spans="1:4" x14ac:dyDescent="0.2">
      <c r="A1789" t="s">
        <v>1299</v>
      </c>
      <c r="C1789">
        <v>40.920000000000009</v>
      </c>
      <c r="D1789" s="2">
        <v>44882</v>
      </c>
    </row>
    <row r="1790" spans="1:4" x14ac:dyDescent="0.2">
      <c r="A1790" t="s">
        <v>1297</v>
      </c>
      <c r="C1790">
        <v>24.42</v>
      </c>
      <c r="D1790" s="2">
        <v>44882</v>
      </c>
    </row>
    <row r="1791" spans="1:4" x14ac:dyDescent="0.2">
      <c r="A1791" t="s">
        <v>1298</v>
      </c>
      <c r="C1791">
        <v>24.42</v>
      </c>
      <c r="D1791" s="2">
        <v>44882</v>
      </c>
    </row>
    <row r="1792" spans="1:4" x14ac:dyDescent="0.2">
      <c r="A1792" t="s">
        <v>1296</v>
      </c>
      <c r="C1792">
        <v>47.256000000000007</v>
      </c>
      <c r="D1792" s="2">
        <v>44882</v>
      </c>
    </row>
    <row r="1793" spans="1:4" x14ac:dyDescent="0.2">
      <c r="A1793" t="s">
        <v>1308</v>
      </c>
      <c r="C1793">
        <v>1.7050000000000003</v>
      </c>
      <c r="D1793" s="2">
        <v>44882</v>
      </c>
    </row>
    <row r="1794" spans="1:4" x14ac:dyDescent="0.2">
      <c r="A1794" t="s">
        <v>1314</v>
      </c>
      <c r="C1794">
        <v>6.0060000000000002</v>
      </c>
      <c r="D1794" s="2">
        <v>44882</v>
      </c>
    </row>
    <row r="1795" spans="1:4" x14ac:dyDescent="0.2">
      <c r="A1795" t="s">
        <v>1312</v>
      </c>
      <c r="C1795">
        <v>7.6890000000000009</v>
      </c>
      <c r="D1795" s="2">
        <v>44882</v>
      </c>
    </row>
    <row r="1796" spans="1:4" x14ac:dyDescent="0.2">
      <c r="A1796" t="s">
        <v>1313</v>
      </c>
      <c r="C1796">
        <v>9.9110000000000014</v>
      </c>
      <c r="D1796" s="2">
        <v>44882</v>
      </c>
    </row>
    <row r="1797" spans="1:4" x14ac:dyDescent="0.2">
      <c r="A1797" t="s">
        <v>1316</v>
      </c>
      <c r="C1797">
        <v>2.4640000000000004</v>
      </c>
      <c r="D1797" s="2">
        <v>44882</v>
      </c>
    </row>
    <row r="1798" spans="1:4" x14ac:dyDescent="0.2">
      <c r="A1798" t="s">
        <v>1311</v>
      </c>
      <c r="C1798">
        <v>17.182000000000002</v>
      </c>
      <c r="D1798" s="2">
        <v>44882</v>
      </c>
    </row>
    <row r="1799" spans="1:4" x14ac:dyDescent="0.2">
      <c r="A1799" t="s">
        <v>1315</v>
      </c>
      <c r="C1799">
        <v>2.5409999999999999</v>
      </c>
      <c r="D1799" s="2">
        <v>44882</v>
      </c>
    </row>
    <row r="1800" spans="1:4" x14ac:dyDescent="0.2">
      <c r="A1800" t="s">
        <v>1332</v>
      </c>
      <c r="C1800">
        <v>40.326000000000001</v>
      </c>
      <c r="D1800" s="2">
        <v>44882</v>
      </c>
    </row>
    <row r="1801" spans="1:4" x14ac:dyDescent="0.2">
      <c r="A1801" t="s">
        <v>1334</v>
      </c>
      <c r="C1801">
        <v>3.8720000000000003</v>
      </c>
      <c r="D1801" s="2">
        <v>44882</v>
      </c>
    </row>
    <row r="1802" spans="1:4" x14ac:dyDescent="0.2">
      <c r="A1802" t="s">
        <v>1333</v>
      </c>
      <c r="C1802">
        <v>12.023000000000001</v>
      </c>
      <c r="D1802" s="2">
        <v>44882</v>
      </c>
    </row>
    <row r="1803" spans="1:4" x14ac:dyDescent="0.2">
      <c r="A1803" t="s">
        <v>1338</v>
      </c>
      <c r="C1803">
        <v>19.288500000000003</v>
      </c>
      <c r="D1803" s="2">
        <v>44882</v>
      </c>
    </row>
    <row r="1804" spans="1:4" x14ac:dyDescent="0.2">
      <c r="A1804" t="s">
        <v>1336</v>
      </c>
      <c r="C1804">
        <v>25.234000000000002</v>
      </c>
      <c r="D1804" s="2">
        <v>44882</v>
      </c>
    </row>
    <row r="1805" spans="1:4" x14ac:dyDescent="0.2">
      <c r="A1805" t="s">
        <v>1337</v>
      </c>
      <c r="C1805">
        <v>50.225999999999999</v>
      </c>
      <c r="D1805" s="2">
        <v>44882</v>
      </c>
    </row>
    <row r="1806" spans="1:4" x14ac:dyDescent="0.2">
      <c r="A1806" t="s">
        <v>1340</v>
      </c>
      <c r="C1806">
        <v>18.711000000000002</v>
      </c>
      <c r="D1806" s="2">
        <v>44882</v>
      </c>
    </row>
    <row r="1807" spans="1:4" x14ac:dyDescent="0.2">
      <c r="A1807" t="s">
        <v>1339</v>
      </c>
      <c r="C1807">
        <v>9.7460000000000004</v>
      </c>
      <c r="D1807" s="2">
        <v>44882</v>
      </c>
    </row>
    <row r="1808" spans="1:4" x14ac:dyDescent="0.2">
      <c r="A1808" t="s">
        <v>121</v>
      </c>
      <c r="C1808">
        <v>0.50600000000000012</v>
      </c>
      <c r="D1808" s="2">
        <v>44882</v>
      </c>
    </row>
    <row r="1809" spans="1:4" x14ac:dyDescent="0.2">
      <c r="A1809" t="s">
        <v>123</v>
      </c>
      <c r="C1809">
        <v>1.7160000000000002</v>
      </c>
      <c r="D1809" s="2">
        <v>44882</v>
      </c>
    </row>
    <row r="1810" spans="1:4" x14ac:dyDescent="0.2">
      <c r="A1810" t="s">
        <v>124</v>
      </c>
      <c r="C1810">
        <v>2.1779999999999999</v>
      </c>
      <c r="D1810" s="2">
        <v>44882</v>
      </c>
    </row>
    <row r="1811" spans="1:4" x14ac:dyDescent="0.2">
      <c r="A1811" t="s">
        <v>125</v>
      </c>
      <c r="C1811">
        <v>1.881</v>
      </c>
      <c r="D1811" s="2">
        <v>44882</v>
      </c>
    </row>
    <row r="1812" spans="1:4" x14ac:dyDescent="0.2">
      <c r="A1812" t="s">
        <v>126</v>
      </c>
      <c r="C1812">
        <v>3.0030000000000001</v>
      </c>
      <c r="D1812" s="2">
        <v>44882</v>
      </c>
    </row>
    <row r="1813" spans="1:4" x14ac:dyDescent="0.2">
      <c r="A1813" t="s">
        <v>127</v>
      </c>
      <c r="C1813">
        <v>2.4640000000000004</v>
      </c>
      <c r="D1813" s="2">
        <v>44882</v>
      </c>
    </row>
    <row r="1814" spans="1:4" x14ac:dyDescent="0.2">
      <c r="A1814" t="s">
        <v>128</v>
      </c>
      <c r="C1814">
        <v>5.335</v>
      </c>
      <c r="D1814" s="2">
        <v>44882</v>
      </c>
    </row>
    <row r="1815" spans="1:4" x14ac:dyDescent="0.2">
      <c r="A1815" t="s">
        <v>129</v>
      </c>
      <c r="C1815">
        <v>7.3040000000000003</v>
      </c>
      <c r="D1815" s="2">
        <v>44882</v>
      </c>
    </row>
    <row r="1816" spans="1:4" x14ac:dyDescent="0.2">
      <c r="A1816" t="s">
        <v>2262</v>
      </c>
      <c r="C1816">
        <v>0.34100000000000003</v>
      </c>
      <c r="D1816" s="2">
        <v>44882</v>
      </c>
    </row>
    <row r="1817" spans="1:4" x14ac:dyDescent="0.2">
      <c r="A1817" t="s">
        <v>2263</v>
      </c>
      <c r="C1817">
        <v>0.37400000000000005</v>
      </c>
      <c r="D1817" s="2">
        <v>44882</v>
      </c>
    </row>
    <row r="1818" spans="1:4" x14ac:dyDescent="0.2">
      <c r="A1818" t="s">
        <v>2264</v>
      </c>
      <c r="C1818">
        <v>0.55000000000000004</v>
      </c>
      <c r="D1818" s="2">
        <v>44882</v>
      </c>
    </row>
    <row r="1819" spans="1:4" x14ac:dyDescent="0.2">
      <c r="A1819" t="s">
        <v>2265</v>
      </c>
      <c r="C1819">
        <v>0.50600000000000012</v>
      </c>
      <c r="D1819" s="2">
        <v>44882</v>
      </c>
    </row>
    <row r="1820" spans="1:4" x14ac:dyDescent="0.2">
      <c r="A1820" t="s">
        <v>2266</v>
      </c>
      <c r="C1820">
        <v>0.89100000000000013</v>
      </c>
      <c r="D1820" s="2">
        <v>44882</v>
      </c>
    </row>
    <row r="1821" spans="1:4" x14ac:dyDescent="0.2">
      <c r="A1821" t="s">
        <v>2267</v>
      </c>
      <c r="C1821">
        <v>1.2649999999999999</v>
      </c>
      <c r="D1821" s="2">
        <v>44882</v>
      </c>
    </row>
    <row r="1822" spans="1:4" x14ac:dyDescent="0.2">
      <c r="A1822" t="s">
        <v>2268</v>
      </c>
      <c r="C1822">
        <v>2.1890000000000001</v>
      </c>
      <c r="D1822" s="2">
        <v>44882</v>
      </c>
    </row>
    <row r="1823" spans="1:4" x14ac:dyDescent="0.2">
      <c r="A1823" t="s">
        <v>1341</v>
      </c>
      <c r="C1823">
        <v>105.49000000000001</v>
      </c>
      <c r="D1823" s="2">
        <v>44882</v>
      </c>
    </row>
    <row r="1824" spans="1:4" x14ac:dyDescent="0.2">
      <c r="A1824" t="s">
        <v>1342</v>
      </c>
      <c r="C1824">
        <v>66.759</v>
      </c>
      <c r="D1824" s="2">
        <v>44882</v>
      </c>
    </row>
    <row r="1825" spans="1:4" x14ac:dyDescent="0.2">
      <c r="A1825" t="s">
        <v>1343</v>
      </c>
      <c r="C1825">
        <v>2.9260000000000006</v>
      </c>
      <c r="D1825" s="2">
        <v>44882</v>
      </c>
    </row>
    <row r="1826" spans="1:4" x14ac:dyDescent="0.2">
      <c r="A1826" t="s">
        <v>1344</v>
      </c>
      <c r="C1826">
        <v>2.1560000000000001</v>
      </c>
      <c r="D1826" s="2">
        <v>44882</v>
      </c>
    </row>
    <row r="1827" spans="1:4" x14ac:dyDescent="0.2">
      <c r="A1827" t="s">
        <v>1345</v>
      </c>
      <c r="C1827">
        <v>8.1950000000000003</v>
      </c>
      <c r="D1827" s="2">
        <v>44882</v>
      </c>
    </row>
    <row r="1828" spans="1:4" x14ac:dyDescent="0.2">
      <c r="A1828" t="s">
        <v>1346</v>
      </c>
      <c r="C1828">
        <v>4.18</v>
      </c>
      <c r="D1828" s="2">
        <v>44882</v>
      </c>
    </row>
    <row r="1829" spans="1:4" x14ac:dyDescent="0.2">
      <c r="A1829" t="s">
        <v>1347</v>
      </c>
      <c r="C1829">
        <v>1.254</v>
      </c>
      <c r="D1829" s="2">
        <v>44882</v>
      </c>
    </row>
    <row r="1830" spans="1:4" x14ac:dyDescent="0.2">
      <c r="A1830" t="s">
        <v>1348</v>
      </c>
      <c r="C1830">
        <v>8.0410000000000004</v>
      </c>
      <c r="D1830" s="2">
        <v>44882</v>
      </c>
    </row>
    <row r="1831" spans="1:4" x14ac:dyDescent="0.2">
      <c r="A1831" t="s">
        <v>1349</v>
      </c>
      <c r="C1831">
        <v>1.5070000000000003</v>
      </c>
      <c r="D1831" s="2">
        <v>44882</v>
      </c>
    </row>
    <row r="1832" spans="1:4" x14ac:dyDescent="0.2">
      <c r="A1832" t="s">
        <v>1350</v>
      </c>
      <c r="C1832">
        <v>0.77</v>
      </c>
      <c r="D1832" s="2">
        <v>44882</v>
      </c>
    </row>
    <row r="1833" spans="1:4" x14ac:dyDescent="0.2">
      <c r="A1833" t="s">
        <v>1351</v>
      </c>
      <c r="C1833">
        <v>0.44000000000000006</v>
      </c>
      <c r="D1833" s="2">
        <v>44882</v>
      </c>
    </row>
    <row r="1834" spans="1:4" x14ac:dyDescent="0.2">
      <c r="A1834" t="s">
        <v>1352</v>
      </c>
      <c r="C1834">
        <v>0.29700000000000004</v>
      </c>
      <c r="D1834" s="2">
        <v>44882</v>
      </c>
    </row>
    <row r="1835" spans="1:4" x14ac:dyDescent="0.2">
      <c r="A1835" t="s">
        <v>1353</v>
      </c>
      <c r="C1835">
        <v>0.49500000000000005</v>
      </c>
      <c r="D1835" s="2">
        <v>44882</v>
      </c>
    </row>
    <row r="1836" spans="1:4" x14ac:dyDescent="0.2">
      <c r="A1836" t="s">
        <v>1354</v>
      </c>
      <c r="C1836">
        <v>0.20900000000000002</v>
      </c>
      <c r="D1836" s="2">
        <v>44882</v>
      </c>
    </row>
    <row r="1837" spans="1:4" x14ac:dyDescent="0.2">
      <c r="A1837" t="s">
        <v>1355</v>
      </c>
      <c r="C1837">
        <v>12.287000000000001</v>
      </c>
      <c r="D1837" s="2">
        <v>44882</v>
      </c>
    </row>
    <row r="1838" spans="1:4" x14ac:dyDescent="0.2">
      <c r="A1838" t="s">
        <v>1356</v>
      </c>
      <c r="C1838">
        <v>19.25</v>
      </c>
      <c r="D1838" s="2">
        <v>44882</v>
      </c>
    </row>
    <row r="1839" spans="1:4" x14ac:dyDescent="0.2">
      <c r="A1839" t="s">
        <v>1357</v>
      </c>
      <c r="C1839">
        <v>23.375000000000004</v>
      </c>
      <c r="D1839" s="2">
        <v>44882</v>
      </c>
    </row>
    <row r="1840" spans="1:4" x14ac:dyDescent="0.2">
      <c r="A1840" t="s">
        <v>1358</v>
      </c>
      <c r="C1840">
        <v>19.371000000000002</v>
      </c>
      <c r="D1840" s="2">
        <v>44882</v>
      </c>
    </row>
    <row r="1841" spans="1:4" x14ac:dyDescent="0.2">
      <c r="A1841" t="s">
        <v>1359</v>
      </c>
      <c r="C1841">
        <v>16.027000000000001</v>
      </c>
      <c r="D1841" s="2">
        <v>44882</v>
      </c>
    </row>
    <row r="1842" spans="1:4" x14ac:dyDescent="0.2">
      <c r="A1842" t="s">
        <v>1360</v>
      </c>
      <c r="C1842">
        <v>11.187000000000001</v>
      </c>
      <c r="D1842" s="2">
        <v>44882</v>
      </c>
    </row>
    <row r="1843" spans="1:4" x14ac:dyDescent="0.2">
      <c r="A1843" t="s">
        <v>1361</v>
      </c>
      <c r="C1843">
        <v>6.6330000000000009</v>
      </c>
      <c r="D1843" s="2">
        <v>44882</v>
      </c>
    </row>
    <row r="1844" spans="1:4" x14ac:dyDescent="0.2">
      <c r="A1844" t="s">
        <v>1362</v>
      </c>
      <c r="C1844">
        <v>3.4100000000000006</v>
      </c>
      <c r="D1844" s="2">
        <v>44882</v>
      </c>
    </row>
    <row r="1845" spans="1:4" x14ac:dyDescent="0.2">
      <c r="A1845" t="s">
        <v>1363</v>
      </c>
      <c r="C1845">
        <v>2.0350000000000001</v>
      </c>
      <c r="D1845" s="2">
        <v>44882</v>
      </c>
    </row>
    <row r="1846" spans="1:4" x14ac:dyDescent="0.2">
      <c r="A1846" t="s">
        <v>1364</v>
      </c>
      <c r="C1846">
        <v>1.353</v>
      </c>
      <c r="D1846" s="2">
        <v>44882</v>
      </c>
    </row>
    <row r="1847" spans="1:4" x14ac:dyDescent="0.2">
      <c r="A1847" t="s">
        <v>1365</v>
      </c>
      <c r="C1847">
        <v>0.78100000000000003</v>
      </c>
      <c r="D1847" s="2">
        <v>44882</v>
      </c>
    </row>
    <row r="1848" spans="1:4" x14ac:dyDescent="0.2">
      <c r="A1848" t="s">
        <v>1366</v>
      </c>
      <c r="C1848">
        <v>0.91300000000000003</v>
      </c>
      <c r="D1848" s="2">
        <v>44882</v>
      </c>
    </row>
    <row r="1849" spans="1:4" x14ac:dyDescent="0.2">
      <c r="A1849" t="s">
        <v>1367</v>
      </c>
      <c r="C1849">
        <v>19.239000000000001</v>
      </c>
      <c r="D1849" s="2">
        <v>44882</v>
      </c>
    </row>
    <row r="1850" spans="1:4" x14ac:dyDescent="0.2">
      <c r="A1850" t="s">
        <v>1368</v>
      </c>
      <c r="C1850">
        <v>12.793000000000001</v>
      </c>
      <c r="D1850" s="2">
        <v>44882</v>
      </c>
    </row>
    <row r="1851" spans="1:4" x14ac:dyDescent="0.2">
      <c r="A1851" t="s">
        <v>1369</v>
      </c>
      <c r="C1851">
        <v>8.0739999999999998</v>
      </c>
      <c r="D1851" s="2">
        <v>44882</v>
      </c>
    </row>
    <row r="1852" spans="1:4" x14ac:dyDescent="0.2">
      <c r="A1852" t="s">
        <v>1370</v>
      </c>
      <c r="C1852">
        <v>3.6190000000000002</v>
      </c>
      <c r="D1852" s="2">
        <v>44882</v>
      </c>
    </row>
    <row r="1853" spans="1:4" x14ac:dyDescent="0.2">
      <c r="A1853" t="s">
        <v>1371</v>
      </c>
      <c r="C1853">
        <v>2.6619999999999999</v>
      </c>
      <c r="D1853" s="2">
        <v>44882</v>
      </c>
    </row>
    <row r="1854" spans="1:4" x14ac:dyDescent="0.2">
      <c r="A1854" t="s">
        <v>1372</v>
      </c>
      <c r="C1854">
        <v>1.7929999999999999</v>
      </c>
      <c r="D1854" s="2">
        <v>44882</v>
      </c>
    </row>
    <row r="1855" spans="1:4" x14ac:dyDescent="0.2">
      <c r="A1855" t="s">
        <v>1373</v>
      </c>
      <c r="C1855">
        <v>1.1000000000000001</v>
      </c>
      <c r="D1855" s="2">
        <v>44882</v>
      </c>
    </row>
    <row r="1856" spans="1:4" x14ac:dyDescent="0.2">
      <c r="A1856" t="s">
        <v>1374</v>
      </c>
      <c r="C1856">
        <v>4.6970000000000001</v>
      </c>
      <c r="D1856" s="2">
        <v>44882</v>
      </c>
    </row>
    <row r="1857" spans="1:4" x14ac:dyDescent="0.2">
      <c r="A1857" t="s">
        <v>1375</v>
      </c>
      <c r="C1857">
        <v>0.9900000000000001</v>
      </c>
      <c r="D1857" s="2">
        <v>44882</v>
      </c>
    </row>
    <row r="1858" spans="1:4" x14ac:dyDescent="0.2">
      <c r="A1858" t="s">
        <v>1376</v>
      </c>
      <c r="C1858">
        <v>6.9190000000000005</v>
      </c>
      <c r="D1858" s="2">
        <v>44882</v>
      </c>
    </row>
    <row r="1859" spans="1:4" x14ac:dyDescent="0.2">
      <c r="A1859" t="s">
        <v>1377</v>
      </c>
      <c r="C1859">
        <v>3.4210000000000003</v>
      </c>
      <c r="D1859" s="2">
        <v>44882</v>
      </c>
    </row>
    <row r="1860" spans="1:4" x14ac:dyDescent="0.2">
      <c r="A1860" t="s">
        <v>1378</v>
      </c>
      <c r="C1860">
        <v>2.6730000000000005</v>
      </c>
      <c r="D1860" s="2">
        <v>44882</v>
      </c>
    </row>
    <row r="1861" spans="1:4" x14ac:dyDescent="0.2">
      <c r="A1861" t="s">
        <v>1379</v>
      </c>
      <c r="C1861">
        <v>1.6940000000000002</v>
      </c>
      <c r="D1861" s="2">
        <v>44882</v>
      </c>
    </row>
    <row r="1862" spans="1:4" x14ac:dyDescent="0.2">
      <c r="A1862" t="s">
        <v>1380</v>
      </c>
      <c r="C1862">
        <v>1.254</v>
      </c>
      <c r="D1862" s="2">
        <v>44882</v>
      </c>
    </row>
    <row r="1863" spans="1:4" x14ac:dyDescent="0.2">
      <c r="A1863" t="s">
        <v>1381</v>
      </c>
      <c r="C1863">
        <v>0.72600000000000009</v>
      </c>
      <c r="D1863" s="2">
        <v>44882</v>
      </c>
    </row>
    <row r="1864" spans="1:4" x14ac:dyDescent="0.2">
      <c r="A1864" t="s">
        <v>1382</v>
      </c>
      <c r="C1864">
        <v>0.8580000000000001</v>
      </c>
      <c r="D1864" s="2">
        <v>44882</v>
      </c>
    </row>
    <row r="1865" spans="1:4" x14ac:dyDescent="0.2">
      <c r="A1865" t="s">
        <v>1383</v>
      </c>
      <c r="C1865">
        <v>0.79200000000000004</v>
      </c>
      <c r="D1865" s="2">
        <v>44882</v>
      </c>
    </row>
    <row r="1866" spans="1:4" x14ac:dyDescent="0.2">
      <c r="A1866" t="s">
        <v>1384</v>
      </c>
      <c r="C1866">
        <v>1.7820000000000003</v>
      </c>
      <c r="D1866" s="2">
        <v>44882</v>
      </c>
    </row>
    <row r="1867" spans="1:4" x14ac:dyDescent="0.2">
      <c r="A1867" t="s">
        <v>1385</v>
      </c>
      <c r="C1867">
        <v>7.524</v>
      </c>
      <c r="D1867" s="2">
        <v>44882</v>
      </c>
    </row>
    <row r="1868" spans="1:4" x14ac:dyDescent="0.2">
      <c r="A1868" t="s">
        <v>1386</v>
      </c>
      <c r="C1868">
        <v>19.393000000000001</v>
      </c>
      <c r="D1868" s="2">
        <v>44882</v>
      </c>
    </row>
    <row r="1869" spans="1:4" x14ac:dyDescent="0.2">
      <c r="A1869" t="s">
        <v>1387</v>
      </c>
      <c r="C1869">
        <v>27.324000000000002</v>
      </c>
      <c r="D1869" s="2">
        <v>44882</v>
      </c>
    </row>
    <row r="1870" spans="1:4" x14ac:dyDescent="0.2">
      <c r="A1870" t="s">
        <v>1388</v>
      </c>
      <c r="C1870">
        <v>4.0590000000000002</v>
      </c>
      <c r="D1870" s="2">
        <v>44882</v>
      </c>
    </row>
    <row r="1871" spans="1:4" x14ac:dyDescent="0.2">
      <c r="A1871" t="s">
        <v>1389</v>
      </c>
      <c r="C1871">
        <v>4.5760000000000005</v>
      </c>
      <c r="D1871" s="2">
        <v>44882</v>
      </c>
    </row>
    <row r="1872" spans="1:4" x14ac:dyDescent="0.2">
      <c r="A1872" t="s">
        <v>1390</v>
      </c>
      <c r="C1872">
        <v>2.8160000000000003</v>
      </c>
      <c r="D1872" s="2">
        <v>44882</v>
      </c>
    </row>
    <row r="1873" spans="1:4" x14ac:dyDescent="0.2">
      <c r="A1873" t="s">
        <v>1391</v>
      </c>
      <c r="C1873">
        <v>3.6410000000000005</v>
      </c>
      <c r="D1873" s="2">
        <v>44882</v>
      </c>
    </row>
    <row r="1874" spans="1:4" x14ac:dyDescent="0.2">
      <c r="A1874" t="s">
        <v>1392</v>
      </c>
      <c r="C1874">
        <v>1.4630000000000003</v>
      </c>
      <c r="D1874" s="2">
        <v>44882</v>
      </c>
    </row>
    <row r="1875" spans="1:4" x14ac:dyDescent="0.2">
      <c r="A1875" t="s">
        <v>1393</v>
      </c>
      <c r="C1875">
        <v>1.881</v>
      </c>
      <c r="D1875" s="2">
        <v>44882</v>
      </c>
    </row>
    <row r="1876" spans="1:4" x14ac:dyDescent="0.2">
      <c r="A1876" t="s">
        <v>1394</v>
      </c>
      <c r="C1876">
        <v>2.9700000000000006</v>
      </c>
      <c r="D1876" s="2">
        <v>44882</v>
      </c>
    </row>
    <row r="1877" spans="1:4" x14ac:dyDescent="0.2">
      <c r="A1877" t="s">
        <v>1395</v>
      </c>
      <c r="C1877">
        <v>0.91300000000000003</v>
      </c>
      <c r="D1877" s="2">
        <v>44882</v>
      </c>
    </row>
    <row r="1878" spans="1:4" x14ac:dyDescent="0.2">
      <c r="A1878" t="s">
        <v>1396</v>
      </c>
      <c r="C1878">
        <v>0.75900000000000001</v>
      </c>
      <c r="D1878" s="2">
        <v>44882</v>
      </c>
    </row>
    <row r="1879" spans="1:4" x14ac:dyDescent="0.2">
      <c r="A1879" t="s">
        <v>1397</v>
      </c>
      <c r="C1879">
        <v>2.3650000000000002</v>
      </c>
      <c r="D1879" s="2">
        <v>44882</v>
      </c>
    </row>
    <row r="1880" spans="1:4" x14ac:dyDescent="0.2">
      <c r="A1880" t="s">
        <v>1398</v>
      </c>
      <c r="C1880">
        <v>0.88000000000000012</v>
      </c>
      <c r="D1880" s="2">
        <v>44882</v>
      </c>
    </row>
    <row r="1881" spans="1:4" x14ac:dyDescent="0.2">
      <c r="A1881" t="s">
        <v>1399</v>
      </c>
      <c r="C1881">
        <v>1.8480000000000001</v>
      </c>
      <c r="D1881" s="2">
        <v>44882</v>
      </c>
    </row>
    <row r="1882" spans="1:4" x14ac:dyDescent="0.2">
      <c r="A1882" t="s">
        <v>1400</v>
      </c>
      <c r="C1882">
        <v>1.573</v>
      </c>
      <c r="D1882" s="2">
        <v>44882</v>
      </c>
    </row>
    <row r="1883" spans="1:4" x14ac:dyDescent="0.2">
      <c r="A1883" t="s">
        <v>1401</v>
      </c>
      <c r="C1883">
        <v>2.387</v>
      </c>
      <c r="D1883" s="2">
        <v>44882</v>
      </c>
    </row>
    <row r="1884" spans="1:4" x14ac:dyDescent="0.2">
      <c r="A1884" t="s">
        <v>1402</v>
      </c>
      <c r="C1884">
        <v>0.627</v>
      </c>
      <c r="D1884" s="2">
        <v>44882</v>
      </c>
    </row>
    <row r="1885" spans="1:4" x14ac:dyDescent="0.2">
      <c r="A1885" t="s">
        <v>1403</v>
      </c>
      <c r="C1885">
        <v>1.7600000000000002</v>
      </c>
      <c r="D1885" s="2">
        <v>44882</v>
      </c>
    </row>
    <row r="1886" spans="1:4" x14ac:dyDescent="0.2">
      <c r="A1886" t="s">
        <v>1404</v>
      </c>
      <c r="C1886">
        <v>3.8500000000000005</v>
      </c>
      <c r="D1886" s="2">
        <v>44882</v>
      </c>
    </row>
    <row r="1887" spans="1:4" x14ac:dyDescent="0.2">
      <c r="A1887" t="s">
        <v>1405</v>
      </c>
      <c r="C1887">
        <v>15.257</v>
      </c>
      <c r="D1887" s="2">
        <v>44882</v>
      </c>
    </row>
    <row r="1888" spans="1:4" x14ac:dyDescent="0.2">
      <c r="A1888" t="s">
        <v>1406</v>
      </c>
      <c r="C1888">
        <v>3.6630000000000003</v>
      </c>
      <c r="D1888" s="2">
        <v>44882</v>
      </c>
    </row>
    <row r="1889" spans="1:4" x14ac:dyDescent="0.2">
      <c r="A1889" t="s">
        <v>1407</v>
      </c>
      <c r="C1889">
        <v>4.8070000000000004</v>
      </c>
      <c r="D1889" s="2">
        <v>44882</v>
      </c>
    </row>
    <row r="1890" spans="1:4" x14ac:dyDescent="0.2">
      <c r="A1890" t="s">
        <v>1408</v>
      </c>
      <c r="C1890">
        <v>2.6070000000000002</v>
      </c>
      <c r="D1890" s="2">
        <v>44882</v>
      </c>
    </row>
    <row r="1891" spans="1:4" x14ac:dyDescent="0.2">
      <c r="A1891" t="s">
        <v>1409</v>
      </c>
      <c r="C1891">
        <v>2.4200000000000004</v>
      </c>
      <c r="D1891" s="2">
        <v>44882</v>
      </c>
    </row>
    <row r="1892" spans="1:4" x14ac:dyDescent="0.2">
      <c r="A1892" t="s">
        <v>1410</v>
      </c>
      <c r="C1892">
        <v>1.3860000000000001</v>
      </c>
      <c r="D1892" s="2">
        <v>44882</v>
      </c>
    </row>
    <row r="1893" spans="1:4" x14ac:dyDescent="0.2">
      <c r="A1893" t="s">
        <v>1411</v>
      </c>
      <c r="C1893">
        <v>2.0790000000000002</v>
      </c>
      <c r="D1893" s="2">
        <v>44882</v>
      </c>
    </row>
    <row r="1894" spans="1:4" x14ac:dyDescent="0.2">
      <c r="A1894" t="s">
        <v>1412</v>
      </c>
      <c r="C1894">
        <v>1.3860000000000001</v>
      </c>
      <c r="D1894" s="2">
        <v>44882</v>
      </c>
    </row>
    <row r="1895" spans="1:4" x14ac:dyDescent="0.2">
      <c r="A1895" t="s">
        <v>1413</v>
      </c>
      <c r="C1895">
        <v>1.518</v>
      </c>
      <c r="D1895" s="2">
        <v>44882</v>
      </c>
    </row>
    <row r="1896" spans="1:4" x14ac:dyDescent="0.2">
      <c r="A1896" t="s">
        <v>1414</v>
      </c>
      <c r="C1896">
        <v>0.55000000000000004</v>
      </c>
      <c r="D1896" s="2">
        <v>44882</v>
      </c>
    </row>
    <row r="1897" spans="1:4" x14ac:dyDescent="0.2">
      <c r="A1897" t="s">
        <v>1415</v>
      </c>
      <c r="C1897">
        <v>1.4300000000000002</v>
      </c>
      <c r="D1897" s="2">
        <v>44882</v>
      </c>
    </row>
    <row r="1898" spans="1:4" x14ac:dyDescent="0.2">
      <c r="A1898" t="s">
        <v>1416</v>
      </c>
      <c r="C1898">
        <v>0.9900000000000001</v>
      </c>
      <c r="D1898" s="2">
        <v>44882</v>
      </c>
    </row>
    <row r="1899" spans="1:4" x14ac:dyDescent="0.2">
      <c r="A1899" t="s">
        <v>1417</v>
      </c>
      <c r="C1899">
        <v>7.0400000000000009</v>
      </c>
      <c r="D1899" s="2">
        <v>44882</v>
      </c>
    </row>
    <row r="1900" spans="1:4" x14ac:dyDescent="0.2">
      <c r="A1900" t="s">
        <v>1418</v>
      </c>
      <c r="C1900">
        <v>13.376000000000001</v>
      </c>
      <c r="D1900" s="2">
        <v>44882</v>
      </c>
    </row>
    <row r="1901" spans="1:4" x14ac:dyDescent="0.2">
      <c r="A1901" t="s">
        <v>1419</v>
      </c>
      <c r="C1901">
        <v>24.332000000000004</v>
      </c>
      <c r="D1901" s="2">
        <v>44882</v>
      </c>
    </row>
    <row r="1902" spans="1:4" x14ac:dyDescent="0.2">
      <c r="A1902" t="s">
        <v>1420</v>
      </c>
      <c r="C1902">
        <v>2.09</v>
      </c>
      <c r="D1902" s="2">
        <v>44882</v>
      </c>
    </row>
    <row r="1903" spans="1:4" x14ac:dyDescent="0.2">
      <c r="A1903" t="s">
        <v>1421</v>
      </c>
      <c r="C1903">
        <v>5.0599999999999996</v>
      </c>
      <c r="D1903" s="2">
        <v>44882</v>
      </c>
    </row>
    <row r="1904" spans="1:4" x14ac:dyDescent="0.2">
      <c r="A1904" t="s">
        <v>1422</v>
      </c>
      <c r="C1904">
        <v>8.2940000000000005</v>
      </c>
      <c r="D1904" s="2">
        <v>44882</v>
      </c>
    </row>
    <row r="1905" spans="1:4" x14ac:dyDescent="0.2">
      <c r="A1905" t="s">
        <v>1423</v>
      </c>
      <c r="C1905">
        <v>1.9360000000000002</v>
      </c>
      <c r="D1905" s="2">
        <v>44882</v>
      </c>
    </row>
    <row r="1906" spans="1:4" x14ac:dyDescent="0.2">
      <c r="A1906" t="s">
        <v>1424</v>
      </c>
      <c r="C1906">
        <v>3.2010000000000005</v>
      </c>
      <c r="D1906" s="2">
        <v>44882</v>
      </c>
    </row>
    <row r="1907" spans="1:4" x14ac:dyDescent="0.2">
      <c r="A1907" t="s">
        <v>1425</v>
      </c>
      <c r="C1907">
        <v>0.94600000000000006</v>
      </c>
      <c r="D1907" s="2">
        <v>44882</v>
      </c>
    </row>
    <row r="1908" spans="1:4" x14ac:dyDescent="0.2">
      <c r="A1908" t="s">
        <v>1426</v>
      </c>
      <c r="C1908">
        <v>1.639</v>
      </c>
      <c r="D1908" s="2">
        <v>44882</v>
      </c>
    </row>
    <row r="1909" spans="1:4" x14ac:dyDescent="0.2">
      <c r="A1909" t="s">
        <v>1427</v>
      </c>
      <c r="C1909">
        <v>7.2380000000000004</v>
      </c>
      <c r="D1909" s="2">
        <v>44882</v>
      </c>
    </row>
    <row r="1910" spans="1:4" x14ac:dyDescent="0.2">
      <c r="A1910" t="s">
        <v>1428</v>
      </c>
      <c r="C1910">
        <v>0.89100000000000013</v>
      </c>
      <c r="D1910" s="2">
        <v>44882</v>
      </c>
    </row>
    <row r="1911" spans="1:4" x14ac:dyDescent="0.2">
      <c r="A1911" t="s">
        <v>1429</v>
      </c>
      <c r="C1911">
        <v>0.92400000000000004</v>
      </c>
      <c r="D1911" s="2">
        <v>44882</v>
      </c>
    </row>
    <row r="1912" spans="1:4" x14ac:dyDescent="0.2">
      <c r="A1912" t="s">
        <v>1430</v>
      </c>
      <c r="C1912">
        <v>6.6990000000000007</v>
      </c>
      <c r="D1912" s="2">
        <v>44882</v>
      </c>
    </row>
    <row r="1913" spans="1:4" x14ac:dyDescent="0.2">
      <c r="A1913" t="s">
        <v>1431</v>
      </c>
      <c r="C1913">
        <v>0.33</v>
      </c>
      <c r="D1913" s="2">
        <v>44882</v>
      </c>
    </row>
    <row r="1914" spans="1:4" x14ac:dyDescent="0.2">
      <c r="A1914" t="s">
        <v>1432</v>
      </c>
      <c r="C1914">
        <v>1.8480000000000001</v>
      </c>
      <c r="D1914" s="2">
        <v>44882</v>
      </c>
    </row>
    <row r="1915" spans="1:4" x14ac:dyDescent="0.2">
      <c r="A1915" t="s">
        <v>1433</v>
      </c>
      <c r="C1915">
        <v>1.0449999999999999</v>
      </c>
      <c r="D1915" s="2">
        <v>44882</v>
      </c>
    </row>
    <row r="1916" spans="1:4" x14ac:dyDescent="0.2">
      <c r="A1916" t="s">
        <v>1434</v>
      </c>
      <c r="C1916">
        <v>0.84700000000000009</v>
      </c>
      <c r="D1916" s="2">
        <v>44882</v>
      </c>
    </row>
    <row r="1917" spans="1:4" x14ac:dyDescent="0.2">
      <c r="A1917" t="s">
        <v>1435</v>
      </c>
      <c r="C1917">
        <v>0.33</v>
      </c>
      <c r="D1917" s="2">
        <v>44882</v>
      </c>
    </row>
    <row r="1918" spans="1:4" x14ac:dyDescent="0.2">
      <c r="A1918" t="s">
        <v>1436</v>
      </c>
      <c r="C1918">
        <v>20.79</v>
      </c>
      <c r="D1918" s="2">
        <v>44882</v>
      </c>
    </row>
    <row r="1919" spans="1:4" x14ac:dyDescent="0.2">
      <c r="A1919" t="s">
        <v>1437</v>
      </c>
      <c r="C1919">
        <v>14.399000000000001</v>
      </c>
      <c r="D1919" s="2">
        <v>44882</v>
      </c>
    </row>
    <row r="1920" spans="1:4" x14ac:dyDescent="0.2">
      <c r="A1920" t="s">
        <v>1438</v>
      </c>
      <c r="C1920">
        <v>9.4489999999999998</v>
      </c>
      <c r="D1920" s="2">
        <v>44882</v>
      </c>
    </row>
    <row r="1921" spans="1:4" x14ac:dyDescent="0.2">
      <c r="A1921" t="s">
        <v>1439</v>
      </c>
      <c r="C1921">
        <v>4.5650000000000004</v>
      </c>
      <c r="D1921" s="2">
        <v>44882</v>
      </c>
    </row>
    <row r="1922" spans="1:4" x14ac:dyDescent="0.2">
      <c r="A1922" t="s">
        <v>1440</v>
      </c>
      <c r="C1922">
        <v>3.5750000000000002</v>
      </c>
      <c r="D1922" s="2">
        <v>44882</v>
      </c>
    </row>
    <row r="1923" spans="1:4" x14ac:dyDescent="0.2">
      <c r="A1923" t="s">
        <v>1441</v>
      </c>
      <c r="C1923">
        <v>2.0790000000000002</v>
      </c>
      <c r="D1923" s="2">
        <v>44882</v>
      </c>
    </row>
    <row r="1924" spans="1:4" x14ac:dyDescent="0.2">
      <c r="A1924" t="s">
        <v>1442</v>
      </c>
      <c r="C1924">
        <v>1.7820000000000003</v>
      </c>
      <c r="D1924" s="2">
        <v>44882</v>
      </c>
    </row>
    <row r="1925" spans="1:4" x14ac:dyDescent="0.2">
      <c r="A1925" t="s">
        <v>1443</v>
      </c>
      <c r="C1925">
        <v>82.390000000000015</v>
      </c>
      <c r="D1925" s="2">
        <v>44882</v>
      </c>
    </row>
    <row r="1926" spans="1:4" x14ac:dyDescent="0.2">
      <c r="A1926" t="s">
        <v>1444</v>
      </c>
      <c r="C1926">
        <v>52.899000000000008</v>
      </c>
      <c r="D1926" s="2">
        <v>44882</v>
      </c>
    </row>
    <row r="1927" spans="1:4" x14ac:dyDescent="0.2">
      <c r="A1927" t="s">
        <v>1445</v>
      </c>
      <c r="C1927">
        <v>44.858000000000004</v>
      </c>
      <c r="D1927" s="2">
        <v>44882</v>
      </c>
    </row>
    <row r="1928" spans="1:4" x14ac:dyDescent="0.2">
      <c r="A1928" t="s">
        <v>1446</v>
      </c>
      <c r="C1928">
        <v>24.914999999999999</v>
      </c>
      <c r="D1928" s="2">
        <v>44882</v>
      </c>
    </row>
    <row r="1929" spans="1:4" x14ac:dyDescent="0.2">
      <c r="A1929" t="s">
        <v>1447</v>
      </c>
      <c r="C1929">
        <v>18.172000000000001</v>
      </c>
      <c r="D1929" s="2">
        <v>44882</v>
      </c>
    </row>
    <row r="1930" spans="1:4" x14ac:dyDescent="0.2">
      <c r="A1930" t="s">
        <v>1448</v>
      </c>
      <c r="C1930">
        <v>7.8540000000000001</v>
      </c>
      <c r="D1930" s="2">
        <v>44882</v>
      </c>
    </row>
    <row r="1931" spans="1:4" x14ac:dyDescent="0.2">
      <c r="A1931" t="s">
        <v>1449</v>
      </c>
      <c r="C1931">
        <v>11.858000000000001</v>
      </c>
      <c r="D1931" s="2">
        <v>44882</v>
      </c>
    </row>
    <row r="1932" spans="1:4" x14ac:dyDescent="0.2">
      <c r="A1932" t="s">
        <v>1450</v>
      </c>
      <c r="C1932">
        <v>72.149000000000015</v>
      </c>
      <c r="D1932" s="2">
        <v>44882</v>
      </c>
    </row>
    <row r="1933" spans="1:4" x14ac:dyDescent="0.2">
      <c r="A1933" t="s">
        <v>1451</v>
      </c>
      <c r="C1933">
        <v>45.628</v>
      </c>
      <c r="D1933" s="2">
        <v>44882</v>
      </c>
    </row>
    <row r="1934" spans="1:4" x14ac:dyDescent="0.2">
      <c r="A1934" t="s">
        <v>1452</v>
      </c>
      <c r="C1934">
        <v>30.030000000000005</v>
      </c>
      <c r="D1934" s="2">
        <v>44882</v>
      </c>
    </row>
    <row r="1935" spans="1:4" x14ac:dyDescent="0.2">
      <c r="A1935" t="s">
        <v>1453</v>
      </c>
      <c r="C1935">
        <v>20.02</v>
      </c>
      <c r="D1935" s="2">
        <v>44882</v>
      </c>
    </row>
    <row r="1936" spans="1:4" x14ac:dyDescent="0.2">
      <c r="A1936" t="s">
        <v>1454</v>
      </c>
      <c r="C1936">
        <v>13.398000000000001</v>
      </c>
      <c r="D1936" s="2">
        <v>44882</v>
      </c>
    </row>
    <row r="1937" spans="1:4" x14ac:dyDescent="0.2">
      <c r="A1937" t="s">
        <v>1455</v>
      </c>
      <c r="C1937">
        <v>9.9</v>
      </c>
      <c r="D1937" s="2">
        <v>44882</v>
      </c>
    </row>
    <row r="1938" spans="1:4" x14ac:dyDescent="0.2">
      <c r="A1938" t="s">
        <v>1456</v>
      </c>
      <c r="C1938">
        <v>8.9320000000000004</v>
      </c>
      <c r="D1938" s="2">
        <v>44882</v>
      </c>
    </row>
    <row r="1939" spans="1:4" x14ac:dyDescent="0.2">
      <c r="A1939" t="s">
        <v>1457</v>
      </c>
      <c r="C1939">
        <v>39.808999999999997</v>
      </c>
      <c r="D1939" s="2">
        <v>44882</v>
      </c>
    </row>
    <row r="1940" spans="1:4" x14ac:dyDescent="0.2">
      <c r="A1940" t="s">
        <v>1458</v>
      </c>
      <c r="C1940">
        <v>33.880000000000003</v>
      </c>
      <c r="D1940" s="2">
        <v>44882</v>
      </c>
    </row>
    <row r="1941" spans="1:4" x14ac:dyDescent="0.2">
      <c r="A1941" t="s">
        <v>1459</v>
      </c>
      <c r="C1941">
        <v>28.182000000000002</v>
      </c>
      <c r="D1941" s="2">
        <v>44882</v>
      </c>
    </row>
    <row r="1942" spans="1:4" x14ac:dyDescent="0.2">
      <c r="A1942" t="s">
        <v>1460</v>
      </c>
      <c r="C1942">
        <v>16.632000000000001</v>
      </c>
      <c r="D1942" s="2">
        <v>44882</v>
      </c>
    </row>
    <row r="1943" spans="1:4" x14ac:dyDescent="0.2">
      <c r="A1943" t="s">
        <v>1461</v>
      </c>
      <c r="C1943">
        <v>8.3160000000000007</v>
      </c>
      <c r="D1943" s="2">
        <v>44882</v>
      </c>
    </row>
    <row r="1944" spans="1:4" x14ac:dyDescent="0.2">
      <c r="A1944" t="s">
        <v>1462</v>
      </c>
      <c r="C1944">
        <v>16.940000000000001</v>
      </c>
      <c r="D1944" s="2">
        <v>44882</v>
      </c>
    </row>
    <row r="1945" spans="1:4" x14ac:dyDescent="0.2">
      <c r="A1945" t="s">
        <v>2495</v>
      </c>
      <c r="C1945">
        <v>57.857800000000005</v>
      </c>
      <c r="D1945" s="2">
        <v>44882</v>
      </c>
    </row>
    <row r="1946" spans="1:4" x14ac:dyDescent="0.2">
      <c r="A1946" t="s">
        <v>2902</v>
      </c>
      <c r="C1946">
        <v>90.682900000000004</v>
      </c>
      <c r="D1946" s="2">
        <v>44882</v>
      </c>
    </row>
    <row r="1947" spans="1:4" x14ac:dyDescent="0.2">
      <c r="A1947" t="s">
        <v>2903</v>
      </c>
      <c r="C1947">
        <v>108.82410000000002</v>
      </c>
      <c r="D1947" s="2">
        <v>44882</v>
      </c>
    </row>
    <row r="1948" spans="1:4" x14ac:dyDescent="0.2">
      <c r="A1948" t="s">
        <v>2904</v>
      </c>
      <c r="C1948">
        <v>145.09110000000001</v>
      </c>
      <c r="D1948" s="2">
        <v>44882</v>
      </c>
    </row>
    <row r="1949" spans="1:4" x14ac:dyDescent="0.2">
      <c r="A1949" t="s">
        <v>1463</v>
      </c>
      <c r="C1949">
        <v>1.0846</v>
      </c>
      <c r="D1949" s="2">
        <v>44882</v>
      </c>
    </row>
    <row r="1950" spans="1:4" x14ac:dyDescent="0.2">
      <c r="A1950" t="s">
        <v>1464</v>
      </c>
      <c r="C1950">
        <v>1.5631000000000002</v>
      </c>
      <c r="D1950" s="2">
        <v>44882</v>
      </c>
    </row>
    <row r="1951" spans="1:4" x14ac:dyDescent="0.2">
      <c r="A1951" t="s">
        <v>1465</v>
      </c>
      <c r="C1951">
        <v>1.7710000000000004</v>
      </c>
      <c r="D1951" s="2">
        <v>44882</v>
      </c>
    </row>
    <row r="1952" spans="1:4" x14ac:dyDescent="0.2">
      <c r="A1952" t="s">
        <v>1466</v>
      </c>
      <c r="C1952">
        <v>4.5463000000000005</v>
      </c>
      <c r="D1952" s="2">
        <v>44882</v>
      </c>
    </row>
    <row r="1953" spans="1:4" x14ac:dyDescent="0.2">
      <c r="A1953" t="s">
        <v>1467</v>
      </c>
      <c r="C1953">
        <v>6.460300000000001</v>
      </c>
      <c r="D1953" s="2">
        <v>44882</v>
      </c>
    </row>
    <row r="1954" spans="1:4" x14ac:dyDescent="0.2">
      <c r="A1954" t="s">
        <v>2449</v>
      </c>
      <c r="C1954">
        <v>4.5430000000000001</v>
      </c>
      <c r="D1954" s="2">
        <v>44882</v>
      </c>
    </row>
    <row r="1955" spans="1:4" x14ac:dyDescent="0.2">
      <c r="A1955" t="s">
        <v>1468</v>
      </c>
      <c r="C1955">
        <v>8.9540000000000006</v>
      </c>
      <c r="D1955" s="2">
        <v>44882</v>
      </c>
    </row>
    <row r="1956" spans="1:4" x14ac:dyDescent="0.2">
      <c r="A1956" t="s">
        <v>1469</v>
      </c>
      <c r="C1956">
        <v>7.7198000000000002</v>
      </c>
      <c r="D1956" s="2">
        <v>44882</v>
      </c>
    </row>
    <row r="1957" spans="1:4" x14ac:dyDescent="0.2">
      <c r="A1957" t="s">
        <v>1470</v>
      </c>
      <c r="C1957">
        <v>18.6296</v>
      </c>
      <c r="D1957" s="2">
        <v>44882</v>
      </c>
    </row>
    <row r="1958" spans="1:4" x14ac:dyDescent="0.2">
      <c r="A1958" t="s">
        <v>1471</v>
      </c>
      <c r="C1958">
        <v>21.325700000000001</v>
      </c>
      <c r="D1958" s="2">
        <v>44882</v>
      </c>
    </row>
    <row r="1959" spans="1:4" x14ac:dyDescent="0.2">
      <c r="A1959" t="s">
        <v>1472</v>
      </c>
      <c r="C1959">
        <v>28.454800000000002</v>
      </c>
      <c r="D1959" s="2">
        <v>44882</v>
      </c>
    </row>
    <row r="1960" spans="1:4" x14ac:dyDescent="0.2">
      <c r="A1960" t="s">
        <v>1473</v>
      </c>
      <c r="C1960">
        <v>31.834000000000003</v>
      </c>
      <c r="D1960" s="2">
        <v>44882</v>
      </c>
    </row>
    <row r="1961" spans="1:4" x14ac:dyDescent="0.2">
      <c r="A1961" t="s">
        <v>2450</v>
      </c>
      <c r="C1961">
        <v>32.0595</v>
      </c>
      <c r="D1961" s="2">
        <v>44882</v>
      </c>
    </row>
    <row r="1962" spans="1:4" x14ac:dyDescent="0.2">
      <c r="A1962" t="s">
        <v>2451</v>
      </c>
      <c r="C1962">
        <v>16.0457</v>
      </c>
      <c r="D1962" s="2">
        <v>44882</v>
      </c>
    </row>
    <row r="1963" spans="1:4" x14ac:dyDescent="0.2">
      <c r="A1963" t="s">
        <v>1876</v>
      </c>
      <c r="C1963">
        <v>26.092000000000002</v>
      </c>
      <c r="D1963" s="2">
        <v>44882</v>
      </c>
    </row>
    <row r="1964" spans="1:4" x14ac:dyDescent="0.2">
      <c r="A1964" t="s">
        <v>1474</v>
      </c>
      <c r="C1964">
        <v>20.432500000000001</v>
      </c>
      <c r="D1964" s="2">
        <v>44882</v>
      </c>
    </row>
    <row r="1965" spans="1:4" x14ac:dyDescent="0.2">
      <c r="A1965" t="s">
        <v>1475</v>
      </c>
      <c r="C1965">
        <v>15.466000000000001</v>
      </c>
      <c r="D1965" s="2">
        <v>44882</v>
      </c>
    </row>
    <row r="1966" spans="1:4" x14ac:dyDescent="0.2">
      <c r="A1966" t="s">
        <v>1476</v>
      </c>
      <c r="C1966">
        <v>29.9068</v>
      </c>
      <c r="D1966" s="2">
        <v>44882</v>
      </c>
    </row>
    <row r="1967" spans="1:4" x14ac:dyDescent="0.2">
      <c r="A1967" t="s">
        <v>1477</v>
      </c>
      <c r="C1967">
        <v>35.983200000000004</v>
      </c>
      <c r="D1967" s="2">
        <v>44882</v>
      </c>
    </row>
    <row r="1968" spans="1:4" x14ac:dyDescent="0.2">
      <c r="A1968" t="s">
        <v>1478</v>
      </c>
      <c r="C1968">
        <v>87.725000000000009</v>
      </c>
      <c r="D1968" s="2">
        <v>44882</v>
      </c>
    </row>
    <row r="1969" spans="1:4" x14ac:dyDescent="0.2">
      <c r="A1969" t="s">
        <v>1479</v>
      </c>
      <c r="C1969">
        <v>6.9300000000000006</v>
      </c>
      <c r="D1969" s="2">
        <v>44882</v>
      </c>
    </row>
    <row r="1970" spans="1:4" x14ac:dyDescent="0.2">
      <c r="A1970" t="s">
        <v>1480</v>
      </c>
      <c r="C1970">
        <v>6.5714000000000006</v>
      </c>
      <c r="D1970" s="2">
        <v>44882</v>
      </c>
    </row>
    <row r="1971" spans="1:4" x14ac:dyDescent="0.2">
      <c r="A1971" t="s">
        <v>1481</v>
      </c>
      <c r="C1971">
        <v>8.9166000000000007</v>
      </c>
      <c r="D1971" s="2">
        <v>44882</v>
      </c>
    </row>
    <row r="1972" spans="1:4" x14ac:dyDescent="0.2">
      <c r="A1972" t="s">
        <v>1482</v>
      </c>
      <c r="C1972">
        <v>9.8890000000000011</v>
      </c>
      <c r="D1972" s="2">
        <v>44882</v>
      </c>
    </row>
    <row r="1973" spans="1:4" x14ac:dyDescent="0.2">
      <c r="A1973" t="s">
        <v>1483</v>
      </c>
      <c r="C1973">
        <v>24.3078</v>
      </c>
      <c r="D1973" s="2">
        <v>44882</v>
      </c>
    </row>
    <row r="1974" spans="1:4" x14ac:dyDescent="0.2">
      <c r="A1974" t="s">
        <v>1484</v>
      </c>
      <c r="C1974">
        <v>23.542200000000005</v>
      </c>
      <c r="D1974" s="2">
        <v>44882</v>
      </c>
    </row>
    <row r="1975" spans="1:4" x14ac:dyDescent="0.2">
      <c r="A1975" t="s">
        <v>2452</v>
      </c>
      <c r="C1975">
        <v>5.61</v>
      </c>
      <c r="D1975" s="2">
        <v>44882</v>
      </c>
    </row>
    <row r="1976" spans="1:4" x14ac:dyDescent="0.2">
      <c r="A1976" t="s">
        <v>1485</v>
      </c>
      <c r="C1976">
        <v>10.340000000000002</v>
      </c>
      <c r="D1976" s="2">
        <v>44882</v>
      </c>
    </row>
    <row r="1977" spans="1:4" x14ac:dyDescent="0.2">
      <c r="A1977" t="s">
        <v>1486</v>
      </c>
      <c r="C1977">
        <v>4.8972000000000007</v>
      </c>
      <c r="D1977" s="2">
        <v>44882</v>
      </c>
    </row>
    <row r="1978" spans="1:4" x14ac:dyDescent="0.2">
      <c r="A1978" t="s">
        <v>1487</v>
      </c>
      <c r="C1978">
        <v>17.051100000000002</v>
      </c>
      <c r="D1978" s="2">
        <v>44882</v>
      </c>
    </row>
    <row r="1979" spans="1:4" x14ac:dyDescent="0.2">
      <c r="A1979" t="s">
        <v>1488</v>
      </c>
      <c r="C1979">
        <v>12.106600000000002</v>
      </c>
      <c r="D1979" s="2">
        <v>44882</v>
      </c>
    </row>
    <row r="1980" spans="1:4" x14ac:dyDescent="0.2">
      <c r="A1980" t="s">
        <v>2453</v>
      </c>
      <c r="C1980">
        <v>3.3880000000000003</v>
      </c>
      <c r="D1980" s="2">
        <v>44882</v>
      </c>
    </row>
    <row r="1981" spans="1:4" x14ac:dyDescent="0.2">
      <c r="A1981" t="s">
        <v>1489</v>
      </c>
      <c r="C1981">
        <v>3.927</v>
      </c>
      <c r="D1981" s="2">
        <v>44882</v>
      </c>
    </row>
    <row r="1982" spans="1:4" x14ac:dyDescent="0.2">
      <c r="A1982" t="s">
        <v>1490</v>
      </c>
      <c r="C1982">
        <v>5.6650000000000009</v>
      </c>
      <c r="D1982" s="2">
        <v>44882</v>
      </c>
    </row>
    <row r="1983" spans="1:4" x14ac:dyDescent="0.2">
      <c r="A1983" t="s">
        <v>1491</v>
      </c>
      <c r="C1983">
        <v>4.5463000000000005</v>
      </c>
      <c r="D1983" s="2">
        <v>44882</v>
      </c>
    </row>
    <row r="1984" spans="1:4" x14ac:dyDescent="0.2">
      <c r="A1984" t="s">
        <v>1492</v>
      </c>
      <c r="C1984">
        <v>7.6725000000000003</v>
      </c>
      <c r="D1984" s="2">
        <v>44882</v>
      </c>
    </row>
    <row r="1985" spans="1:4" x14ac:dyDescent="0.2">
      <c r="A1985" t="s">
        <v>1493</v>
      </c>
      <c r="C1985">
        <v>12.568600000000002</v>
      </c>
      <c r="D1985" s="2">
        <v>44882</v>
      </c>
    </row>
    <row r="1986" spans="1:4" x14ac:dyDescent="0.2">
      <c r="A1986" t="s">
        <v>1494</v>
      </c>
      <c r="C1986">
        <v>7.2259000000000002</v>
      </c>
      <c r="D1986" s="2">
        <v>44882</v>
      </c>
    </row>
    <row r="1987" spans="1:4" x14ac:dyDescent="0.2">
      <c r="A1987" t="s">
        <v>1495</v>
      </c>
      <c r="C1987">
        <v>10.718400000000001</v>
      </c>
      <c r="D1987" s="2">
        <v>44882</v>
      </c>
    </row>
    <row r="1988" spans="1:4" x14ac:dyDescent="0.2">
      <c r="A1988" t="s">
        <v>2454</v>
      </c>
      <c r="C1988">
        <v>6.0480200000000011</v>
      </c>
      <c r="D1988" s="2">
        <v>44882</v>
      </c>
    </row>
    <row r="1989" spans="1:4" x14ac:dyDescent="0.2">
      <c r="A1989" t="s">
        <v>1496</v>
      </c>
      <c r="C1989">
        <v>6.556</v>
      </c>
      <c r="D1989" s="2">
        <v>44882</v>
      </c>
    </row>
    <row r="1990" spans="1:4" x14ac:dyDescent="0.2">
      <c r="A1990" t="s">
        <v>1497</v>
      </c>
      <c r="C1990">
        <v>21.208000000000002</v>
      </c>
      <c r="D1990" s="2">
        <v>44882</v>
      </c>
    </row>
    <row r="1991" spans="1:4" x14ac:dyDescent="0.2">
      <c r="A1991" t="s">
        <v>1498</v>
      </c>
      <c r="C1991">
        <v>10.879000000000001</v>
      </c>
      <c r="D1991" s="2">
        <v>44882</v>
      </c>
    </row>
    <row r="1992" spans="1:4" x14ac:dyDescent="0.2">
      <c r="A1992" t="s">
        <v>1499</v>
      </c>
      <c r="C1992">
        <v>25.281300000000002</v>
      </c>
      <c r="D1992" s="2">
        <v>44882</v>
      </c>
    </row>
    <row r="1993" spans="1:4" x14ac:dyDescent="0.2">
      <c r="A1993" t="s">
        <v>1500</v>
      </c>
      <c r="C1993">
        <v>33.064900000000002</v>
      </c>
      <c r="D1993" s="2">
        <v>44882</v>
      </c>
    </row>
    <row r="1994" spans="1:4" x14ac:dyDescent="0.2">
      <c r="A1994" t="s">
        <v>1501</v>
      </c>
      <c r="C1994">
        <v>22.715</v>
      </c>
      <c r="D1994" s="2">
        <v>44882</v>
      </c>
    </row>
    <row r="1995" spans="1:4" x14ac:dyDescent="0.2">
      <c r="A1995" t="s">
        <v>2455</v>
      </c>
      <c r="C1995">
        <v>66.862400000000008</v>
      </c>
      <c r="D1995" s="2">
        <v>44882</v>
      </c>
    </row>
    <row r="1996" spans="1:4" x14ac:dyDescent="0.2">
      <c r="A1996" t="s">
        <v>2456</v>
      </c>
      <c r="C1996">
        <v>97.263100000000009</v>
      </c>
      <c r="D1996" s="2">
        <v>44882</v>
      </c>
    </row>
    <row r="1997" spans="1:4" x14ac:dyDescent="0.2">
      <c r="A1997" t="s">
        <v>1514</v>
      </c>
      <c r="C1997">
        <v>3.3109999999999999</v>
      </c>
      <c r="D1997" s="2">
        <v>44882</v>
      </c>
    </row>
    <row r="1998" spans="1:4" x14ac:dyDescent="0.2">
      <c r="A1998" t="s">
        <v>2457</v>
      </c>
      <c r="C1998">
        <v>3.3109999999999999</v>
      </c>
      <c r="D1998" s="2">
        <v>44882</v>
      </c>
    </row>
    <row r="1999" spans="1:4" x14ac:dyDescent="0.2">
      <c r="A1999" t="s">
        <v>1513</v>
      </c>
      <c r="C1999">
        <v>8.6900000000000013</v>
      </c>
      <c r="D1999" s="2">
        <v>44882</v>
      </c>
    </row>
    <row r="2000" spans="1:4" x14ac:dyDescent="0.2">
      <c r="A2000" t="s">
        <v>1512</v>
      </c>
      <c r="C2000">
        <v>2.0130000000000003</v>
      </c>
      <c r="D2000" s="2">
        <v>44882</v>
      </c>
    </row>
    <row r="2001" spans="1:4" x14ac:dyDescent="0.2">
      <c r="A2001" t="s">
        <v>1511</v>
      </c>
      <c r="C2001">
        <v>3.6630000000000003</v>
      </c>
      <c r="D2001" s="2">
        <v>44882</v>
      </c>
    </row>
    <row r="2002" spans="1:4" x14ac:dyDescent="0.2">
      <c r="A2002" t="s">
        <v>1510</v>
      </c>
      <c r="C2002">
        <v>2.2220000000000004</v>
      </c>
      <c r="D2002" s="2">
        <v>44882</v>
      </c>
    </row>
    <row r="2003" spans="1:4" x14ac:dyDescent="0.2">
      <c r="A2003" t="s">
        <v>1509</v>
      </c>
      <c r="C2003">
        <v>4.2460000000000004</v>
      </c>
      <c r="D2003" s="2">
        <v>44882</v>
      </c>
    </row>
    <row r="2004" spans="1:4" x14ac:dyDescent="0.2">
      <c r="A2004" t="s">
        <v>1508</v>
      </c>
      <c r="C2004">
        <v>4.1470000000000002</v>
      </c>
      <c r="D2004" s="2">
        <v>44882</v>
      </c>
    </row>
    <row r="2005" spans="1:4" x14ac:dyDescent="0.2">
      <c r="A2005" t="s">
        <v>1507</v>
      </c>
      <c r="C2005">
        <v>8.8000000000000007</v>
      </c>
      <c r="D2005" s="2">
        <v>44882</v>
      </c>
    </row>
    <row r="2006" spans="1:4" x14ac:dyDescent="0.2">
      <c r="A2006" t="s">
        <v>1506</v>
      </c>
      <c r="C2006">
        <v>5.2030000000000012</v>
      </c>
      <c r="D2006" s="2">
        <v>44882</v>
      </c>
    </row>
    <row r="2007" spans="1:4" x14ac:dyDescent="0.2">
      <c r="A2007" t="s">
        <v>1505</v>
      </c>
      <c r="C2007">
        <v>14.377000000000001</v>
      </c>
      <c r="D2007" s="2">
        <v>44882</v>
      </c>
    </row>
    <row r="2008" spans="1:4" x14ac:dyDescent="0.2">
      <c r="A2008" t="s">
        <v>1504</v>
      </c>
      <c r="C2008">
        <v>19.349</v>
      </c>
      <c r="D2008" s="2">
        <v>44882</v>
      </c>
    </row>
    <row r="2009" spans="1:4" x14ac:dyDescent="0.2">
      <c r="A2009" t="s">
        <v>1503</v>
      </c>
      <c r="C2009">
        <v>8.4920000000000009</v>
      </c>
      <c r="D2009" s="2">
        <v>44882</v>
      </c>
    </row>
    <row r="2010" spans="1:4" x14ac:dyDescent="0.2">
      <c r="A2010" t="s">
        <v>1502</v>
      </c>
      <c r="C2010">
        <v>8.2280000000000015</v>
      </c>
      <c r="D2010" s="2">
        <v>44882</v>
      </c>
    </row>
    <row r="2011" spans="1:4" x14ac:dyDescent="0.2">
      <c r="A2011" t="s">
        <v>2458</v>
      </c>
      <c r="C2011">
        <v>13.728000000000002</v>
      </c>
      <c r="D2011" s="2">
        <v>44882</v>
      </c>
    </row>
    <row r="2012" spans="1:4" x14ac:dyDescent="0.2">
      <c r="A2012" t="s">
        <v>1515</v>
      </c>
      <c r="C2012">
        <v>1.0714000000000001</v>
      </c>
      <c r="D2012" s="2">
        <v>44882</v>
      </c>
    </row>
    <row r="2013" spans="1:4" x14ac:dyDescent="0.2">
      <c r="A2013" t="s">
        <v>1516</v>
      </c>
      <c r="C2013">
        <v>1.6357000000000002</v>
      </c>
      <c r="D2013" s="2">
        <v>44882</v>
      </c>
    </row>
    <row r="2014" spans="1:4" x14ac:dyDescent="0.2">
      <c r="A2014" t="s">
        <v>1517</v>
      </c>
      <c r="C2014">
        <v>2.7280000000000002</v>
      </c>
      <c r="D2014" s="2">
        <v>44882</v>
      </c>
    </row>
    <row r="2015" spans="1:4" x14ac:dyDescent="0.2">
      <c r="A2015" t="s">
        <v>1518</v>
      </c>
      <c r="C2015">
        <v>3.0975999999999999</v>
      </c>
      <c r="D2015" s="2">
        <v>44882</v>
      </c>
    </row>
    <row r="2016" spans="1:4" x14ac:dyDescent="0.2">
      <c r="A2016" t="s">
        <v>1519</v>
      </c>
      <c r="C2016">
        <v>6.8332000000000006</v>
      </c>
      <c r="D2016" s="2">
        <v>44882</v>
      </c>
    </row>
    <row r="2017" spans="1:4" x14ac:dyDescent="0.2">
      <c r="A2017" t="s">
        <v>1520</v>
      </c>
      <c r="C2017">
        <v>3.3528000000000002</v>
      </c>
      <c r="D2017" s="2">
        <v>44882</v>
      </c>
    </row>
    <row r="2018" spans="1:4" x14ac:dyDescent="0.2">
      <c r="A2018" t="s">
        <v>1521</v>
      </c>
      <c r="C2018">
        <v>4.7025000000000006</v>
      </c>
      <c r="D2018" s="2">
        <v>44882</v>
      </c>
    </row>
    <row r="2019" spans="1:4" x14ac:dyDescent="0.2">
      <c r="A2019" t="s">
        <v>1522</v>
      </c>
      <c r="C2019">
        <v>5.781600000000001</v>
      </c>
      <c r="D2019" s="2">
        <v>44882</v>
      </c>
    </row>
    <row r="2020" spans="1:4" x14ac:dyDescent="0.2">
      <c r="A2020" t="s">
        <v>1523</v>
      </c>
      <c r="C2020">
        <v>5.3845000000000001</v>
      </c>
      <c r="D2020" s="2">
        <v>44882</v>
      </c>
    </row>
    <row r="2021" spans="1:4" x14ac:dyDescent="0.2">
      <c r="A2021" t="s">
        <v>1524</v>
      </c>
      <c r="C2021">
        <v>7.7286000000000001</v>
      </c>
      <c r="D2021" s="2">
        <v>44882</v>
      </c>
    </row>
    <row r="2022" spans="1:4" x14ac:dyDescent="0.2">
      <c r="A2022" t="s">
        <v>1525</v>
      </c>
      <c r="C2022">
        <v>3.1823000000000001</v>
      </c>
      <c r="D2022" s="2">
        <v>44882</v>
      </c>
    </row>
    <row r="2023" spans="1:4" x14ac:dyDescent="0.2">
      <c r="A2023" t="s">
        <v>1526</v>
      </c>
      <c r="C2023">
        <v>3.4661</v>
      </c>
      <c r="D2023" s="2">
        <v>44882</v>
      </c>
    </row>
    <row r="2024" spans="1:4" x14ac:dyDescent="0.2">
      <c r="A2024" t="s">
        <v>1527</v>
      </c>
      <c r="C2024">
        <v>4.9016000000000011</v>
      </c>
      <c r="D2024" s="2">
        <v>44882</v>
      </c>
    </row>
    <row r="2025" spans="1:4" x14ac:dyDescent="0.2">
      <c r="A2025" t="s">
        <v>1528</v>
      </c>
      <c r="C2025">
        <v>6.2931000000000008</v>
      </c>
      <c r="D2025" s="2">
        <v>44882</v>
      </c>
    </row>
    <row r="2026" spans="1:4" x14ac:dyDescent="0.2">
      <c r="A2026" t="s">
        <v>1529</v>
      </c>
      <c r="C2026">
        <v>2.145</v>
      </c>
      <c r="D2026" s="2">
        <v>44882</v>
      </c>
    </row>
    <row r="2027" spans="1:4" x14ac:dyDescent="0.2">
      <c r="A2027" t="s">
        <v>1530</v>
      </c>
      <c r="C2027">
        <v>2.3441000000000001</v>
      </c>
      <c r="D2027" s="2">
        <v>44882</v>
      </c>
    </row>
    <row r="2028" spans="1:4" x14ac:dyDescent="0.2">
      <c r="A2028" t="s">
        <v>1531</v>
      </c>
      <c r="C2028">
        <v>2.6708000000000003</v>
      </c>
      <c r="D2028" s="2">
        <v>44882</v>
      </c>
    </row>
    <row r="2029" spans="1:4" x14ac:dyDescent="0.2">
      <c r="A2029" t="s">
        <v>1532</v>
      </c>
      <c r="C2029">
        <v>3.9072000000000005</v>
      </c>
      <c r="D2029" s="2">
        <v>44882</v>
      </c>
    </row>
    <row r="2030" spans="1:4" x14ac:dyDescent="0.2">
      <c r="A2030" t="s">
        <v>1533</v>
      </c>
      <c r="C2030">
        <v>4.0348000000000006</v>
      </c>
      <c r="D2030" s="2">
        <v>44882</v>
      </c>
    </row>
    <row r="2031" spans="1:4" x14ac:dyDescent="0.2">
      <c r="A2031" t="s">
        <v>1534</v>
      </c>
      <c r="C2031">
        <v>4.1195000000000004</v>
      </c>
      <c r="D2031" s="2">
        <v>44882</v>
      </c>
    </row>
    <row r="2032" spans="1:4" x14ac:dyDescent="0.2">
      <c r="A2032" t="s">
        <v>1535</v>
      </c>
      <c r="C2032">
        <v>5.1282000000000005</v>
      </c>
      <c r="D2032" s="2">
        <v>44882</v>
      </c>
    </row>
    <row r="2033" spans="1:4" x14ac:dyDescent="0.2">
      <c r="A2033" t="s">
        <v>1536</v>
      </c>
      <c r="C2033">
        <v>4.8301000000000007</v>
      </c>
      <c r="D2033" s="2">
        <v>44882</v>
      </c>
    </row>
    <row r="2034" spans="1:4" x14ac:dyDescent="0.2">
      <c r="A2034" t="s">
        <v>1537</v>
      </c>
      <c r="C2034">
        <v>7.0323000000000002</v>
      </c>
      <c r="D2034" s="2">
        <v>44882</v>
      </c>
    </row>
    <row r="2035" spans="1:4" x14ac:dyDescent="0.2">
      <c r="A2035" t="s">
        <v>1538</v>
      </c>
      <c r="C2035">
        <v>2.6862000000000004</v>
      </c>
      <c r="D2035" s="2">
        <v>44882</v>
      </c>
    </row>
    <row r="2036" spans="1:4" x14ac:dyDescent="0.2">
      <c r="A2036" t="s">
        <v>1539</v>
      </c>
      <c r="C2036">
        <v>3.2956000000000003</v>
      </c>
      <c r="D2036" s="2">
        <v>44882</v>
      </c>
    </row>
    <row r="2037" spans="1:4" x14ac:dyDescent="0.2">
      <c r="A2037" t="s">
        <v>1540</v>
      </c>
      <c r="C2037">
        <v>1.9965000000000002</v>
      </c>
      <c r="D2037" s="2">
        <v>44882</v>
      </c>
    </row>
    <row r="2038" spans="1:4" x14ac:dyDescent="0.2">
      <c r="A2038" t="s">
        <v>1541</v>
      </c>
      <c r="C2038">
        <v>3.63</v>
      </c>
      <c r="D2038" s="2">
        <v>44882</v>
      </c>
    </row>
    <row r="2039" spans="1:4" x14ac:dyDescent="0.2">
      <c r="A2039" t="s">
        <v>1542</v>
      </c>
      <c r="C2039">
        <v>2.8534000000000002</v>
      </c>
      <c r="D2039" s="2">
        <v>44882</v>
      </c>
    </row>
    <row r="2040" spans="1:4" x14ac:dyDescent="0.2">
      <c r="A2040" t="s">
        <v>1543</v>
      </c>
      <c r="C2040">
        <v>2.4100999999999999</v>
      </c>
      <c r="D2040" s="2">
        <v>44882</v>
      </c>
    </row>
    <row r="2041" spans="1:4" x14ac:dyDescent="0.2">
      <c r="A2041" t="s">
        <v>1544</v>
      </c>
      <c r="C2041">
        <v>2.5146000000000002</v>
      </c>
      <c r="D2041" s="2">
        <v>44882</v>
      </c>
    </row>
    <row r="2042" spans="1:4" x14ac:dyDescent="0.2">
      <c r="A2042" t="s">
        <v>1545</v>
      </c>
      <c r="C2042">
        <v>2.0746000000000002</v>
      </c>
      <c r="D2042" s="2">
        <v>44882</v>
      </c>
    </row>
    <row r="2043" spans="1:4" x14ac:dyDescent="0.2">
      <c r="A2043" t="s">
        <v>1546</v>
      </c>
      <c r="C2043">
        <v>7.9969999999999999</v>
      </c>
      <c r="D2043" s="2">
        <v>44882</v>
      </c>
    </row>
    <row r="2044" spans="1:4" x14ac:dyDescent="0.2">
      <c r="A2044" t="s">
        <v>1547</v>
      </c>
      <c r="C2044">
        <v>23.879900000000003</v>
      </c>
      <c r="D2044" s="2">
        <v>44882</v>
      </c>
    </row>
    <row r="2045" spans="1:4" x14ac:dyDescent="0.2">
      <c r="A2045" t="s">
        <v>1548</v>
      </c>
      <c r="C2045">
        <v>4.6738999999999997</v>
      </c>
      <c r="D2045" s="2">
        <v>44882</v>
      </c>
    </row>
    <row r="2046" spans="1:4" x14ac:dyDescent="0.2">
      <c r="A2046" t="s">
        <v>1549</v>
      </c>
      <c r="C2046">
        <v>20.698700000000002</v>
      </c>
      <c r="D2046" s="2">
        <v>44882</v>
      </c>
    </row>
    <row r="2047" spans="1:4" x14ac:dyDescent="0.2">
      <c r="A2047" t="s">
        <v>1550</v>
      </c>
      <c r="C2047">
        <v>10.214050000000002</v>
      </c>
      <c r="D2047" s="2">
        <v>44882</v>
      </c>
    </row>
    <row r="2048" spans="1:4" x14ac:dyDescent="0.2">
      <c r="A2048" t="s">
        <v>1551</v>
      </c>
      <c r="C2048">
        <v>1.3860000000000001</v>
      </c>
      <c r="D2048" s="2">
        <v>44882</v>
      </c>
    </row>
    <row r="2049" spans="1:4" x14ac:dyDescent="0.2">
      <c r="A2049" t="s">
        <v>2459</v>
      </c>
      <c r="C2049">
        <v>14.388000000000002</v>
      </c>
      <c r="D2049" s="2">
        <v>44882</v>
      </c>
    </row>
    <row r="2050" spans="1:4" x14ac:dyDescent="0.2">
      <c r="A2050" t="s">
        <v>2460</v>
      </c>
      <c r="C2050">
        <v>13.8996</v>
      </c>
      <c r="D2050" s="2">
        <v>44882</v>
      </c>
    </row>
    <row r="2051" spans="1:4" x14ac:dyDescent="0.2">
      <c r="A2051" t="s">
        <v>2461</v>
      </c>
      <c r="C2051">
        <v>12.368400000000001</v>
      </c>
      <c r="D2051" s="2">
        <v>44882</v>
      </c>
    </row>
    <row r="2052" spans="1:4" x14ac:dyDescent="0.2">
      <c r="A2052" t="s">
        <v>2462</v>
      </c>
      <c r="C2052">
        <v>11.998800000000001</v>
      </c>
      <c r="D2052" s="2">
        <v>44882</v>
      </c>
    </row>
    <row r="2053" spans="1:4" x14ac:dyDescent="0.2">
      <c r="A2053" t="s">
        <v>2463</v>
      </c>
      <c r="C2053">
        <v>12.170400000000001</v>
      </c>
      <c r="D2053" s="2">
        <v>44882</v>
      </c>
    </row>
    <row r="2054" spans="1:4" x14ac:dyDescent="0.2">
      <c r="A2054" t="s">
        <v>2464</v>
      </c>
      <c r="C2054">
        <v>2.8973999999999998</v>
      </c>
      <c r="D2054" s="2">
        <v>44882</v>
      </c>
    </row>
    <row r="2055" spans="1:4" x14ac:dyDescent="0.2">
      <c r="A2055" t="s">
        <v>2465</v>
      </c>
      <c r="C2055">
        <v>11.990000000000002</v>
      </c>
      <c r="D2055" s="2">
        <v>44882</v>
      </c>
    </row>
    <row r="2056" spans="1:4" x14ac:dyDescent="0.2">
      <c r="A2056" t="s">
        <v>2466</v>
      </c>
      <c r="C2056">
        <v>11.583</v>
      </c>
      <c r="D2056" s="2">
        <v>44882</v>
      </c>
    </row>
    <row r="2057" spans="1:4" x14ac:dyDescent="0.2">
      <c r="A2057" t="s">
        <v>2467</v>
      </c>
      <c r="C2057">
        <v>12.870000000000001</v>
      </c>
      <c r="D2057" s="2">
        <v>44882</v>
      </c>
    </row>
    <row r="2058" spans="1:4" x14ac:dyDescent="0.2">
      <c r="A2058" t="s">
        <v>2468</v>
      </c>
      <c r="C2058">
        <v>3.9380000000000006</v>
      </c>
      <c r="D2058" s="2">
        <v>44882</v>
      </c>
    </row>
    <row r="2059" spans="1:4" x14ac:dyDescent="0.2">
      <c r="A2059" t="s">
        <v>2469</v>
      </c>
      <c r="C2059">
        <v>2.4618000000000002</v>
      </c>
      <c r="D2059" s="2">
        <v>44882</v>
      </c>
    </row>
    <row r="2060" spans="1:4" x14ac:dyDescent="0.2">
      <c r="A2060" t="s">
        <v>2470</v>
      </c>
      <c r="C2060">
        <v>2.6928000000000005</v>
      </c>
      <c r="D2060" s="2">
        <v>44882</v>
      </c>
    </row>
    <row r="2061" spans="1:4" x14ac:dyDescent="0.2">
      <c r="A2061" t="s">
        <v>2471</v>
      </c>
      <c r="C2061">
        <v>49.016000000000005</v>
      </c>
      <c r="D2061" s="2">
        <v>44882</v>
      </c>
    </row>
    <row r="2062" spans="1:4" x14ac:dyDescent="0.2">
      <c r="A2062" t="s">
        <v>2472</v>
      </c>
      <c r="C2062">
        <v>9.3390000000000004</v>
      </c>
      <c r="D2062" s="2">
        <v>44882</v>
      </c>
    </row>
    <row r="2063" spans="1:4" x14ac:dyDescent="0.2">
      <c r="A2063" t="s">
        <v>2473</v>
      </c>
      <c r="C2063">
        <v>25.113</v>
      </c>
      <c r="D2063" s="2">
        <v>44882</v>
      </c>
    </row>
    <row r="2064" spans="1:4" x14ac:dyDescent="0.2">
      <c r="A2064" t="s">
        <v>2474</v>
      </c>
      <c r="C2064">
        <v>25.113</v>
      </c>
      <c r="D2064" s="2">
        <v>44882</v>
      </c>
    </row>
    <row r="2065" spans="1:4" x14ac:dyDescent="0.2">
      <c r="A2065" t="s">
        <v>2475</v>
      </c>
      <c r="C2065">
        <v>5.9729999999999999</v>
      </c>
      <c r="D2065" s="2">
        <v>44882</v>
      </c>
    </row>
    <row r="2066" spans="1:4" x14ac:dyDescent="0.2">
      <c r="A2066" t="s">
        <v>2476</v>
      </c>
      <c r="C2066">
        <v>4.1712000000000007</v>
      </c>
      <c r="D2066" s="2">
        <v>44882</v>
      </c>
    </row>
    <row r="2067" spans="1:4" x14ac:dyDescent="0.2">
      <c r="A2067" t="s">
        <v>2477</v>
      </c>
      <c r="C2067">
        <v>3.6696</v>
      </c>
      <c r="D2067" s="2">
        <v>44882</v>
      </c>
    </row>
    <row r="2068" spans="1:4" x14ac:dyDescent="0.2">
      <c r="A2068" t="s">
        <v>2478</v>
      </c>
      <c r="C2068">
        <v>3.9138000000000002</v>
      </c>
      <c r="D2068" s="2">
        <v>44882</v>
      </c>
    </row>
    <row r="2069" spans="1:4" x14ac:dyDescent="0.2">
      <c r="A2069" t="s">
        <v>2479</v>
      </c>
      <c r="C2069">
        <v>8.1289999999999996</v>
      </c>
      <c r="D2069" s="2">
        <v>44882</v>
      </c>
    </row>
    <row r="2070" spans="1:4" x14ac:dyDescent="0.2">
      <c r="A2070" t="s">
        <v>2480</v>
      </c>
      <c r="C2070">
        <v>3.5573999999999999</v>
      </c>
      <c r="D2070" s="2">
        <v>44882</v>
      </c>
    </row>
    <row r="2071" spans="1:4" x14ac:dyDescent="0.2">
      <c r="A2071" t="s">
        <v>2481</v>
      </c>
      <c r="C2071">
        <v>6.1655000000000006</v>
      </c>
      <c r="D2071" s="2">
        <v>44882</v>
      </c>
    </row>
    <row r="2072" spans="1:4" x14ac:dyDescent="0.2">
      <c r="A2072" t="s">
        <v>1552</v>
      </c>
      <c r="C2072">
        <v>0.64900000000000002</v>
      </c>
      <c r="D2072" s="2">
        <v>44882</v>
      </c>
    </row>
    <row r="2073" spans="1:4" x14ac:dyDescent="0.2">
      <c r="A2073" t="s">
        <v>1553</v>
      </c>
      <c r="C2073">
        <v>1.0780000000000001</v>
      </c>
      <c r="D2073" s="2">
        <v>44882</v>
      </c>
    </row>
    <row r="2074" spans="1:4" x14ac:dyDescent="0.2">
      <c r="A2074" t="s">
        <v>1554</v>
      </c>
      <c r="C2074">
        <v>2.9260000000000006</v>
      </c>
      <c r="D2074" s="2">
        <v>44882</v>
      </c>
    </row>
    <row r="2075" spans="1:4" x14ac:dyDescent="0.2">
      <c r="A2075" t="s">
        <v>1555</v>
      </c>
      <c r="C2075">
        <v>1.7380000000000002</v>
      </c>
      <c r="D2075" s="2">
        <v>44882</v>
      </c>
    </row>
    <row r="2076" spans="1:4" x14ac:dyDescent="0.2">
      <c r="A2076" t="s">
        <v>1556</v>
      </c>
      <c r="C2076">
        <v>2.1546799999999999</v>
      </c>
      <c r="D2076" s="2">
        <v>44882</v>
      </c>
    </row>
    <row r="2077" spans="1:4" x14ac:dyDescent="0.2">
      <c r="A2077" t="s">
        <v>1557</v>
      </c>
      <c r="C2077">
        <v>0.92400000000000004</v>
      </c>
      <c r="D2077" s="2">
        <v>44882</v>
      </c>
    </row>
    <row r="2078" spans="1:4" x14ac:dyDescent="0.2">
      <c r="A2078" t="s">
        <v>1558</v>
      </c>
      <c r="C2078">
        <v>0.86900000000000011</v>
      </c>
      <c r="D2078" s="2">
        <v>44882</v>
      </c>
    </row>
    <row r="2079" spans="1:4" x14ac:dyDescent="0.2">
      <c r="A2079" t="s">
        <v>1559</v>
      </c>
      <c r="C2079">
        <v>1.8260000000000001</v>
      </c>
      <c r="D2079" s="2">
        <v>44882</v>
      </c>
    </row>
    <row r="2080" spans="1:4" x14ac:dyDescent="0.2">
      <c r="A2080" t="s">
        <v>1560</v>
      </c>
      <c r="C2080">
        <v>1.6060000000000001</v>
      </c>
      <c r="D2080" s="2">
        <v>44882</v>
      </c>
    </row>
    <row r="2081" spans="1:4" x14ac:dyDescent="0.2">
      <c r="A2081" t="s">
        <v>1561</v>
      </c>
      <c r="C2081">
        <v>6.8750000000000009</v>
      </c>
      <c r="D2081" s="2">
        <v>44882</v>
      </c>
    </row>
    <row r="2082" spans="1:4" x14ac:dyDescent="0.2">
      <c r="A2082" t="s">
        <v>1562</v>
      </c>
      <c r="C2082">
        <v>2.2770000000000001</v>
      </c>
      <c r="D2082" s="2">
        <v>44882</v>
      </c>
    </row>
    <row r="2083" spans="1:4" x14ac:dyDescent="0.2">
      <c r="A2083" t="s">
        <v>2482</v>
      </c>
      <c r="C2083">
        <v>2.2770000000000001</v>
      </c>
      <c r="D2083" s="2">
        <v>44882</v>
      </c>
    </row>
    <row r="2084" spans="1:4" x14ac:dyDescent="0.2">
      <c r="A2084" t="s">
        <v>1565</v>
      </c>
      <c r="C2084">
        <v>2.2109999999999999</v>
      </c>
      <c r="D2084" s="2">
        <v>44882</v>
      </c>
    </row>
    <row r="2085" spans="1:4" x14ac:dyDescent="0.2">
      <c r="A2085" t="s">
        <v>1563</v>
      </c>
      <c r="C2085">
        <v>2.3210000000000002</v>
      </c>
      <c r="D2085" s="2">
        <v>44882</v>
      </c>
    </row>
    <row r="2086" spans="1:4" x14ac:dyDescent="0.2">
      <c r="A2086" t="s">
        <v>1566</v>
      </c>
      <c r="C2086">
        <v>2.5299999999999998</v>
      </c>
      <c r="D2086" s="2">
        <v>44882</v>
      </c>
    </row>
    <row r="2087" spans="1:4" x14ac:dyDescent="0.2">
      <c r="A2087" t="s">
        <v>1564</v>
      </c>
      <c r="C2087">
        <v>2.8820000000000006</v>
      </c>
      <c r="D2087" s="2">
        <v>44882</v>
      </c>
    </row>
    <row r="2088" spans="1:4" x14ac:dyDescent="0.2">
      <c r="A2088" t="s">
        <v>1567</v>
      </c>
      <c r="C2088">
        <v>3.8610000000000002</v>
      </c>
      <c r="D2088" s="2">
        <v>44882</v>
      </c>
    </row>
    <row r="2089" spans="1:4" x14ac:dyDescent="0.2">
      <c r="A2089" t="s">
        <v>1570</v>
      </c>
      <c r="C2089">
        <v>2.3540000000000005</v>
      </c>
      <c r="D2089" s="2">
        <v>44882</v>
      </c>
    </row>
    <row r="2090" spans="1:4" x14ac:dyDescent="0.2">
      <c r="A2090" t="s">
        <v>1568</v>
      </c>
      <c r="C2090">
        <v>2.3650000000000002</v>
      </c>
      <c r="D2090" s="2">
        <v>44882</v>
      </c>
    </row>
    <row r="2091" spans="1:4" x14ac:dyDescent="0.2">
      <c r="A2091" t="s">
        <v>1571</v>
      </c>
      <c r="C2091">
        <v>2.4970000000000003</v>
      </c>
      <c r="D2091" s="2">
        <v>44882</v>
      </c>
    </row>
    <row r="2092" spans="1:4" x14ac:dyDescent="0.2">
      <c r="A2092" t="s">
        <v>1569</v>
      </c>
      <c r="C2092">
        <v>2.9040000000000004</v>
      </c>
      <c r="D2092" s="2">
        <v>44882</v>
      </c>
    </row>
    <row r="2093" spans="1:4" x14ac:dyDescent="0.2">
      <c r="A2093" t="s">
        <v>1572</v>
      </c>
      <c r="C2093">
        <v>4.1140000000000008</v>
      </c>
      <c r="D2093" s="2">
        <v>44882</v>
      </c>
    </row>
    <row r="2094" spans="1:4" x14ac:dyDescent="0.2">
      <c r="A2094" t="s">
        <v>1573</v>
      </c>
      <c r="C2094">
        <v>3.4947000000000004</v>
      </c>
      <c r="D2094" s="2">
        <v>44882</v>
      </c>
    </row>
    <row r="2095" spans="1:4" x14ac:dyDescent="0.2">
      <c r="A2095" t="s">
        <v>1574</v>
      </c>
      <c r="C2095">
        <v>3.6509</v>
      </c>
      <c r="D2095" s="2">
        <v>44882</v>
      </c>
    </row>
    <row r="2096" spans="1:4" x14ac:dyDescent="0.2">
      <c r="A2096" t="s">
        <v>1575</v>
      </c>
      <c r="C2096">
        <v>4.2922000000000002</v>
      </c>
      <c r="D2096" s="2">
        <v>44882</v>
      </c>
    </row>
    <row r="2097" spans="1:4" x14ac:dyDescent="0.2">
      <c r="A2097" t="s">
        <v>1576</v>
      </c>
      <c r="C2097">
        <v>3.9776000000000002</v>
      </c>
      <c r="D2097" s="2">
        <v>44882</v>
      </c>
    </row>
    <row r="2098" spans="1:4" x14ac:dyDescent="0.2">
      <c r="A2098" t="s">
        <v>1577</v>
      </c>
      <c r="C2098">
        <v>4.3758000000000008</v>
      </c>
      <c r="D2098" s="2">
        <v>44882</v>
      </c>
    </row>
    <row r="2099" spans="1:4" x14ac:dyDescent="0.2">
      <c r="A2099" t="s">
        <v>1578</v>
      </c>
      <c r="C2099">
        <v>5.8817000000000013</v>
      </c>
      <c r="D2099" s="2">
        <v>44882</v>
      </c>
    </row>
    <row r="2100" spans="1:4" x14ac:dyDescent="0.2">
      <c r="A2100" t="s">
        <v>1579</v>
      </c>
      <c r="C2100">
        <v>6.0830000000000011</v>
      </c>
      <c r="D2100" s="2">
        <v>44882</v>
      </c>
    </row>
    <row r="2101" spans="1:4" x14ac:dyDescent="0.2">
      <c r="A2101" t="s">
        <v>1580</v>
      </c>
      <c r="C2101">
        <v>6.3646000000000003</v>
      </c>
      <c r="D2101" s="2">
        <v>44882</v>
      </c>
    </row>
    <row r="2102" spans="1:4" x14ac:dyDescent="0.2">
      <c r="A2102" t="s">
        <v>1581</v>
      </c>
      <c r="C2102">
        <v>7.5152000000000001</v>
      </c>
      <c r="D2102" s="2">
        <v>44882</v>
      </c>
    </row>
    <row r="2103" spans="1:4" x14ac:dyDescent="0.2">
      <c r="A2103" t="s">
        <v>1582</v>
      </c>
      <c r="C2103">
        <v>8.6515000000000004</v>
      </c>
      <c r="D2103" s="2">
        <v>44882</v>
      </c>
    </row>
    <row r="2104" spans="1:4" x14ac:dyDescent="0.2">
      <c r="A2104" t="s">
        <v>1583</v>
      </c>
      <c r="C2104">
        <v>2.1593000000000004</v>
      </c>
      <c r="D2104" s="2">
        <v>44882</v>
      </c>
    </row>
    <row r="2105" spans="1:4" x14ac:dyDescent="0.2">
      <c r="A2105" t="s">
        <v>1584</v>
      </c>
      <c r="C2105">
        <v>2.1593000000000004</v>
      </c>
      <c r="D2105" s="2">
        <v>44882</v>
      </c>
    </row>
    <row r="2106" spans="1:4" x14ac:dyDescent="0.2">
      <c r="A2106" t="s">
        <v>1585</v>
      </c>
      <c r="C2106">
        <v>2.4431000000000003</v>
      </c>
      <c r="D2106" s="2">
        <v>44882</v>
      </c>
    </row>
    <row r="2107" spans="1:4" x14ac:dyDescent="0.2">
      <c r="A2107" t="s">
        <v>1586</v>
      </c>
      <c r="C2107">
        <v>2.1021000000000001</v>
      </c>
      <c r="D2107" s="2">
        <v>44882</v>
      </c>
    </row>
    <row r="2108" spans="1:4" x14ac:dyDescent="0.2">
      <c r="A2108" t="s">
        <v>1587</v>
      </c>
      <c r="C2108">
        <v>2.3584000000000005</v>
      </c>
      <c r="D2108" s="2">
        <v>44882</v>
      </c>
    </row>
    <row r="2109" spans="1:4" x14ac:dyDescent="0.2">
      <c r="A2109" t="s">
        <v>1588</v>
      </c>
      <c r="C2109">
        <v>2.4859999999999998</v>
      </c>
      <c r="D2109" s="2">
        <v>44882</v>
      </c>
    </row>
    <row r="2110" spans="1:4" x14ac:dyDescent="0.2">
      <c r="A2110" t="s">
        <v>1589</v>
      </c>
      <c r="C2110">
        <v>3.2956000000000003</v>
      </c>
      <c r="D2110" s="2">
        <v>44882</v>
      </c>
    </row>
    <row r="2111" spans="1:4" x14ac:dyDescent="0.2">
      <c r="A2111" t="s">
        <v>1590</v>
      </c>
      <c r="C2111">
        <v>5.6232000000000006</v>
      </c>
      <c r="D2111" s="2">
        <v>44882</v>
      </c>
    </row>
    <row r="2112" spans="1:4" x14ac:dyDescent="0.2">
      <c r="A2112" t="s">
        <v>1591</v>
      </c>
      <c r="C2112">
        <v>3.1394000000000002</v>
      </c>
      <c r="D2112" s="2">
        <v>44882</v>
      </c>
    </row>
    <row r="2113" spans="1:4" x14ac:dyDescent="0.2">
      <c r="A2113" t="s">
        <v>1592</v>
      </c>
      <c r="C2113">
        <v>3.4804000000000004</v>
      </c>
      <c r="D2113" s="2">
        <v>44882</v>
      </c>
    </row>
    <row r="2114" spans="1:4" x14ac:dyDescent="0.2">
      <c r="A2114" t="s">
        <v>1593</v>
      </c>
      <c r="C2114">
        <v>4.6596000000000002</v>
      </c>
      <c r="D2114" s="2">
        <v>44882</v>
      </c>
    </row>
    <row r="2115" spans="1:4" x14ac:dyDescent="0.2">
      <c r="A2115" t="s">
        <v>1594</v>
      </c>
      <c r="C2115">
        <v>7.0180000000000007</v>
      </c>
      <c r="D2115" s="2">
        <v>44882</v>
      </c>
    </row>
    <row r="2116" spans="1:4" x14ac:dyDescent="0.2">
      <c r="A2116" t="s">
        <v>1595</v>
      </c>
      <c r="C2116">
        <v>5.0720999999999998</v>
      </c>
      <c r="D2116" s="2">
        <v>44882</v>
      </c>
    </row>
    <row r="2117" spans="1:4" x14ac:dyDescent="0.2">
      <c r="A2117" t="s">
        <v>1596</v>
      </c>
      <c r="C2117">
        <v>5.3130000000000006</v>
      </c>
      <c r="D2117" s="2">
        <v>44882</v>
      </c>
    </row>
    <row r="2118" spans="1:4" x14ac:dyDescent="0.2">
      <c r="A2118" t="s">
        <v>1597</v>
      </c>
      <c r="C2118">
        <v>7.6142000000000003</v>
      </c>
      <c r="D2118" s="2">
        <v>44882</v>
      </c>
    </row>
    <row r="2119" spans="1:4" x14ac:dyDescent="0.2">
      <c r="A2119" t="s">
        <v>1598</v>
      </c>
      <c r="C2119">
        <v>4.1481000000000003</v>
      </c>
      <c r="D2119" s="2">
        <v>44882</v>
      </c>
    </row>
    <row r="2120" spans="1:4" x14ac:dyDescent="0.2">
      <c r="A2120" t="s">
        <v>1599</v>
      </c>
      <c r="C2120">
        <v>3.6795000000000004</v>
      </c>
      <c r="D2120" s="2">
        <v>44882</v>
      </c>
    </row>
    <row r="2121" spans="1:4" x14ac:dyDescent="0.2">
      <c r="A2121" t="s">
        <v>1600</v>
      </c>
      <c r="C2121">
        <v>4.2053000000000003</v>
      </c>
      <c r="D2121" s="2">
        <v>44882</v>
      </c>
    </row>
    <row r="2122" spans="1:4" x14ac:dyDescent="0.2">
      <c r="A2122" t="s">
        <v>1601</v>
      </c>
      <c r="C2122">
        <v>4.2614000000000001</v>
      </c>
      <c r="D2122" s="2">
        <v>44882</v>
      </c>
    </row>
    <row r="2123" spans="1:4" x14ac:dyDescent="0.2">
      <c r="A2123" t="s">
        <v>1602</v>
      </c>
      <c r="C2123">
        <v>4.3340000000000005</v>
      </c>
      <c r="D2123" s="2">
        <v>44882</v>
      </c>
    </row>
    <row r="2124" spans="1:4" x14ac:dyDescent="0.2">
      <c r="A2124" t="s">
        <v>1603</v>
      </c>
      <c r="C2124">
        <v>5.995000000000001</v>
      </c>
      <c r="D2124" s="2">
        <v>44882</v>
      </c>
    </row>
    <row r="2125" spans="1:4" x14ac:dyDescent="0.2">
      <c r="A2125" t="s">
        <v>1604</v>
      </c>
      <c r="C2125">
        <v>6.5670000000000002</v>
      </c>
      <c r="D2125" s="2">
        <v>44882</v>
      </c>
    </row>
    <row r="2126" spans="1:4" x14ac:dyDescent="0.2">
      <c r="A2126" t="s">
        <v>1605</v>
      </c>
      <c r="C2126">
        <v>8.173</v>
      </c>
      <c r="D2126" s="2">
        <v>44882</v>
      </c>
    </row>
    <row r="2127" spans="1:4" x14ac:dyDescent="0.2">
      <c r="A2127" t="s">
        <v>1606</v>
      </c>
      <c r="C2127">
        <v>13.128500000000001</v>
      </c>
      <c r="D2127" s="2">
        <v>44882</v>
      </c>
    </row>
    <row r="2128" spans="1:4" x14ac:dyDescent="0.2">
      <c r="A2128" t="s">
        <v>1608</v>
      </c>
      <c r="C2128">
        <v>6.0940000000000003</v>
      </c>
      <c r="D2128" s="2">
        <v>44882</v>
      </c>
    </row>
    <row r="2129" spans="1:4" x14ac:dyDescent="0.2">
      <c r="A2129" t="s">
        <v>1609</v>
      </c>
      <c r="C2129">
        <v>6.5065000000000008</v>
      </c>
      <c r="D2129" s="2">
        <v>44882</v>
      </c>
    </row>
    <row r="2130" spans="1:4" x14ac:dyDescent="0.2">
      <c r="A2130" t="s">
        <v>1610</v>
      </c>
      <c r="C2130">
        <v>7.3733000000000013</v>
      </c>
      <c r="D2130" s="2">
        <v>44882</v>
      </c>
    </row>
    <row r="2131" spans="1:4" x14ac:dyDescent="0.2">
      <c r="A2131" t="s">
        <v>1611</v>
      </c>
      <c r="C2131">
        <v>7.3447000000000005</v>
      </c>
      <c r="D2131" s="2">
        <v>44882</v>
      </c>
    </row>
    <row r="2132" spans="1:4" x14ac:dyDescent="0.2">
      <c r="A2132" t="s">
        <v>1612</v>
      </c>
      <c r="C2132">
        <v>7.3876000000000008</v>
      </c>
      <c r="D2132" s="2">
        <v>44882</v>
      </c>
    </row>
    <row r="2133" spans="1:4" x14ac:dyDescent="0.2">
      <c r="A2133" t="s">
        <v>1613</v>
      </c>
      <c r="C2133">
        <v>10.299300000000001</v>
      </c>
      <c r="D2133" s="2">
        <v>44882</v>
      </c>
    </row>
    <row r="2134" spans="1:4" x14ac:dyDescent="0.2">
      <c r="A2134" t="s">
        <v>1614</v>
      </c>
      <c r="C2134">
        <v>8.7230000000000008</v>
      </c>
      <c r="D2134" s="2">
        <v>44882</v>
      </c>
    </row>
    <row r="2135" spans="1:4" x14ac:dyDescent="0.2">
      <c r="A2135" t="s">
        <v>1615</v>
      </c>
      <c r="C2135">
        <v>10.541300000000001</v>
      </c>
      <c r="D2135" s="2">
        <v>44882</v>
      </c>
    </row>
    <row r="2136" spans="1:4" x14ac:dyDescent="0.2">
      <c r="A2136" t="s">
        <v>1616</v>
      </c>
      <c r="C2136">
        <v>12.530100000000001</v>
      </c>
      <c r="D2136" s="2">
        <v>44882</v>
      </c>
    </row>
    <row r="2137" spans="1:4" x14ac:dyDescent="0.2">
      <c r="A2137" t="s">
        <v>1617</v>
      </c>
      <c r="C2137">
        <v>4.9719999999999995</v>
      </c>
      <c r="D2137" s="2">
        <v>44882</v>
      </c>
    </row>
    <row r="2138" spans="1:4" x14ac:dyDescent="0.2">
      <c r="A2138" t="s">
        <v>1618</v>
      </c>
      <c r="C2138">
        <v>5.6111000000000004</v>
      </c>
      <c r="D2138" s="2">
        <v>44882</v>
      </c>
    </row>
    <row r="2139" spans="1:4" x14ac:dyDescent="0.2">
      <c r="A2139" t="s">
        <v>1619</v>
      </c>
      <c r="C2139">
        <v>6.2645000000000008</v>
      </c>
      <c r="D2139" s="2">
        <v>44882</v>
      </c>
    </row>
    <row r="2140" spans="1:4" x14ac:dyDescent="0.2">
      <c r="A2140" t="s">
        <v>1620</v>
      </c>
      <c r="C2140">
        <v>7.6142000000000003</v>
      </c>
      <c r="D2140" s="2">
        <v>44882</v>
      </c>
    </row>
    <row r="2141" spans="1:4" x14ac:dyDescent="0.2">
      <c r="A2141" t="s">
        <v>1621</v>
      </c>
      <c r="C2141">
        <v>10.058400000000001</v>
      </c>
      <c r="D2141" s="2">
        <v>44882</v>
      </c>
    </row>
    <row r="2142" spans="1:4" x14ac:dyDescent="0.2">
      <c r="A2142" t="s">
        <v>1622</v>
      </c>
      <c r="C2142">
        <v>3.2956000000000003</v>
      </c>
      <c r="D2142" s="2">
        <v>44882</v>
      </c>
    </row>
    <row r="2143" spans="1:4" x14ac:dyDescent="0.2">
      <c r="A2143" t="s">
        <v>1623</v>
      </c>
      <c r="C2143">
        <v>3.6366000000000005</v>
      </c>
      <c r="D2143" s="2">
        <v>44882</v>
      </c>
    </row>
    <row r="2144" spans="1:4" x14ac:dyDescent="0.2">
      <c r="A2144" t="s">
        <v>1624</v>
      </c>
      <c r="C2144">
        <v>4.0634000000000006</v>
      </c>
      <c r="D2144" s="2">
        <v>44882</v>
      </c>
    </row>
    <row r="2145" spans="1:4" x14ac:dyDescent="0.2">
      <c r="A2145" t="s">
        <v>1625</v>
      </c>
      <c r="C2145">
        <v>4.8158000000000003</v>
      </c>
      <c r="D2145" s="2">
        <v>44882</v>
      </c>
    </row>
    <row r="2146" spans="1:4" x14ac:dyDescent="0.2">
      <c r="A2146" t="s">
        <v>1626</v>
      </c>
      <c r="C2146">
        <v>7.5152000000000001</v>
      </c>
      <c r="D2146" s="2">
        <v>44882</v>
      </c>
    </row>
    <row r="2147" spans="1:4" x14ac:dyDescent="0.2">
      <c r="A2147" t="s">
        <v>1627</v>
      </c>
      <c r="C2147">
        <v>8.9980000000000011</v>
      </c>
      <c r="D2147" s="2">
        <v>44882</v>
      </c>
    </row>
    <row r="2148" spans="1:4" x14ac:dyDescent="0.2">
      <c r="A2148" t="s">
        <v>1941</v>
      </c>
      <c r="C2148">
        <v>32.175000000000004</v>
      </c>
      <c r="D2148" s="2">
        <v>44882</v>
      </c>
    </row>
    <row r="2149" spans="1:4" x14ac:dyDescent="0.2">
      <c r="A2149" t="s">
        <v>1942</v>
      </c>
      <c r="C2149">
        <v>35.823149999999998</v>
      </c>
      <c r="D2149" s="2">
        <v>44882</v>
      </c>
    </row>
    <row r="2150" spans="1:4" x14ac:dyDescent="0.2">
      <c r="A2150" t="s">
        <v>1943</v>
      </c>
      <c r="C2150">
        <v>62.345250000000014</v>
      </c>
      <c r="D2150" s="2">
        <v>44882</v>
      </c>
    </row>
    <row r="2151" spans="1:4" x14ac:dyDescent="0.2">
      <c r="A2151" t="s">
        <v>1630</v>
      </c>
      <c r="C2151">
        <v>17.336000000000002</v>
      </c>
      <c r="D2151" s="2">
        <v>44882</v>
      </c>
    </row>
    <row r="2152" spans="1:4" x14ac:dyDescent="0.2">
      <c r="A2152" t="s">
        <v>1631</v>
      </c>
      <c r="C2152">
        <v>0.55000000000000004</v>
      </c>
      <c r="D2152" s="2">
        <v>44882</v>
      </c>
    </row>
    <row r="2153" spans="1:4" x14ac:dyDescent="0.2">
      <c r="A2153" t="s">
        <v>7</v>
      </c>
      <c r="C2153">
        <v>6.5670000000000002</v>
      </c>
      <c r="D2153" s="2">
        <v>44882</v>
      </c>
    </row>
    <row r="2154" spans="1:4" x14ac:dyDescent="0.2">
      <c r="A2154" t="s">
        <v>8</v>
      </c>
      <c r="C2154">
        <v>6.7320000000000011</v>
      </c>
      <c r="D2154" s="2">
        <v>44882</v>
      </c>
    </row>
    <row r="2155" spans="1:4" x14ac:dyDescent="0.2">
      <c r="A2155" t="s">
        <v>9</v>
      </c>
      <c r="C2155">
        <v>9.2070000000000007</v>
      </c>
      <c r="D2155" s="2">
        <v>44882</v>
      </c>
    </row>
    <row r="2156" spans="1:4" x14ac:dyDescent="0.2">
      <c r="A2156" t="s">
        <v>10</v>
      </c>
      <c r="C2156">
        <v>12.793000000000001</v>
      </c>
      <c r="D2156" s="2">
        <v>44882</v>
      </c>
    </row>
    <row r="2157" spans="1:4" x14ac:dyDescent="0.2">
      <c r="A2157" t="s">
        <v>11</v>
      </c>
      <c r="C2157">
        <v>20.361000000000004</v>
      </c>
      <c r="D2157" s="2">
        <v>44882</v>
      </c>
    </row>
    <row r="2158" spans="1:4" x14ac:dyDescent="0.2">
      <c r="A2158" t="s">
        <v>12</v>
      </c>
      <c r="C2158">
        <v>27.423000000000002</v>
      </c>
      <c r="D2158" s="2">
        <v>44882</v>
      </c>
    </row>
    <row r="2159" spans="1:4" x14ac:dyDescent="0.2">
      <c r="A2159" t="s">
        <v>13</v>
      </c>
      <c r="C2159">
        <v>42.525999999999996</v>
      </c>
      <c r="D2159" s="2">
        <v>44882</v>
      </c>
    </row>
    <row r="2160" spans="1:4" x14ac:dyDescent="0.2">
      <c r="A2160" t="s">
        <v>1773</v>
      </c>
      <c r="C2160">
        <v>63.975999999999999</v>
      </c>
      <c r="D2160" s="2">
        <v>44882</v>
      </c>
    </row>
    <row r="2161" spans="1:4" x14ac:dyDescent="0.2">
      <c r="A2161" t="s">
        <v>1952</v>
      </c>
      <c r="C2161">
        <v>204.07200000000003</v>
      </c>
      <c r="D2161" s="2">
        <v>44882</v>
      </c>
    </row>
    <row r="2162" spans="1:4" x14ac:dyDescent="0.2">
      <c r="A2162" t="s">
        <v>1953</v>
      </c>
      <c r="C2162">
        <v>268.36700000000002</v>
      </c>
      <c r="D2162" s="2">
        <v>44882</v>
      </c>
    </row>
    <row r="2163" spans="1:4" x14ac:dyDescent="0.2">
      <c r="A2163" t="s">
        <v>1950</v>
      </c>
      <c r="C2163">
        <v>41.316000000000003</v>
      </c>
      <c r="D2163" s="2">
        <v>44882</v>
      </c>
    </row>
    <row r="2164" spans="1:4" x14ac:dyDescent="0.2">
      <c r="A2164" t="s">
        <v>1951</v>
      </c>
      <c r="C2164">
        <v>42.416000000000004</v>
      </c>
      <c r="D2164" s="2">
        <v>44882</v>
      </c>
    </row>
    <row r="2165" spans="1:4" x14ac:dyDescent="0.2">
      <c r="A2165" t="s">
        <v>1927</v>
      </c>
      <c r="C2165">
        <v>10.725000000000001</v>
      </c>
      <c r="D2165" s="2">
        <v>44882</v>
      </c>
    </row>
    <row r="2166" spans="1:4" x14ac:dyDescent="0.2">
      <c r="A2166" t="s">
        <v>1926</v>
      </c>
      <c r="C2166">
        <v>7.4250000000000007</v>
      </c>
      <c r="D2166" s="2">
        <v>44882</v>
      </c>
    </row>
    <row r="2167" spans="1:4" x14ac:dyDescent="0.2">
      <c r="A2167" t="s">
        <v>1954</v>
      </c>
      <c r="C2167">
        <v>14.8687</v>
      </c>
      <c r="D2167" s="2">
        <v>44882</v>
      </c>
    </row>
    <row r="2168" spans="1:4" x14ac:dyDescent="0.2">
      <c r="A2168" t="s">
        <v>1955</v>
      </c>
      <c r="C2168">
        <v>16.431799999999999</v>
      </c>
      <c r="D2168" s="2">
        <v>44882</v>
      </c>
    </row>
    <row r="2169" spans="1:4" x14ac:dyDescent="0.2">
      <c r="A2169" t="s">
        <v>2108</v>
      </c>
      <c r="C2169">
        <v>34.21</v>
      </c>
      <c r="D2169" s="2">
        <v>44882</v>
      </c>
    </row>
    <row r="2170" spans="1:4" x14ac:dyDescent="0.2">
      <c r="A2170" t="s">
        <v>1632</v>
      </c>
      <c r="C2170">
        <v>47.509</v>
      </c>
      <c r="D2170" s="2">
        <v>44882</v>
      </c>
    </row>
    <row r="2171" spans="1:4" x14ac:dyDescent="0.2">
      <c r="A2171" t="s">
        <v>1936</v>
      </c>
      <c r="C2171">
        <v>10.508850000000001</v>
      </c>
      <c r="D2171" s="2">
        <v>44882</v>
      </c>
    </row>
    <row r="2172" spans="1:4" x14ac:dyDescent="0.2">
      <c r="A2172" t="s">
        <v>1937</v>
      </c>
      <c r="C2172">
        <v>9.4594500000000004</v>
      </c>
      <c r="D2172" s="2">
        <v>44882</v>
      </c>
    </row>
    <row r="2173" spans="1:4" x14ac:dyDescent="0.2">
      <c r="A2173" t="s">
        <v>1938</v>
      </c>
      <c r="C2173">
        <v>12.652200000000001</v>
      </c>
      <c r="D2173" s="2">
        <v>44882</v>
      </c>
    </row>
    <row r="2174" spans="1:4" x14ac:dyDescent="0.2">
      <c r="A2174" t="s">
        <v>1939</v>
      </c>
      <c r="C2174">
        <v>13.879799999999999</v>
      </c>
      <c r="D2174" s="2">
        <v>44882</v>
      </c>
    </row>
    <row r="2175" spans="1:4" x14ac:dyDescent="0.2">
      <c r="A2175" t="s">
        <v>1940</v>
      </c>
      <c r="C2175">
        <v>15.53805</v>
      </c>
      <c r="D2175" s="2">
        <v>44882</v>
      </c>
    </row>
    <row r="2176" spans="1:4" x14ac:dyDescent="0.2">
      <c r="A2176" t="s">
        <v>1633</v>
      </c>
      <c r="C2176">
        <v>12.826000000000001</v>
      </c>
      <c r="D2176" s="2">
        <v>44882</v>
      </c>
    </row>
    <row r="2177" spans="1:4" x14ac:dyDescent="0.2">
      <c r="A2177" t="s">
        <v>1753</v>
      </c>
      <c r="C2177">
        <v>58.718000000000011</v>
      </c>
      <c r="D2177" s="2">
        <v>44882</v>
      </c>
    </row>
    <row r="2178" spans="1:4" x14ac:dyDescent="0.2">
      <c r="A2178" t="s">
        <v>1754</v>
      </c>
      <c r="C2178">
        <v>29.722000000000001</v>
      </c>
      <c r="D2178" s="2">
        <v>44882</v>
      </c>
    </row>
    <row r="2179" spans="1:4" x14ac:dyDescent="0.2">
      <c r="A2179" t="s">
        <v>1636</v>
      </c>
      <c r="C2179">
        <v>52.899000000000008</v>
      </c>
      <c r="D2179" s="2">
        <v>44882</v>
      </c>
    </row>
    <row r="2180" spans="1:4" x14ac:dyDescent="0.2">
      <c r="A2180" t="s">
        <v>2562</v>
      </c>
      <c r="C2180">
        <v>53.581000000000003</v>
      </c>
      <c r="D2180" s="2">
        <v>44882</v>
      </c>
    </row>
    <row r="2181" spans="1:4" x14ac:dyDescent="0.2">
      <c r="A2181" t="s">
        <v>2563</v>
      </c>
      <c r="C2181">
        <v>61.699000000000012</v>
      </c>
      <c r="D2181" s="2">
        <v>44882</v>
      </c>
    </row>
    <row r="2182" spans="1:4" x14ac:dyDescent="0.2">
      <c r="A2182" t="s">
        <v>2564</v>
      </c>
      <c r="C2182">
        <v>102.08</v>
      </c>
      <c r="D2182" s="2">
        <v>44882</v>
      </c>
    </row>
    <row r="2183" spans="1:4" x14ac:dyDescent="0.2">
      <c r="A2183" t="s">
        <v>2565</v>
      </c>
      <c r="C2183">
        <v>163.72400000000002</v>
      </c>
      <c r="D2183" s="2">
        <v>44882</v>
      </c>
    </row>
    <row r="2184" spans="1:4" x14ac:dyDescent="0.2">
      <c r="A2184" t="s">
        <v>1755</v>
      </c>
      <c r="C2184">
        <v>1110.5600000000002</v>
      </c>
      <c r="D2184" s="2">
        <v>44882</v>
      </c>
    </row>
    <row r="2185" spans="1:4" x14ac:dyDescent="0.2">
      <c r="A2185" t="s">
        <v>1651</v>
      </c>
      <c r="C2185">
        <v>2.3045000000000004</v>
      </c>
      <c r="D2185" s="2">
        <v>44882</v>
      </c>
    </row>
    <row r="2186" spans="1:4" x14ac:dyDescent="0.2">
      <c r="A2186" t="s">
        <v>1653</v>
      </c>
      <c r="C2186">
        <v>355.19</v>
      </c>
      <c r="D2186" s="2">
        <v>44882</v>
      </c>
    </row>
    <row r="2187" spans="1:4" x14ac:dyDescent="0.2">
      <c r="A2187" t="s">
        <v>1655</v>
      </c>
      <c r="C2187">
        <v>372.29500000000002</v>
      </c>
      <c r="D2187" s="2">
        <v>44882</v>
      </c>
    </row>
    <row r="2188" spans="1:4" x14ac:dyDescent="0.2">
      <c r="A2188" t="s">
        <v>1654</v>
      </c>
      <c r="C2188">
        <v>362.69200000000006</v>
      </c>
      <c r="D2188" s="2">
        <v>44882</v>
      </c>
    </row>
    <row r="2189" spans="1:4" x14ac:dyDescent="0.2">
      <c r="A2189" t="s">
        <v>1652</v>
      </c>
      <c r="C2189">
        <v>341.19800000000004</v>
      </c>
      <c r="D2189" s="2">
        <v>44882</v>
      </c>
    </row>
    <row r="2190" spans="1:4" x14ac:dyDescent="0.2">
      <c r="A2190" t="s">
        <v>1656</v>
      </c>
      <c r="C2190">
        <v>1073.6000000000001</v>
      </c>
      <c r="D2190" s="2">
        <v>44882</v>
      </c>
    </row>
    <row r="2191" spans="1:4" x14ac:dyDescent="0.2">
      <c r="A2191" t="s">
        <v>1658</v>
      </c>
      <c r="C2191">
        <v>355.19</v>
      </c>
      <c r="D2191" s="2">
        <v>44882</v>
      </c>
    </row>
    <row r="2192" spans="1:4" x14ac:dyDescent="0.2">
      <c r="A2192" t="s">
        <v>1660</v>
      </c>
      <c r="C2192">
        <v>372.29500000000002</v>
      </c>
      <c r="D2192" s="2">
        <v>44882</v>
      </c>
    </row>
    <row r="2193" spans="1:4" x14ac:dyDescent="0.2">
      <c r="A2193" t="s">
        <v>1659</v>
      </c>
      <c r="C2193">
        <v>362.69200000000006</v>
      </c>
      <c r="D2193" s="2">
        <v>44882</v>
      </c>
    </row>
    <row r="2194" spans="1:4" x14ac:dyDescent="0.2">
      <c r="A2194" t="s">
        <v>1657</v>
      </c>
      <c r="C2194">
        <v>341.19800000000004</v>
      </c>
      <c r="D2194" s="2">
        <v>44882</v>
      </c>
    </row>
    <row r="2195" spans="1:4" x14ac:dyDescent="0.2">
      <c r="A2195" t="s">
        <v>1661</v>
      </c>
      <c r="C2195">
        <v>1073.6000000000001</v>
      </c>
      <c r="D2195" s="2">
        <v>44882</v>
      </c>
    </row>
    <row r="2196" spans="1:4" x14ac:dyDescent="0.2">
      <c r="A2196" t="s">
        <v>1644</v>
      </c>
      <c r="C2196">
        <v>14.619</v>
      </c>
      <c r="D2196" s="2">
        <v>44882</v>
      </c>
    </row>
    <row r="2197" spans="1:4" x14ac:dyDescent="0.2">
      <c r="A2197" t="s">
        <v>1956</v>
      </c>
      <c r="C2197">
        <v>4.4660000000000002</v>
      </c>
      <c r="D2197" s="2">
        <v>44882</v>
      </c>
    </row>
    <row r="2198" spans="1:4" x14ac:dyDescent="0.2">
      <c r="A2198" t="s">
        <v>1957</v>
      </c>
      <c r="C2198">
        <v>4.51</v>
      </c>
      <c r="D2198" s="2">
        <v>44882</v>
      </c>
    </row>
    <row r="2199" spans="1:4" x14ac:dyDescent="0.2">
      <c r="A2199" t="s">
        <v>1637</v>
      </c>
      <c r="C2199">
        <v>5.1260000000000003</v>
      </c>
      <c r="D2199" s="2">
        <v>44882</v>
      </c>
    </row>
    <row r="2200" spans="1:4" x14ac:dyDescent="0.2">
      <c r="A2200" t="s">
        <v>1645</v>
      </c>
      <c r="C2200">
        <v>4.8400000000000007</v>
      </c>
      <c r="D2200" s="2">
        <v>44882</v>
      </c>
    </row>
    <row r="2201" spans="1:4" x14ac:dyDescent="0.2">
      <c r="A2201" t="s">
        <v>1638</v>
      </c>
      <c r="C2201">
        <v>5.9290000000000003</v>
      </c>
      <c r="D2201" s="2">
        <v>44882</v>
      </c>
    </row>
    <row r="2202" spans="1:4" x14ac:dyDescent="0.2">
      <c r="A2202" t="s">
        <v>1646</v>
      </c>
      <c r="C2202">
        <v>5.7200000000000006</v>
      </c>
      <c r="D2202" s="2">
        <v>44882</v>
      </c>
    </row>
    <row r="2203" spans="1:4" x14ac:dyDescent="0.2">
      <c r="A2203" t="s">
        <v>1639</v>
      </c>
      <c r="C2203">
        <v>6.9300000000000006</v>
      </c>
      <c r="D2203" s="2">
        <v>44882</v>
      </c>
    </row>
    <row r="2204" spans="1:4" x14ac:dyDescent="0.2">
      <c r="A2204" t="s">
        <v>1647</v>
      </c>
      <c r="C2204">
        <v>7.15</v>
      </c>
      <c r="D2204" s="2">
        <v>44882</v>
      </c>
    </row>
    <row r="2205" spans="1:4" x14ac:dyDescent="0.2">
      <c r="A2205" t="s">
        <v>1640</v>
      </c>
      <c r="C2205">
        <v>7.9310000000000009</v>
      </c>
      <c r="D2205" s="2">
        <v>44882</v>
      </c>
    </row>
    <row r="2206" spans="1:4" x14ac:dyDescent="0.2">
      <c r="A2206" t="s">
        <v>1648</v>
      </c>
      <c r="C2206">
        <v>8.8880000000000017</v>
      </c>
      <c r="D2206" s="2">
        <v>44882</v>
      </c>
    </row>
    <row r="2207" spans="1:4" x14ac:dyDescent="0.2">
      <c r="A2207" t="s">
        <v>1641</v>
      </c>
      <c r="C2207">
        <v>9.1630000000000003</v>
      </c>
      <c r="D2207" s="2">
        <v>44882</v>
      </c>
    </row>
    <row r="2208" spans="1:4" x14ac:dyDescent="0.2">
      <c r="A2208" t="s">
        <v>1649</v>
      </c>
      <c r="C2208">
        <v>18.172000000000001</v>
      </c>
      <c r="D2208" s="2">
        <v>44882</v>
      </c>
    </row>
    <row r="2209" spans="1:4" x14ac:dyDescent="0.2">
      <c r="A2209" t="s">
        <v>1642</v>
      </c>
      <c r="C2209">
        <v>3.9124800000000008</v>
      </c>
      <c r="D2209" s="2">
        <v>44882</v>
      </c>
    </row>
    <row r="2210" spans="1:4" x14ac:dyDescent="0.2">
      <c r="A2210" t="s">
        <v>1958</v>
      </c>
      <c r="C2210">
        <v>10.318000000000001</v>
      </c>
      <c r="D2210" s="2">
        <v>44882</v>
      </c>
    </row>
    <row r="2211" spans="1:4" x14ac:dyDescent="0.2">
      <c r="A2211" t="s">
        <v>1643</v>
      </c>
      <c r="C2211">
        <v>11.935</v>
      </c>
      <c r="D2211" s="2">
        <v>44882</v>
      </c>
    </row>
    <row r="2212" spans="1:4" x14ac:dyDescent="0.2">
      <c r="A2212" t="s">
        <v>1650</v>
      </c>
      <c r="C2212">
        <v>11.374000000000001</v>
      </c>
      <c r="D2212" s="2">
        <v>44882</v>
      </c>
    </row>
    <row r="2213" spans="1:4" x14ac:dyDescent="0.2">
      <c r="A2213" t="s">
        <v>1959</v>
      </c>
      <c r="C2213">
        <v>18.832000000000004</v>
      </c>
      <c r="D2213" s="2">
        <v>44882</v>
      </c>
    </row>
    <row r="2214" spans="1:4" x14ac:dyDescent="0.2">
      <c r="A2214" t="s">
        <v>1929</v>
      </c>
      <c r="C2214">
        <v>5.8849999999999998</v>
      </c>
      <c r="D2214" s="2">
        <v>44882</v>
      </c>
    </row>
    <row r="2215" spans="1:4" x14ac:dyDescent="0.2">
      <c r="A2215" t="s">
        <v>2522</v>
      </c>
      <c r="C2215">
        <v>2.4530000000000003</v>
      </c>
      <c r="D2215" s="2">
        <v>44882</v>
      </c>
    </row>
    <row r="2216" spans="1:4" x14ac:dyDescent="0.2">
      <c r="A2216" t="s">
        <v>2523</v>
      </c>
      <c r="C2216">
        <v>2.4530000000000003</v>
      </c>
      <c r="D2216" s="2">
        <v>44882</v>
      </c>
    </row>
    <row r="2217" spans="1:4" x14ac:dyDescent="0.2">
      <c r="A2217" t="s">
        <v>2524</v>
      </c>
      <c r="C2217">
        <v>10.450000000000001</v>
      </c>
      <c r="D2217" s="2">
        <v>44882</v>
      </c>
    </row>
    <row r="2218" spans="1:4" x14ac:dyDescent="0.2">
      <c r="A2218" t="s">
        <v>2525</v>
      </c>
      <c r="C2218">
        <v>10.450000000000001</v>
      </c>
      <c r="D2218" s="2">
        <v>44882</v>
      </c>
    </row>
    <row r="2219" spans="1:4" x14ac:dyDescent="0.2">
      <c r="A2219" t="s">
        <v>2526</v>
      </c>
      <c r="C2219">
        <v>10.450000000000001</v>
      </c>
      <c r="D2219" s="2">
        <v>44882</v>
      </c>
    </row>
    <row r="2220" spans="1:4" x14ac:dyDescent="0.2">
      <c r="A2220" t="s">
        <v>2527</v>
      </c>
      <c r="C2220">
        <v>9.6800000000000015</v>
      </c>
      <c r="D2220" s="2">
        <v>44882</v>
      </c>
    </row>
    <row r="2221" spans="1:4" x14ac:dyDescent="0.2">
      <c r="A2221" t="s">
        <v>2528</v>
      </c>
      <c r="C2221">
        <v>9.6800000000000015</v>
      </c>
      <c r="D2221" s="2">
        <v>44882</v>
      </c>
    </row>
    <row r="2222" spans="1:4" x14ac:dyDescent="0.2">
      <c r="A2222" t="s">
        <v>2529</v>
      </c>
      <c r="C2222">
        <v>9.6800000000000015</v>
      </c>
      <c r="D2222" s="2">
        <v>44882</v>
      </c>
    </row>
    <row r="2223" spans="1:4" x14ac:dyDescent="0.2">
      <c r="A2223" t="s">
        <v>2530</v>
      </c>
      <c r="C2223">
        <v>9.6800000000000015</v>
      </c>
      <c r="D2223" s="2">
        <v>44882</v>
      </c>
    </row>
    <row r="2224" spans="1:4" x14ac:dyDescent="0.2">
      <c r="A2224" t="s">
        <v>2531</v>
      </c>
      <c r="C2224">
        <v>9.6800000000000015</v>
      </c>
      <c r="D2224" s="2">
        <v>44882</v>
      </c>
    </row>
    <row r="2225" spans="1:4" x14ac:dyDescent="0.2">
      <c r="A2225" t="s">
        <v>2532</v>
      </c>
      <c r="C2225">
        <v>9.6800000000000015</v>
      </c>
      <c r="D2225" s="2">
        <v>44882</v>
      </c>
    </row>
    <row r="2226" spans="1:4" x14ac:dyDescent="0.2">
      <c r="A2226" t="s">
        <v>2533</v>
      </c>
      <c r="C2226">
        <v>29.436000000000003</v>
      </c>
      <c r="D2226" s="2">
        <v>44882</v>
      </c>
    </row>
    <row r="2227" spans="1:4" x14ac:dyDescent="0.2">
      <c r="A2227" t="s">
        <v>2534</v>
      </c>
      <c r="C2227">
        <v>3.2120000000000002</v>
      </c>
      <c r="D2227" s="2">
        <v>44882</v>
      </c>
    </row>
    <row r="2228" spans="1:4" x14ac:dyDescent="0.2">
      <c r="A2228" t="s">
        <v>2535</v>
      </c>
      <c r="C2228">
        <v>6.0500000000000007</v>
      </c>
      <c r="D2228" s="2">
        <v>44882</v>
      </c>
    </row>
    <row r="2229" spans="1:4" x14ac:dyDescent="0.2">
      <c r="A2229" t="s">
        <v>2536</v>
      </c>
      <c r="C2229">
        <v>9.5920000000000023</v>
      </c>
      <c r="D2229" s="2">
        <v>44882</v>
      </c>
    </row>
    <row r="2230" spans="1:4" x14ac:dyDescent="0.2">
      <c r="A2230" t="s">
        <v>2537</v>
      </c>
      <c r="C2230">
        <v>9.5920000000000023</v>
      </c>
      <c r="D2230" s="2">
        <v>44882</v>
      </c>
    </row>
    <row r="2231" spans="1:4" x14ac:dyDescent="0.2">
      <c r="A2231" t="s">
        <v>2538</v>
      </c>
      <c r="C2231">
        <v>9.5920000000000023</v>
      </c>
      <c r="D2231" s="2">
        <v>44882</v>
      </c>
    </row>
    <row r="2232" spans="1:4" x14ac:dyDescent="0.2">
      <c r="A2232" t="s">
        <v>2539</v>
      </c>
      <c r="C2232">
        <v>9.5920000000000023</v>
      </c>
      <c r="D2232" s="2">
        <v>44882</v>
      </c>
    </row>
    <row r="2233" spans="1:4" x14ac:dyDescent="0.2">
      <c r="A2233" t="s">
        <v>2540</v>
      </c>
      <c r="C2233">
        <v>9.5920000000000023</v>
      </c>
      <c r="D2233" s="2">
        <v>44882</v>
      </c>
    </row>
    <row r="2234" spans="1:4" x14ac:dyDescent="0.2">
      <c r="A2234" t="s">
        <v>2541</v>
      </c>
      <c r="C2234">
        <v>10.131000000000002</v>
      </c>
      <c r="D2234" s="2">
        <v>44882</v>
      </c>
    </row>
    <row r="2235" spans="1:4" x14ac:dyDescent="0.2">
      <c r="A2235" t="s">
        <v>2542</v>
      </c>
      <c r="C2235">
        <v>4.9060000000000006</v>
      </c>
      <c r="D2235" s="2">
        <v>44882</v>
      </c>
    </row>
    <row r="2236" spans="1:4" x14ac:dyDescent="0.2">
      <c r="A2236" t="s">
        <v>2543</v>
      </c>
      <c r="C2236">
        <v>16.533000000000001</v>
      </c>
      <c r="D2236" s="2">
        <v>44882</v>
      </c>
    </row>
    <row r="2237" spans="1:4" x14ac:dyDescent="0.2">
      <c r="A2237" t="s">
        <v>2544</v>
      </c>
      <c r="C2237">
        <v>18.183000000000003</v>
      </c>
      <c r="D2237" s="2">
        <v>44882</v>
      </c>
    </row>
    <row r="2238" spans="1:4" x14ac:dyDescent="0.2">
      <c r="A2238" t="s">
        <v>1763</v>
      </c>
      <c r="C2238">
        <v>18.183000000000003</v>
      </c>
      <c r="D2238" s="2">
        <v>44882</v>
      </c>
    </row>
    <row r="2239" spans="1:4" x14ac:dyDescent="0.2">
      <c r="A2239" t="s">
        <v>2566</v>
      </c>
      <c r="C2239">
        <v>18.183000000000003</v>
      </c>
      <c r="D2239" s="2">
        <v>44882</v>
      </c>
    </row>
    <row r="2240" spans="1:4" x14ac:dyDescent="0.2">
      <c r="A2240" t="s">
        <v>2567</v>
      </c>
      <c r="C2240">
        <v>18.183000000000003</v>
      </c>
      <c r="D2240" s="2">
        <v>44882</v>
      </c>
    </row>
    <row r="2241" spans="1:4" x14ac:dyDescent="0.2">
      <c r="A2241" t="s">
        <v>2568</v>
      </c>
      <c r="C2241">
        <v>18.183000000000003</v>
      </c>
      <c r="D2241" s="2">
        <v>44882</v>
      </c>
    </row>
    <row r="2242" spans="1:4" x14ac:dyDescent="0.2">
      <c r="A2242" t="s">
        <v>2569</v>
      </c>
      <c r="C2242">
        <v>7.0950000000000006</v>
      </c>
      <c r="D2242" s="2">
        <v>44882</v>
      </c>
    </row>
    <row r="2243" spans="1:4" x14ac:dyDescent="0.2">
      <c r="A2243" t="s">
        <v>2570</v>
      </c>
      <c r="C2243">
        <v>10.395</v>
      </c>
      <c r="D2243" s="2">
        <v>44882</v>
      </c>
    </row>
    <row r="2244" spans="1:4" x14ac:dyDescent="0.2">
      <c r="A2244" t="s">
        <v>2571</v>
      </c>
      <c r="C2244">
        <v>10.395</v>
      </c>
      <c r="D2244" s="2">
        <v>44882</v>
      </c>
    </row>
    <row r="2245" spans="1:4" x14ac:dyDescent="0.2">
      <c r="A2245" t="s">
        <v>2572</v>
      </c>
      <c r="C2245">
        <v>5.2030000000000012</v>
      </c>
      <c r="D2245" s="2">
        <v>44882</v>
      </c>
    </row>
    <row r="2246" spans="1:4" x14ac:dyDescent="0.2">
      <c r="A2246" t="s">
        <v>2573</v>
      </c>
      <c r="C2246">
        <v>6.1380000000000008</v>
      </c>
      <c r="D2246" s="2">
        <v>44882</v>
      </c>
    </row>
    <row r="2247" spans="1:4" x14ac:dyDescent="0.2">
      <c r="A2247" t="s">
        <v>1924</v>
      </c>
      <c r="C2247">
        <v>5.5</v>
      </c>
      <c r="D2247" s="2">
        <v>44882</v>
      </c>
    </row>
    <row r="2248" spans="1:4" x14ac:dyDescent="0.2">
      <c r="A2248" t="s">
        <v>1629</v>
      </c>
      <c r="C2248">
        <v>5.8740000000000006</v>
      </c>
      <c r="D2248" s="2">
        <v>44882</v>
      </c>
    </row>
    <row r="2249" spans="1:4" x14ac:dyDescent="0.2">
      <c r="A2249" t="s">
        <v>2109</v>
      </c>
      <c r="C2249">
        <v>5.8905000000000012</v>
      </c>
      <c r="D2249" s="2">
        <v>44882</v>
      </c>
    </row>
    <row r="2250" spans="1:4" x14ac:dyDescent="0.2">
      <c r="A2250" t="s">
        <v>1761</v>
      </c>
      <c r="C2250">
        <v>27.225000000000001</v>
      </c>
      <c r="D2250" s="2">
        <v>44882</v>
      </c>
    </row>
    <row r="2251" spans="1:4" x14ac:dyDescent="0.2">
      <c r="A2251" t="s">
        <v>1762</v>
      </c>
      <c r="C2251">
        <v>27.225000000000001</v>
      </c>
      <c r="D2251" s="2">
        <v>44882</v>
      </c>
    </row>
    <row r="2252" spans="1:4" x14ac:dyDescent="0.2">
      <c r="A2252" t="s">
        <v>1760</v>
      </c>
      <c r="C2252">
        <v>54.45</v>
      </c>
      <c r="D2252" s="2">
        <v>44882</v>
      </c>
    </row>
    <row r="2253" spans="1:4" x14ac:dyDescent="0.2">
      <c r="A2253" t="s">
        <v>1634</v>
      </c>
      <c r="C2253">
        <v>11.088000000000001</v>
      </c>
      <c r="D2253" s="2">
        <v>44882</v>
      </c>
    </row>
    <row r="2254" spans="1:4" x14ac:dyDescent="0.2">
      <c r="A2254" t="s">
        <v>1677</v>
      </c>
      <c r="C2254">
        <v>9.9671000000000003</v>
      </c>
      <c r="D2254" s="2">
        <v>44882</v>
      </c>
    </row>
    <row r="2255" spans="1:4" x14ac:dyDescent="0.2">
      <c r="A2255" t="s">
        <v>1676</v>
      </c>
      <c r="C2255">
        <v>26.408799999999999</v>
      </c>
      <c r="D2255" s="2">
        <v>44882</v>
      </c>
    </row>
    <row r="2256" spans="1:4" x14ac:dyDescent="0.2">
      <c r="A2256" t="s">
        <v>1682</v>
      </c>
      <c r="C2256">
        <v>23.653300000000002</v>
      </c>
      <c r="D2256" s="2">
        <v>44882</v>
      </c>
    </row>
    <row r="2257" spans="1:4" x14ac:dyDescent="0.2">
      <c r="A2257" t="s">
        <v>1680</v>
      </c>
      <c r="C2257">
        <v>29.486600000000003</v>
      </c>
      <c r="D2257" s="2">
        <v>44882</v>
      </c>
    </row>
    <row r="2258" spans="1:4" x14ac:dyDescent="0.2">
      <c r="A2258" t="s">
        <v>1679</v>
      </c>
      <c r="C2258">
        <v>15.550700000000003</v>
      </c>
      <c r="D2258" s="2">
        <v>44882</v>
      </c>
    </row>
    <row r="2259" spans="1:4" x14ac:dyDescent="0.2">
      <c r="A2259" t="s">
        <v>1678</v>
      </c>
      <c r="C2259">
        <v>31.9693</v>
      </c>
      <c r="D2259" s="2">
        <v>44882</v>
      </c>
    </row>
    <row r="2260" spans="1:4" x14ac:dyDescent="0.2">
      <c r="A2260" t="s">
        <v>1683</v>
      </c>
      <c r="C2260">
        <v>15.550700000000003</v>
      </c>
      <c r="D2260" s="2">
        <v>44882</v>
      </c>
    </row>
    <row r="2261" spans="1:4" x14ac:dyDescent="0.2">
      <c r="A2261" t="s">
        <v>1675</v>
      </c>
      <c r="C2261">
        <v>7.2941000000000011</v>
      </c>
      <c r="D2261" s="2">
        <v>44882</v>
      </c>
    </row>
    <row r="2262" spans="1:4" x14ac:dyDescent="0.2">
      <c r="A2262" t="s">
        <v>1681</v>
      </c>
      <c r="C2262">
        <v>6.7595000000000001</v>
      </c>
      <c r="D2262" s="2">
        <v>44882</v>
      </c>
    </row>
    <row r="2263" spans="1:4" x14ac:dyDescent="0.2">
      <c r="A2263" t="s">
        <v>1662</v>
      </c>
      <c r="C2263">
        <v>17.748500000000003</v>
      </c>
      <c r="D2263" s="2">
        <v>44882</v>
      </c>
    </row>
    <row r="2264" spans="1:4" x14ac:dyDescent="0.2">
      <c r="A2264" t="s">
        <v>1663</v>
      </c>
      <c r="C2264">
        <v>6.2964000000000011</v>
      </c>
      <c r="D2264" s="2">
        <v>44882</v>
      </c>
    </row>
    <row r="2265" spans="1:4" x14ac:dyDescent="0.2">
      <c r="A2265" t="s">
        <v>1664</v>
      </c>
      <c r="C2265">
        <v>8.3875000000000011</v>
      </c>
      <c r="D2265" s="2">
        <v>44882</v>
      </c>
    </row>
    <row r="2266" spans="1:4" x14ac:dyDescent="0.2">
      <c r="A2266" t="s">
        <v>1665</v>
      </c>
      <c r="C2266">
        <v>25.339600000000004</v>
      </c>
      <c r="D2266" s="2">
        <v>44882</v>
      </c>
    </row>
    <row r="2267" spans="1:4" x14ac:dyDescent="0.2">
      <c r="A2267" t="s">
        <v>1667</v>
      </c>
      <c r="C2267">
        <v>25.779600000000002</v>
      </c>
      <c r="D2267" s="2">
        <v>44882</v>
      </c>
    </row>
    <row r="2268" spans="1:4" x14ac:dyDescent="0.2">
      <c r="A2268" t="s">
        <v>1666</v>
      </c>
      <c r="C2268">
        <v>36.8401</v>
      </c>
      <c r="D2268" s="2">
        <v>44882</v>
      </c>
    </row>
    <row r="2269" spans="1:4" x14ac:dyDescent="0.2">
      <c r="A2269" t="s">
        <v>1670</v>
      </c>
      <c r="C2269">
        <v>73.986000000000018</v>
      </c>
      <c r="D2269" s="2">
        <v>44882</v>
      </c>
    </row>
    <row r="2270" spans="1:4" x14ac:dyDescent="0.2">
      <c r="A2270" t="s">
        <v>1671</v>
      </c>
      <c r="C2270">
        <v>43.758000000000003</v>
      </c>
      <c r="D2270" s="2">
        <v>44882</v>
      </c>
    </row>
    <row r="2271" spans="1:4" x14ac:dyDescent="0.2">
      <c r="A2271" t="s">
        <v>1672</v>
      </c>
      <c r="C2271">
        <v>69.806000000000012</v>
      </c>
      <c r="D2271" s="2">
        <v>44882</v>
      </c>
    </row>
    <row r="2272" spans="1:4" x14ac:dyDescent="0.2">
      <c r="A2272" t="s">
        <v>1673</v>
      </c>
      <c r="C2272">
        <v>80.926999999999992</v>
      </c>
      <c r="D2272" s="2">
        <v>44882</v>
      </c>
    </row>
    <row r="2273" spans="1:4" x14ac:dyDescent="0.2">
      <c r="A2273" t="s">
        <v>1674</v>
      </c>
      <c r="C2273">
        <v>123.66200000000001</v>
      </c>
      <c r="D2273" s="2">
        <v>44882</v>
      </c>
    </row>
    <row r="2274" spans="1:4" x14ac:dyDescent="0.2">
      <c r="A2274" t="s">
        <v>1668</v>
      </c>
      <c r="C2274">
        <v>21.122200000000003</v>
      </c>
      <c r="D2274" s="2">
        <v>44882</v>
      </c>
    </row>
    <row r="2275" spans="1:4" x14ac:dyDescent="0.2">
      <c r="A2275" t="s">
        <v>1669</v>
      </c>
      <c r="C2275">
        <v>32.848199999999999</v>
      </c>
      <c r="D2275" s="2">
        <v>44882</v>
      </c>
    </row>
    <row r="2276" spans="1:4" x14ac:dyDescent="0.2">
      <c r="A2276" t="s">
        <v>1685</v>
      </c>
      <c r="C2276">
        <v>43.427999999999997</v>
      </c>
      <c r="D2276" s="2">
        <v>44882</v>
      </c>
    </row>
    <row r="2277" spans="1:4" x14ac:dyDescent="0.2">
      <c r="A2277" t="s">
        <v>1687</v>
      </c>
      <c r="C2277">
        <v>52.206000000000003</v>
      </c>
      <c r="D2277" s="2">
        <v>44882</v>
      </c>
    </row>
    <row r="2278" spans="1:4" x14ac:dyDescent="0.2">
      <c r="A2278" t="s">
        <v>1944</v>
      </c>
      <c r="C2278">
        <v>109.33560000000001</v>
      </c>
      <c r="D2278" s="2">
        <v>44882</v>
      </c>
    </row>
    <row r="2279" spans="1:4" x14ac:dyDescent="0.2">
      <c r="A2279" t="s">
        <v>1684</v>
      </c>
      <c r="C2279">
        <v>32.120000000000005</v>
      </c>
      <c r="D2279" s="2">
        <v>44882</v>
      </c>
    </row>
    <row r="2280" spans="1:4" x14ac:dyDescent="0.2">
      <c r="A2280" t="s">
        <v>1686</v>
      </c>
      <c r="C2280">
        <v>25.399000000000001</v>
      </c>
      <c r="D2280" s="2">
        <v>44882</v>
      </c>
    </row>
    <row r="2281" spans="1:4" x14ac:dyDescent="0.2">
      <c r="A2281" t="s">
        <v>1860</v>
      </c>
      <c r="C2281">
        <v>13.717000000000002</v>
      </c>
      <c r="D2281" s="2">
        <v>44882</v>
      </c>
    </row>
    <row r="2282" spans="1:4" x14ac:dyDescent="0.2">
      <c r="A2282" t="s">
        <v>1862</v>
      </c>
      <c r="C2282">
        <v>14.102000000000002</v>
      </c>
      <c r="D2282" s="2">
        <v>44882</v>
      </c>
    </row>
    <row r="2283" spans="1:4" x14ac:dyDescent="0.2">
      <c r="A2283" t="s">
        <v>1861</v>
      </c>
      <c r="C2283">
        <v>13.112</v>
      </c>
      <c r="D2283" s="2">
        <v>44882</v>
      </c>
    </row>
    <row r="2284" spans="1:4" x14ac:dyDescent="0.2">
      <c r="A2284" t="s">
        <v>1628</v>
      </c>
      <c r="C2284">
        <v>4.5979999999999999</v>
      </c>
      <c r="D2284" s="2">
        <v>44882</v>
      </c>
    </row>
    <row r="2285" spans="1:4" x14ac:dyDescent="0.2">
      <c r="A2285" t="s">
        <v>1635</v>
      </c>
      <c r="C2285">
        <v>52.019000000000005</v>
      </c>
      <c r="D2285" s="2">
        <v>44882</v>
      </c>
    </row>
    <row r="2286" spans="1:4" x14ac:dyDescent="0.2">
      <c r="A2286" t="s">
        <v>1859</v>
      </c>
      <c r="C2286">
        <v>13.717000000000002</v>
      </c>
      <c r="D2286" s="2">
        <v>44882</v>
      </c>
    </row>
    <row r="2287" spans="1:4" x14ac:dyDescent="0.2">
      <c r="A2287" t="s">
        <v>1758</v>
      </c>
      <c r="C2287">
        <v>26.334000000000003</v>
      </c>
      <c r="D2287" s="2">
        <v>44882</v>
      </c>
    </row>
    <row r="2288" spans="1:4" x14ac:dyDescent="0.2">
      <c r="A2288" t="s">
        <v>1759</v>
      </c>
      <c r="C2288">
        <v>38.466999999999999</v>
      </c>
      <c r="D2288" s="2">
        <v>44882</v>
      </c>
    </row>
    <row r="2289" spans="1:4" x14ac:dyDescent="0.2">
      <c r="A2289" t="s">
        <v>2110</v>
      </c>
      <c r="C2289">
        <v>60.753</v>
      </c>
      <c r="D2289" s="2">
        <v>44882</v>
      </c>
    </row>
    <row r="2290" spans="1:4" x14ac:dyDescent="0.2">
      <c r="A2290" t="s">
        <v>1688</v>
      </c>
      <c r="C2290">
        <v>48.807000000000002</v>
      </c>
      <c r="D2290" s="2">
        <v>44882</v>
      </c>
    </row>
    <row r="2291" spans="1:4" x14ac:dyDescent="0.2">
      <c r="A2291" t="s">
        <v>1689</v>
      </c>
      <c r="C2291">
        <v>51.376050000000006</v>
      </c>
      <c r="D2291" s="2">
        <v>44882</v>
      </c>
    </row>
    <row r="2292" spans="1:4" x14ac:dyDescent="0.2">
      <c r="A2292" t="s">
        <v>1690</v>
      </c>
      <c r="C2292">
        <v>56.741850000000007</v>
      </c>
      <c r="D2292" s="2">
        <v>44882</v>
      </c>
    </row>
    <row r="2293" spans="1:4" x14ac:dyDescent="0.2">
      <c r="A2293" t="s">
        <v>1691</v>
      </c>
      <c r="C2293">
        <v>64.122299999999996</v>
      </c>
      <c r="D2293" s="2">
        <v>44882</v>
      </c>
    </row>
    <row r="2294" spans="1:4" x14ac:dyDescent="0.2">
      <c r="A2294" t="s">
        <v>1692</v>
      </c>
      <c r="C2294">
        <v>88.629750000000016</v>
      </c>
      <c r="D2294" s="2">
        <v>44882</v>
      </c>
    </row>
    <row r="2295" spans="1:4" x14ac:dyDescent="0.2">
      <c r="A2295" t="s">
        <v>1693</v>
      </c>
      <c r="C2295">
        <v>215.93000000000004</v>
      </c>
      <c r="D2295" s="2">
        <v>44882</v>
      </c>
    </row>
    <row r="2296" spans="1:4" x14ac:dyDescent="0.2">
      <c r="A2296" t="s">
        <v>1694</v>
      </c>
      <c r="C2296">
        <v>264.55</v>
      </c>
      <c r="D2296" s="2">
        <v>44882</v>
      </c>
    </row>
    <row r="2297" spans="1:4" x14ac:dyDescent="0.2">
      <c r="A2297" t="s">
        <v>1764</v>
      </c>
      <c r="C2297">
        <v>238.81</v>
      </c>
      <c r="D2297" s="2">
        <v>44882</v>
      </c>
    </row>
    <row r="2298" spans="1:4" x14ac:dyDescent="0.2">
      <c r="A2298" t="s">
        <v>1765</v>
      </c>
      <c r="C2298">
        <v>255.25500000000002</v>
      </c>
      <c r="D2298" s="2">
        <v>44882</v>
      </c>
    </row>
    <row r="2299" spans="1:4" x14ac:dyDescent="0.2">
      <c r="A2299" t="s">
        <v>1698</v>
      </c>
      <c r="C2299">
        <v>40.524000000000008</v>
      </c>
      <c r="D2299" s="2">
        <v>44882</v>
      </c>
    </row>
    <row r="2300" spans="1:4" x14ac:dyDescent="0.2">
      <c r="A2300" t="s">
        <v>1697</v>
      </c>
      <c r="C2300">
        <v>35.343000000000004</v>
      </c>
      <c r="D2300" s="2">
        <v>44882</v>
      </c>
    </row>
    <row r="2301" spans="1:4" x14ac:dyDescent="0.2">
      <c r="A2301" t="s">
        <v>1696</v>
      </c>
      <c r="C2301">
        <v>97.064000000000007</v>
      </c>
      <c r="D2301" s="2">
        <v>44882</v>
      </c>
    </row>
    <row r="2302" spans="1:4" x14ac:dyDescent="0.2">
      <c r="A2302" t="s">
        <v>1766</v>
      </c>
      <c r="C2302">
        <v>173.94300000000001</v>
      </c>
      <c r="D2302" s="2">
        <v>44882</v>
      </c>
    </row>
    <row r="2303" spans="1:4" x14ac:dyDescent="0.2">
      <c r="A2303" t="s">
        <v>1695</v>
      </c>
      <c r="C2303">
        <v>160.58900000000003</v>
      </c>
      <c r="D2303" s="2">
        <v>44882</v>
      </c>
    </row>
    <row r="2304" spans="1:4" x14ac:dyDescent="0.2">
      <c r="A2304" t="s">
        <v>1922</v>
      </c>
      <c r="C2304">
        <v>461.94500000000005</v>
      </c>
      <c r="D2304" s="2">
        <v>44882</v>
      </c>
    </row>
    <row r="2305" spans="1:4" x14ac:dyDescent="0.2">
      <c r="A2305" t="s">
        <v>1923</v>
      </c>
      <c r="C2305">
        <v>377.41000000000008</v>
      </c>
      <c r="D2305" s="2">
        <v>44882</v>
      </c>
    </row>
    <row r="2306" spans="1:4" x14ac:dyDescent="0.2">
      <c r="A2306" t="s">
        <v>1700</v>
      </c>
      <c r="C2306">
        <v>74.965000000000018</v>
      </c>
      <c r="D2306" s="2">
        <v>44882</v>
      </c>
    </row>
    <row r="2307" spans="1:4" x14ac:dyDescent="0.2">
      <c r="A2307" t="s">
        <v>1699</v>
      </c>
      <c r="C2307">
        <v>21.681000000000001</v>
      </c>
      <c r="D2307" s="2">
        <v>44882</v>
      </c>
    </row>
    <row r="2308" spans="1:4" x14ac:dyDescent="0.2">
      <c r="A2308" t="s">
        <v>1701</v>
      </c>
      <c r="C2308">
        <v>7731.9000000000005</v>
      </c>
      <c r="D2308" s="2">
        <v>44882</v>
      </c>
    </row>
    <row r="2309" spans="1:4" x14ac:dyDescent="0.2">
      <c r="A2309" t="s">
        <v>2014</v>
      </c>
      <c r="C2309">
        <v>4852.1000000000004</v>
      </c>
      <c r="D2309" s="2">
        <v>44882</v>
      </c>
    </row>
    <row r="2310" spans="1:4" x14ac:dyDescent="0.2">
      <c r="A2310" t="s">
        <v>1704</v>
      </c>
      <c r="C2310">
        <v>302.59899999999999</v>
      </c>
      <c r="D2310" s="2">
        <v>44882</v>
      </c>
    </row>
    <row r="2311" spans="1:4" x14ac:dyDescent="0.2">
      <c r="A2311" t="s">
        <v>1702</v>
      </c>
      <c r="C2311">
        <v>126.50000000000001</v>
      </c>
      <c r="D2311" s="2">
        <v>44882</v>
      </c>
    </row>
    <row r="2312" spans="1:4" x14ac:dyDescent="0.2">
      <c r="A2312" t="s">
        <v>1909</v>
      </c>
      <c r="C2312">
        <v>185.87800000000001</v>
      </c>
      <c r="D2312" s="2">
        <v>44882</v>
      </c>
    </row>
    <row r="2313" spans="1:4" x14ac:dyDescent="0.2">
      <c r="A2313" t="s">
        <v>1703</v>
      </c>
      <c r="C2313">
        <v>140.80000000000001</v>
      </c>
      <c r="D2313" s="2">
        <v>44882</v>
      </c>
    </row>
    <row r="2314" spans="1:4" x14ac:dyDescent="0.2">
      <c r="A2314" t="s">
        <v>2015</v>
      </c>
      <c r="C2314">
        <v>378.40000000000003</v>
      </c>
      <c r="D2314" s="2">
        <v>44882</v>
      </c>
    </row>
    <row r="2315" spans="1:4" x14ac:dyDescent="0.2">
      <c r="A2315" t="s">
        <v>2017</v>
      </c>
      <c r="C2315">
        <v>123.20000000000002</v>
      </c>
      <c r="D2315" s="2">
        <v>44882</v>
      </c>
    </row>
    <row r="2316" spans="1:4" x14ac:dyDescent="0.2">
      <c r="A2316" t="s">
        <v>1991</v>
      </c>
      <c r="C2316">
        <v>108.9</v>
      </c>
      <c r="D2316" s="2">
        <v>44882</v>
      </c>
    </row>
    <row r="2317" spans="1:4" x14ac:dyDescent="0.2">
      <c r="A2317" t="s">
        <v>1974</v>
      </c>
      <c r="C2317">
        <v>555.5</v>
      </c>
      <c r="D2317" s="2">
        <v>44882</v>
      </c>
    </row>
    <row r="2318" spans="1:4" x14ac:dyDescent="0.2">
      <c r="A2318" t="s">
        <v>1987</v>
      </c>
      <c r="C2318">
        <v>154</v>
      </c>
      <c r="D2318" s="2">
        <v>44882</v>
      </c>
    </row>
    <row r="2319" spans="1:4" x14ac:dyDescent="0.2">
      <c r="A2319" t="s">
        <v>2018</v>
      </c>
      <c r="C2319">
        <v>72.831000000000003</v>
      </c>
      <c r="D2319" s="2">
        <v>44882</v>
      </c>
    </row>
    <row r="2320" spans="1:4" x14ac:dyDescent="0.2">
      <c r="A2320" t="s">
        <v>2559</v>
      </c>
      <c r="C2320">
        <v>79.244000000000014</v>
      </c>
      <c r="D2320" s="2">
        <v>44882</v>
      </c>
    </row>
    <row r="2321" spans="1:4" x14ac:dyDescent="0.2">
      <c r="A2321" t="s">
        <v>2560</v>
      </c>
      <c r="C2321">
        <v>4.8070000000000004</v>
      </c>
      <c r="D2321" s="2">
        <v>44882</v>
      </c>
    </row>
    <row r="2322" spans="1:4" x14ac:dyDescent="0.2">
      <c r="A2322" t="s">
        <v>2561</v>
      </c>
      <c r="C2322">
        <v>79.244000000000014</v>
      </c>
      <c r="D2322" s="2">
        <v>44882</v>
      </c>
    </row>
    <row r="2323" spans="1:4" x14ac:dyDescent="0.2">
      <c r="A2323" t="s">
        <v>1930</v>
      </c>
      <c r="C2323">
        <v>2535.5</v>
      </c>
      <c r="D2323" s="2">
        <v>44882</v>
      </c>
    </row>
    <row r="2324" spans="1:4" x14ac:dyDescent="0.2">
      <c r="A2324" t="s">
        <v>1931</v>
      </c>
      <c r="C2324">
        <v>3025.0000000000005</v>
      </c>
      <c r="D2324" s="2">
        <v>44882</v>
      </c>
    </row>
    <row r="2325" spans="1:4" x14ac:dyDescent="0.2">
      <c r="A2325" t="s">
        <v>1932</v>
      </c>
      <c r="C2325">
        <v>2695</v>
      </c>
      <c r="D2325" s="2">
        <v>44882</v>
      </c>
    </row>
    <row r="2326" spans="1:4" x14ac:dyDescent="0.2">
      <c r="A2326" t="s">
        <v>1933</v>
      </c>
      <c r="C2326">
        <v>3080.0000000000005</v>
      </c>
      <c r="D2326" s="2">
        <v>44882</v>
      </c>
    </row>
    <row r="2327" spans="1:4" x14ac:dyDescent="0.2">
      <c r="A2327" t="s">
        <v>1934</v>
      </c>
      <c r="C2327">
        <v>2926.0000000000005</v>
      </c>
      <c r="D2327" s="2">
        <v>44882</v>
      </c>
    </row>
    <row r="2328" spans="1:4" x14ac:dyDescent="0.2">
      <c r="A2328" t="s">
        <v>1935</v>
      </c>
      <c r="C2328">
        <v>3300.0000000000005</v>
      </c>
      <c r="D2328" s="2">
        <v>44882</v>
      </c>
    </row>
    <row r="2329" spans="1:4" x14ac:dyDescent="0.2">
      <c r="A2329" t="s">
        <v>1960</v>
      </c>
      <c r="C2329">
        <v>1166</v>
      </c>
      <c r="D2329" s="2">
        <v>44882</v>
      </c>
    </row>
    <row r="2330" spans="1:4" x14ac:dyDescent="0.2">
      <c r="A2330" t="s">
        <v>1961</v>
      </c>
      <c r="C2330">
        <v>1573.0000000000002</v>
      </c>
      <c r="D2330" s="2">
        <v>44882</v>
      </c>
    </row>
    <row r="2331" spans="1:4" x14ac:dyDescent="0.2">
      <c r="A2331" t="s">
        <v>1962</v>
      </c>
      <c r="C2331">
        <v>1314.5</v>
      </c>
      <c r="D2331" s="2">
        <v>44882</v>
      </c>
    </row>
    <row r="2332" spans="1:4" x14ac:dyDescent="0.2">
      <c r="A2332" t="s">
        <v>1963</v>
      </c>
      <c r="C2332">
        <v>1732.5000000000002</v>
      </c>
      <c r="D2332" s="2">
        <v>44882</v>
      </c>
    </row>
    <row r="2333" spans="1:4" x14ac:dyDescent="0.2">
      <c r="A2333" t="s">
        <v>1964</v>
      </c>
      <c r="C2333">
        <v>1562.0000000000002</v>
      </c>
      <c r="D2333" s="2">
        <v>44882</v>
      </c>
    </row>
    <row r="2334" spans="1:4" x14ac:dyDescent="0.2">
      <c r="A2334" t="s">
        <v>1965</v>
      </c>
      <c r="C2334">
        <v>1974.5000000000002</v>
      </c>
      <c r="D2334" s="2">
        <v>44882</v>
      </c>
    </row>
    <row r="2335" spans="1:4" x14ac:dyDescent="0.2">
      <c r="A2335" t="s">
        <v>1971</v>
      </c>
      <c r="C2335">
        <v>100.10000000000001</v>
      </c>
      <c r="D2335" s="2">
        <v>44882</v>
      </c>
    </row>
    <row r="2336" spans="1:4" x14ac:dyDescent="0.2">
      <c r="A2336" t="s">
        <v>1972</v>
      </c>
      <c r="C2336">
        <v>90.2</v>
      </c>
      <c r="D2336" s="2">
        <v>44882</v>
      </c>
    </row>
    <row r="2337" spans="1:4" x14ac:dyDescent="0.2">
      <c r="A2337" t="s">
        <v>1973</v>
      </c>
      <c r="C2337">
        <v>90.2</v>
      </c>
      <c r="D2337" s="2">
        <v>44882</v>
      </c>
    </row>
    <row r="2338" spans="1:4" x14ac:dyDescent="0.2">
      <c r="A2338" t="s">
        <v>1990</v>
      </c>
      <c r="C2338">
        <v>2120.8000000000002</v>
      </c>
      <c r="D2338" s="2">
        <v>44882</v>
      </c>
    </row>
    <row r="2339" spans="1:4" x14ac:dyDescent="0.2">
      <c r="A2339" t="s">
        <v>1756</v>
      </c>
      <c r="C2339">
        <v>363.00000000000006</v>
      </c>
      <c r="D2339" s="2">
        <v>44882</v>
      </c>
    </row>
    <row r="2340" spans="1:4" x14ac:dyDescent="0.2">
      <c r="A2340" t="s">
        <v>1757</v>
      </c>
      <c r="C2340">
        <v>9.7900000000000009</v>
      </c>
      <c r="D2340" s="2">
        <v>44882</v>
      </c>
    </row>
    <row r="2341" spans="1:4" x14ac:dyDescent="0.2">
      <c r="A2341" t="s">
        <v>1705</v>
      </c>
      <c r="C2341">
        <v>21.042999999999999</v>
      </c>
      <c r="D2341" s="2">
        <v>44882</v>
      </c>
    </row>
    <row r="2342" spans="1:4" x14ac:dyDescent="0.2">
      <c r="A2342" t="s">
        <v>1966</v>
      </c>
      <c r="C2342">
        <v>973.50000000000011</v>
      </c>
      <c r="D2342" s="2">
        <v>44882</v>
      </c>
    </row>
    <row r="2343" spans="1:4" x14ac:dyDescent="0.2">
      <c r="A2343" t="s">
        <v>1967</v>
      </c>
      <c r="C2343">
        <v>974.6</v>
      </c>
      <c r="D2343" s="2">
        <v>44882</v>
      </c>
    </row>
    <row r="2344" spans="1:4" x14ac:dyDescent="0.2">
      <c r="A2344" t="s">
        <v>1968</v>
      </c>
      <c r="C2344">
        <v>1273.8000000000002</v>
      </c>
      <c r="D2344" s="2">
        <v>44882</v>
      </c>
    </row>
    <row r="2345" spans="1:4" x14ac:dyDescent="0.2">
      <c r="A2345" t="s">
        <v>1969</v>
      </c>
      <c r="C2345">
        <v>1241.9000000000001</v>
      </c>
      <c r="D2345" s="2">
        <v>44882</v>
      </c>
    </row>
    <row r="2346" spans="1:4" x14ac:dyDescent="0.2">
      <c r="A2346" t="s">
        <v>1970</v>
      </c>
      <c r="C2346">
        <v>709.50000000000011</v>
      </c>
      <c r="D2346" s="2">
        <v>44882</v>
      </c>
    </row>
    <row r="2347" spans="1:4" x14ac:dyDescent="0.2">
      <c r="A2347" t="s">
        <v>1975</v>
      </c>
      <c r="C2347">
        <v>608.30000000000007</v>
      </c>
      <c r="D2347" s="2">
        <v>44882</v>
      </c>
    </row>
    <row r="2348" spans="1:4" x14ac:dyDescent="0.2">
      <c r="A2348" t="s">
        <v>1976</v>
      </c>
      <c r="C2348">
        <v>1034</v>
      </c>
      <c r="D2348" s="2">
        <v>44882</v>
      </c>
    </row>
    <row r="2349" spans="1:4" x14ac:dyDescent="0.2">
      <c r="A2349" t="s">
        <v>1977</v>
      </c>
      <c r="C2349">
        <v>1274.9000000000001</v>
      </c>
      <c r="D2349" s="2">
        <v>44882</v>
      </c>
    </row>
    <row r="2350" spans="1:4" x14ac:dyDescent="0.2">
      <c r="A2350" t="s">
        <v>1978</v>
      </c>
      <c r="C2350">
        <v>1034</v>
      </c>
      <c r="D2350" s="2">
        <v>44882</v>
      </c>
    </row>
    <row r="2351" spans="1:4" x14ac:dyDescent="0.2">
      <c r="A2351" t="s">
        <v>1979</v>
      </c>
      <c r="C2351">
        <v>1523.5000000000002</v>
      </c>
      <c r="D2351" s="2">
        <v>44882</v>
      </c>
    </row>
    <row r="2352" spans="1:4" x14ac:dyDescent="0.2">
      <c r="A2352" t="s">
        <v>1980</v>
      </c>
      <c r="C2352">
        <v>1193.9950000000001</v>
      </c>
      <c r="D2352" s="2">
        <v>44882</v>
      </c>
    </row>
    <row r="2353" spans="1:4" x14ac:dyDescent="0.2">
      <c r="A2353" t="s">
        <v>1982</v>
      </c>
      <c r="C2353">
        <v>2197.8000000000002</v>
      </c>
      <c r="D2353" s="2">
        <v>44882</v>
      </c>
    </row>
    <row r="2354" spans="1:4" x14ac:dyDescent="0.2">
      <c r="A2354" t="s">
        <v>1981</v>
      </c>
      <c r="C2354">
        <v>2070.5520000000001</v>
      </c>
      <c r="D2354" s="2">
        <v>44882</v>
      </c>
    </row>
    <row r="2355" spans="1:4" x14ac:dyDescent="0.2">
      <c r="A2355" t="s">
        <v>1983</v>
      </c>
      <c r="C2355">
        <v>255.75000000000003</v>
      </c>
      <c r="D2355" s="2">
        <v>44882</v>
      </c>
    </row>
    <row r="2356" spans="1:4" x14ac:dyDescent="0.2">
      <c r="A2356" t="s">
        <v>1984</v>
      </c>
      <c r="C2356">
        <v>2530</v>
      </c>
      <c r="D2356" s="2">
        <v>44882</v>
      </c>
    </row>
    <row r="2357" spans="1:4" x14ac:dyDescent="0.2">
      <c r="A2357" t="s">
        <v>1985</v>
      </c>
      <c r="C2357">
        <v>2530</v>
      </c>
      <c r="D2357" s="2">
        <v>44882</v>
      </c>
    </row>
    <row r="2358" spans="1:4" x14ac:dyDescent="0.2">
      <c r="A2358" t="s">
        <v>1988</v>
      </c>
      <c r="C2358">
        <v>77</v>
      </c>
      <c r="D2358" s="2">
        <v>44882</v>
      </c>
    </row>
    <row r="2359" spans="1:4" x14ac:dyDescent="0.2">
      <c r="A2359" t="s">
        <v>1989</v>
      </c>
      <c r="C2359">
        <v>106.7</v>
      </c>
      <c r="D2359" s="2">
        <v>44882</v>
      </c>
    </row>
    <row r="2360" spans="1:4" x14ac:dyDescent="0.2">
      <c r="A2360" t="s">
        <v>1986</v>
      </c>
      <c r="C2360">
        <v>83.600000000000009</v>
      </c>
      <c r="D2360" s="2">
        <v>44882</v>
      </c>
    </row>
    <row r="2361" spans="1:4" x14ac:dyDescent="0.2">
      <c r="A2361" t="s">
        <v>2011</v>
      </c>
      <c r="C2361">
        <v>280.66500000000002</v>
      </c>
      <c r="D2361" s="2">
        <v>44882</v>
      </c>
    </row>
    <row r="2362" spans="1:4" x14ac:dyDescent="0.2">
      <c r="A2362" t="s">
        <v>2012</v>
      </c>
      <c r="C2362">
        <v>301.45500000000004</v>
      </c>
      <c r="D2362" s="2">
        <v>44882</v>
      </c>
    </row>
    <row r="2363" spans="1:4" x14ac:dyDescent="0.2">
      <c r="A2363" t="s">
        <v>2013</v>
      </c>
      <c r="C2363">
        <v>366.29669999999999</v>
      </c>
      <c r="D2363" s="2">
        <v>44882</v>
      </c>
    </row>
    <row r="2364" spans="1:4" x14ac:dyDescent="0.2">
      <c r="A2364" t="s">
        <v>1920</v>
      </c>
      <c r="C2364">
        <v>683.68299999999999</v>
      </c>
      <c r="D2364" s="2">
        <v>44882</v>
      </c>
    </row>
    <row r="2365" spans="1:4" x14ac:dyDescent="0.2">
      <c r="A2365" t="s">
        <v>1919</v>
      </c>
      <c r="C2365">
        <v>733.34799999999996</v>
      </c>
      <c r="D2365" s="2">
        <v>44882</v>
      </c>
    </row>
    <row r="2366" spans="1:4" x14ac:dyDescent="0.2">
      <c r="A2366" t="s">
        <v>1918</v>
      </c>
      <c r="C2366">
        <v>842.0390000000001</v>
      </c>
      <c r="D2366" s="2">
        <v>44882</v>
      </c>
    </row>
    <row r="2367" spans="1:4" x14ac:dyDescent="0.2">
      <c r="A2367" t="s">
        <v>1921</v>
      </c>
      <c r="C2367">
        <v>165</v>
      </c>
      <c r="D2367" s="2">
        <v>44882</v>
      </c>
    </row>
    <row r="2368" spans="1:4" x14ac:dyDescent="0.2">
      <c r="A2368" t="s">
        <v>1706</v>
      </c>
      <c r="C2368">
        <v>412.50000000000006</v>
      </c>
      <c r="D2368" s="2">
        <v>44882</v>
      </c>
    </row>
    <row r="2369" spans="1:4" x14ac:dyDescent="0.2">
      <c r="A2369" t="s">
        <v>2111</v>
      </c>
      <c r="C2369">
        <v>4.6084500000000004</v>
      </c>
      <c r="D2369" s="2">
        <v>44882</v>
      </c>
    </row>
    <row r="2370" spans="1:4" x14ac:dyDescent="0.2">
      <c r="A2370" t="s">
        <v>2112</v>
      </c>
      <c r="C2370">
        <v>1.5246000000000002</v>
      </c>
      <c r="D2370" s="2">
        <v>44882</v>
      </c>
    </row>
    <row r="2371" spans="1:4" x14ac:dyDescent="0.2">
      <c r="A2371" t="s">
        <v>2113</v>
      </c>
      <c r="C2371">
        <v>32.501700000000007</v>
      </c>
      <c r="D2371" s="2">
        <v>44882</v>
      </c>
    </row>
    <row r="2372" spans="1:4" x14ac:dyDescent="0.2">
      <c r="A2372" t="s">
        <v>2114</v>
      </c>
      <c r="C2372">
        <v>4.8278999999999996</v>
      </c>
      <c r="D2372" s="2">
        <v>44882</v>
      </c>
    </row>
    <row r="2373" spans="1:4" x14ac:dyDescent="0.2">
      <c r="A2373" t="s">
        <v>2115</v>
      </c>
      <c r="C2373">
        <v>15.246</v>
      </c>
      <c r="D2373" s="2">
        <v>44882</v>
      </c>
    </row>
    <row r="2374" spans="1:4" x14ac:dyDescent="0.2">
      <c r="A2374" t="s">
        <v>2116</v>
      </c>
      <c r="C2374">
        <v>1554.432</v>
      </c>
      <c r="D2374" s="2">
        <v>44882</v>
      </c>
    </row>
    <row r="2375" spans="1:4" x14ac:dyDescent="0.2">
      <c r="A2375" t="s">
        <v>1925</v>
      </c>
      <c r="C2375">
        <v>1.3860000000000001</v>
      </c>
      <c r="D2375" s="2">
        <v>44882</v>
      </c>
    </row>
    <row r="2376" spans="1:4" x14ac:dyDescent="0.2">
      <c r="A2376" t="s">
        <v>2117</v>
      </c>
      <c r="C2376">
        <v>438.90000000000003</v>
      </c>
      <c r="D2376" s="2">
        <v>44882</v>
      </c>
    </row>
    <row r="2377" spans="1:4" x14ac:dyDescent="0.2">
      <c r="A2377" t="s">
        <v>2016</v>
      </c>
      <c r="C2377">
        <v>4471.1040000000003</v>
      </c>
      <c r="D2377" s="2">
        <v>44882</v>
      </c>
    </row>
    <row r="2378" spans="1:4" x14ac:dyDescent="0.2">
      <c r="A2378" t="s">
        <v>2118</v>
      </c>
      <c r="C2378">
        <v>6121.9840000000013</v>
      </c>
      <c r="D2378" s="2">
        <v>44882</v>
      </c>
    </row>
    <row r="2379" spans="1:4" x14ac:dyDescent="0.2">
      <c r="A2379" t="s">
        <v>2119</v>
      </c>
      <c r="C2379">
        <v>9691.264000000001</v>
      </c>
      <c r="D2379" s="2">
        <v>44882</v>
      </c>
    </row>
    <row r="2380" spans="1:4" x14ac:dyDescent="0.2">
      <c r="A2380" t="s">
        <v>2120</v>
      </c>
      <c r="C2380">
        <v>39.500999999999998</v>
      </c>
      <c r="D2380" s="2">
        <v>44882</v>
      </c>
    </row>
    <row r="2381" spans="1:4" x14ac:dyDescent="0.2">
      <c r="A2381" t="s">
        <v>1993</v>
      </c>
      <c r="C2381">
        <v>249.70000000000002</v>
      </c>
      <c r="D2381" s="2">
        <v>44882</v>
      </c>
    </row>
    <row r="2382" spans="1:4" x14ac:dyDescent="0.2">
      <c r="A2382" t="s">
        <v>1994</v>
      </c>
      <c r="C2382">
        <v>338.8</v>
      </c>
      <c r="D2382" s="2">
        <v>44882</v>
      </c>
    </row>
    <row r="2383" spans="1:4" x14ac:dyDescent="0.2">
      <c r="A2383" t="s">
        <v>1992</v>
      </c>
      <c r="C2383">
        <v>724.90000000000009</v>
      </c>
      <c r="D2383" s="2">
        <v>44882</v>
      </c>
    </row>
    <row r="2384" spans="1:4" x14ac:dyDescent="0.2">
      <c r="A2384" t="s">
        <v>1995</v>
      </c>
      <c r="C2384">
        <v>544.5</v>
      </c>
      <c r="D2384" s="2">
        <v>44882</v>
      </c>
    </row>
    <row r="2385" spans="1:4" x14ac:dyDescent="0.2">
      <c r="A2385" t="s">
        <v>1996</v>
      </c>
      <c r="C2385">
        <v>573.1</v>
      </c>
      <c r="D2385" s="2">
        <v>44882</v>
      </c>
    </row>
    <row r="2386" spans="1:4" x14ac:dyDescent="0.2">
      <c r="A2386" t="s">
        <v>1997</v>
      </c>
      <c r="C2386">
        <v>935.00000000000011</v>
      </c>
      <c r="D2386" s="2">
        <v>44882</v>
      </c>
    </row>
    <row r="2387" spans="1:4" x14ac:dyDescent="0.2">
      <c r="A2387" t="s">
        <v>1998</v>
      </c>
      <c r="C2387">
        <v>1247.4000000000001</v>
      </c>
      <c r="D2387" s="2">
        <v>44882</v>
      </c>
    </row>
    <row r="2388" spans="1:4" x14ac:dyDescent="0.2">
      <c r="A2388" t="s">
        <v>1999</v>
      </c>
      <c r="C2388">
        <v>807.40000000000009</v>
      </c>
      <c r="D2388" s="2">
        <v>44882</v>
      </c>
    </row>
    <row r="2389" spans="1:4" x14ac:dyDescent="0.2">
      <c r="A2389" t="s">
        <v>2000</v>
      </c>
      <c r="C2389">
        <v>306.31700000000006</v>
      </c>
      <c r="D2389" s="2">
        <v>44882</v>
      </c>
    </row>
    <row r="2390" spans="1:4" x14ac:dyDescent="0.2">
      <c r="A2390" t="s">
        <v>2001</v>
      </c>
      <c r="C2390">
        <v>490.6</v>
      </c>
      <c r="D2390" s="2">
        <v>44882</v>
      </c>
    </row>
    <row r="2391" spans="1:4" x14ac:dyDescent="0.2">
      <c r="A2391" t="s">
        <v>2002</v>
      </c>
      <c r="C2391">
        <v>344.57500000000005</v>
      </c>
      <c r="D2391" s="2">
        <v>44882</v>
      </c>
    </row>
    <row r="2392" spans="1:4" x14ac:dyDescent="0.2">
      <c r="A2392" t="s">
        <v>2003</v>
      </c>
      <c r="C2392">
        <v>539.51700000000005</v>
      </c>
      <c r="D2392" s="2">
        <v>44882</v>
      </c>
    </row>
    <row r="2393" spans="1:4" x14ac:dyDescent="0.2">
      <c r="A2393" t="s">
        <v>2004</v>
      </c>
      <c r="C2393">
        <v>3322.0000000000005</v>
      </c>
      <c r="D2393" s="2">
        <v>44882</v>
      </c>
    </row>
    <row r="2394" spans="1:4" x14ac:dyDescent="0.2">
      <c r="A2394" t="s">
        <v>2005</v>
      </c>
      <c r="C2394">
        <v>2202.2000000000003</v>
      </c>
      <c r="D2394" s="2">
        <v>44882</v>
      </c>
    </row>
    <row r="2395" spans="1:4" x14ac:dyDescent="0.2">
      <c r="A2395" t="s">
        <v>2006</v>
      </c>
      <c r="C2395">
        <v>1252.9000000000001</v>
      </c>
      <c r="D2395" s="2">
        <v>44882</v>
      </c>
    </row>
    <row r="2396" spans="1:4" x14ac:dyDescent="0.2">
      <c r="A2396" t="s">
        <v>2007</v>
      </c>
      <c r="C2396">
        <v>591.65700000000004</v>
      </c>
      <c r="D2396" s="2">
        <v>44882</v>
      </c>
    </row>
    <row r="2397" spans="1:4" x14ac:dyDescent="0.2">
      <c r="A2397" t="s">
        <v>2008</v>
      </c>
      <c r="C2397">
        <v>2615.8000000000002</v>
      </c>
      <c r="D2397" s="2">
        <v>44882</v>
      </c>
    </row>
    <row r="2398" spans="1:4" x14ac:dyDescent="0.2">
      <c r="A2398" t="s">
        <v>2009</v>
      </c>
      <c r="C2398">
        <v>121.00000000000001</v>
      </c>
      <c r="D2398" s="2">
        <v>44882</v>
      </c>
    </row>
    <row r="2399" spans="1:4" x14ac:dyDescent="0.2">
      <c r="A2399" t="s">
        <v>2010</v>
      </c>
      <c r="C2399">
        <v>291.5</v>
      </c>
      <c r="D2399" s="2">
        <v>44882</v>
      </c>
    </row>
    <row r="2400" spans="1:4" x14ac:dyDescent="0.2">
      <c r="A2400" t="s">
        <v>1912</v>
      </c>
      <c r="C2400">
        <v>27.742000000000001</v>
      </c>
      <c r="D2400" s="2">
        <v>44882</v>
      </c>
    </row>
    <row r="2401" spans="1:4" x14ac:dyDescent="0.2">
      <c r="A2401" t="s">
        <v>1911</v>
      </c>
      <c r="C2401">
        <v>38.720000000000006</v>
      </c>
      <c r="D2401" s="2">
        <v>44882</v>
      </c>
    </row>
    <row r="2402" spans="1:4" x14ac:dyDescent="0.2">
      <c r="A2402" t="s">
        <v>1910</v>
      </c>
      <c r="C2402">
        <v>589.875</v>
      </c>
      <c r="D2402" s="2">
        <v>44882</v>
      </c>
    </row>
    <row r="2403" spans="1:4" x14ac:dyDescent="0.2">
      <c r="A2403" t="s">
        <v>1945</v>
      </c>
      <c r="C2403">
        <v>5.4780000000000006</v>
      </c>
      <c r="D2403" s="2">
        <v>44882</v>
      </c>
    </row>
    <row r="2404" spans="1:4" x14ac:dyDescent="0.2">
      <c r="A2404" t="s">
        <v>1947</v>
      </c>
      <c r="C2404">
        <v>5.1370000000000005</v>
      </c>
      <c r="D2404" s="2">
        <v>44882</v>
      </c>
    </row>
    <row r="2405" spans="1:4" x14ac:dyDescent="0.2">
      <c r="A2405" t="s">
        <v>1946</v>
      </c>
      <c r="C2405">
        <v>10.472</v>
      </c>
      <c r="D2405" s="2">
        <v>44882</v>
      </c>
    </row>
    <row r="2406" spans="1:4" x14ac:dyDescent="0.2">
      <c r="A2406" t="s">
        <v>1948</v>
      </c>
      <c r="C2406">
        <v>217.679</v>
      </c>
      <c r="D2406" s="2">
        <v>44882</v>
      </c>
    </row>
    <row r="2407" spans="1:4" x14ac:dyDescent="0.2">
      <c r="A2407" t="s">
        <v>1949</v>
      </c>
      <c r="C2407">
        <v>291.75300000000004</v>
      </c>
      <c r="D2407" s="2">
        <v>44882</v>
      </c>
    </row>
    <row r="2408" spans="1:4" x14ac:dyDescent="0.2">
      <c r="A2408" t="s">
        <v>2437</v>
      </c>
      <c r="C2408">
        <v>70.427500000000009</v>
      </c>
      <c r="D2408" s="2">
        <v>44882</v>
      </c>
    </row>
    <row r="2409" spans="1:4" x14ac:dyDescent="0.2">
      <c r="A2409" t="s">
        <v>2438</v>
      </c>
      <c r="C2409">
        <v>119.62665</v>
      </c>
      <c r="D2409" s="2">
        <v>44882</v>
      </c>
    </row>
    <row r="2410" spans="1:4" x14ac:dyDescent="0.2">
      <c r="A2410" t="s">
        <v>1871</v>
      </c>
      <c r="C2410">
        <v>18.010850000000001</v>
      </c>
      <c r="D2410" s="2">
        <v>44882</v>
      </c>
    </row>
    <row r="2411" spans="1:4" x14ac:dyDescent="0.2">
      <c r="A2411" t="s">
        <v>1776</v>
      </c>
      <c r="C2411">
        <v>92.64970000000001</v>
      </c>
      <c r="D2411" s="2">
        <v>44882</v>
      </c>
    </row>
    <row r="2412" spans="1:4" x14ac:dyDescent="0.2">
      <c r="A2412" t="s">
        <v>1777</v>
      </c>
      <c r="C2412">
        <v>172.95135000000002</v>
      </c>
      <c r="D2412" s="2">
        <v>44882</v>
      </c>
    </row>
    <row r="2413" spans="1:4" x14ac:dyDescent="0.2">
      <c r="A2413" t="s">
        <v>1778</v>
      </c>
      <c r="C2413">
        <v>225.19640000000001</v>
      </c>
      <c r="D2413" s="2">
        <v>44882</v>
      </c>
    </row>
    <row r="2414" spans="1:4" x14ac:dyDescent="0.2">
      <c r="A2414" t="s">
        <v>1784</v>
      </c>
      <c r="C2414">
        <v>93.021500000000003</v>
      </c>
      <c r="D2414" s="2">
        <v>44882</v>
      </c>
    </row>
    <row r="2415" spans="1:4" x14ac:dyDescent="0.2">
      <c r="A2415" t="s">
        <v>1872</v>
      </c>
      <c r="C2415">
        <v>117.0312</v>
      </c>
      <c r="D2415" s="2">
        <v>44882</v>
      </c>
    </row>
    <row r="2416" spans="1:4" x14ac:dyDescent="0.2">
      <c r="A2416" t="s">
        <v>1785</v>
      </c>
      <c r="C2416">
        <v>68.754400000000004</v>
      </c>
      <c r="D2416" s="2">
        <v>44882</v>
      </c>
    </row>
    <row r="2417" spans="1:4" x14ac:dyDescent="0.2">
      <c r="A2417" t="s">
        <v>1786</v>
      </c>
      <c r="C2417">
        <v>127.06265000000002</v>
      </c>
      <c r="D2417" s="2">
        <v>44882</v>
      </c>
    </row>
    <row r="2418" spans="1:4" x14ac:dyDescent="0.2">
      <c r="A2418" t="s">
        <v>1787</v>
      </c>
      <c r="C2418">
        <v>239.7681</v>
      </c>
      <c r="D2418" s="2">
        <v>44882</v>
      </c>
    </row>
    <row r="2419" spans="1:4" x14ac:dyDescent="0.2">
      <c r="A2419" t="s">
        <v>1779</v>
      </c>
      <c r="C2419">
        <v>5.4196999999999997</v>
      </c>
      <c r="D2419" s="2">
        <v>44882</v>
      </c>
    </row>
    <row r="2420" spans="1:4" x14ac:dyDescent="0.2">
      <c r="A2420" t="s">
        <v>1791</v>
      </c>
      <c r="C2420">
        <v>47.554650000000002</v>
      </c>
      <c r="D2420" s="2">
        <v>44882</v>
      </c>
    </row>
    <row r="2421" spans="1:4" x14ac:dyDescent="0.2">
      <c r="A2421" t="s">
        <v>1792</v>
      </c>
      <c r="C2421">
        <v>54.640300000000003</v>
      </c>
      <c r="D2421" s="2">
        <v>44882</v>
      </c>
    </row>
    <row r="2422" spans="1:4" x14ac:dyDescent="0.2">
      <c r="A2422" t="s">
        <v>1793</v>
      </c>
      <c r="C2422">
        <v>159.8597</v>
      </c>
      <c r="D2422" s="2">
        <v>44882</v>
      </c>
    </row>
    <row r="2423" spans="1:4" x14ac:dyDescent="0.2">
      <c r="A2423" t="s">
        <v>1775</v>
      </c>
      <c r="C2423">
        <v>190.4331</v>
      </c>
      <c r="D2423" s="2">
        <v>44882</v>
      </c>
    </row>
    <row r="2424" spans="1:4" x14ac:dyDescent="0.2">
      <c r="A2424" t="s">
        <v>2439</v>
      </c>
      <c r="C2424">
        <v>148.77720000000002</v>
      </c>
      <c r="D2424" s="2">
        <v>44882</v>
      </c>
    </row>
    <row r="2425" spans="1:4" x14ac:dyDescent="0.2">
      <c r="A2425" t="s">
        <v>1794</v>
      </c>
      <c r="C2425">
        <v>141.23394999999999</v>
      </c>
      <c r="D2425" s="2">
        <v>44882</v>
      </c>
    </row>
    <row r="2426" spans="1:4" x14ac:dyDescent="0.2">
      <c r="A2426" t="s">
        <v>1795</v>
      </c>
      <c r="C2426">
        <v>159.66665</v>
      </c>
      <c r="D2426" s="2">
        <v>44882</v>
      </c>
    </row>
    <row r="2427" spans="1:4" x14ac:dyDescent="0.2">
      <c r="A2427" t="s">
        <v>1796</v>
      </c>
      <c r="C2427">
        <v>159.04460000000003</v>
      </c>
      <c r="D2427" s="2">
        <v>44882</v>
      </c>
    </row>
    <row r="2428" spans="1:4" x14ac:dyDescent="0.2">
      <c r="A2428" t="s">
        <v>1797</v>
      </c>
      <c r="C2428">
        <v>135.828</v>
      </c>
      <c r="D2428" s="2">
        <v>44882</v>
      </c>
    </row>
    <row r="2429" spans="1:4" x14ac:dyDescent="0.2">
      <c r="A2429" t="s">
        <v>1780</v>
      </c>
      <c r="C2429">
        <v>18.647199999999998</v>
      </c>
      <c r="D2429" s="2">
        <v>44882</v>
      </c>
    </row>
    <row r="2430" spans="1:4" x14ac:dyDescent="0.2">
      <c r="A2430" t="s">
        <v>1781</v>
      </c>
      <c r="C2430">
        <v>29.36505</v>
      </c>
      <c r="D2430" s="2">
        <v>44882</v>
      </c>
    </row>
    <row r="2431" spans="1:4" x14ac:dyDescent="0.2">
      <c r="A2431" t="s">
        <v>1799</v>
      </c>
      <c r="C2431">
        <v>20.7636</v>
      </c>
      <c r="D2431" s="2">
        <v>44882</v>
      </c>
    </row>
    <row r="2432" spans="1:4" x14ac:dyDescent="0.2">
      <c r="A2432" t="s">
        <v>1800</v>
      </c>
      <c r="C2432">
        <v>27.699100000000005</v>
      </c>
      <c r="D2432" s="2">
        <v>44882</v>
      </c>
    </row>
    <row r="2433" spans="1:4" x14ac:dyDescent="0.2">
      <c r="A2433" t="s">
        <v>1782</v>
      </c>
      <c r="C2433">
        <v>81.23115</v>
      </c>
      <c r="D2433" s="2">
        <v>44882</v>
      </c>
    </row>
    <row r="2434" spans="1:4" x14ac:dyDescent="0.2">
      <c r="A2434" t="s">
        <v>2440</v>
      </c>
      <c r="C2434">
        <v>108.96600000000001</v>
      </c>
      <c r="D2434" s="2">
        <v>44882</v>
      </c>
    </row>
    <row r="2435" spans="1:4" x14ac:dyDescent="0.2">
      <c r="A2435" t="s">
        <v>1783</v>
      </c>
      <c r="C2435">
        <v>104.02535</v>
      </c>
      <c r="D2435" s="2">
        <v>44882</v>
      </c>
    </row>
    <row r="2436" spans="1:4" x14ac:dyDescent="0.2">
      <c r="A2436" t="s">
        <v>2441</v>
      </c>
      <c r="C2436">
        <v>128.80009999999999</v>
      </c>
      <c r="D2436" s="2">
        <v>44882</v>
      </c>
    </row>
    <row r="2437" spans="1:4" x14ac:dyDescent="0.2">
      <c r="A2437" t="s">
        <v>1801</v>
      </c>
      <c r="C2437">
        <v>46.954050000000002</v>
      </c>
      <c r="D2437" s="2">
        <v>44882</v>
      </c>
    </row>
    <row r="2438" spans="1:4" x14ac:dyDescent="0.2">
      <c r="A2438" t="s">
        <v>1802</v>
      </c>
      <c r="C2438">
        <v>51.4514</v>
      </c>
      <c r="D2438" s="2">
        <v>44882</v>
      </c>
    </row>
    <row r="2439" spans="1:4" x14ac:dyDescent="0.2">
      <c r="A2439" t="s">
        <v>1805</v>
      </c>
      <c r="C2439">
        <v>66.7667</v>
      </c>
      <c r="D2439" s="2">
        <v>44882</v>
      </c>
    </row>
    <row r="2440" spans="1:4" x14ac:dyDescent="0.2">
      <c r="A2440" t="s">
        <v>1808</v>
      </c>
      <c r="C2440">
        <v>70.11290000000001</v>
      </c>
      <c r="D2440" s="2">
        <v>44882</v>
      </c>
    </row>
    <row r="2441" spans="1:4" x14ac:dyDescent="0.2">
      <c r="A2441" t="s">
        <v>1803</v>
      </c>
      <c r="C2441">
        <v>49.070450000000001</v>
      </c>
      <c r="D2441" s="2">
        <v>44882</v>
      </c>
    </row>
    <row r="2442" spans="1:4" x14ac:dyDescent="0.2">
      <c r="A2442" t="s">
        <v>1804</v>
      </c>
      <c r="C2442">
        <v>54.676050000000004</v>
      </c>
      <c r="D2442" s="2">
        <v>44882</v>
      </c>
    </row>
    <row r="2443" spans="1:4" x14ac:dyDescent="0.2">
      <c r="A2443" t="s">
        <v>1806</v>
      </c>
      <c r="C2443">
        <v>71.085299999999989</v>
      </c>
      <c r="D2443" s="2">
        <v>44882</v>
      </c>
    </row>
    <row r="2444" spans="1:4" x14ac:dyDescent="0.2">
      <c r="A2444" t="s">
        <v>1807</v>
      </c>
      <c r="C2444">
        <v>80.995200000000011</v>
      </c>
      <c r="D2444" s="2">
        <v>44882</v>
      </c>
    </row>
    <row r="2445" spans="1:4" x14ac:dyDescent="0.2">
      <c r="A2445" t="s">
        <v>1809</v>
      </c>
      <c r="C2445">
        <v>80.308800000000005</v>
      </c>
      <c r="D2445" s="2">
        <v>44882</v>
      </c>
    </row>
    <row r="2446" spans="1:4" x14ac:dyDescent="0.2">
      <c r="A2446" t="s">
        <v>1810</v>
      </c>
      <c r="C2446">
        <v>74.631700000000009</v>
      </c>
      <c r="D2446" s="2">
        <v>44882</v>
      </c>
    </row>
    <row r="2447" spans="1:4" x14ac:dyDescent="0.2">
      <c r="A2447" t="s">
        <v>1826</v>
      </c>
      <c r="C2447">
        <v>132.96855000000002</v>
      </c>
      <c r="D2447" s="2">
        <v>44882</v>
      </c>
    </row>
    <row r="2448" spans="1:4" x14ac:dyDescent="0.2">
      <c r="A2448" t="s">
        <v>1827</v>
      </c>
      <c r="C2448">
        <v>113.33300000000001</v>
      </c>
      <c r="D2448" s="2">
        <v>44882</v>
      </c>
    </row>
    <row r="2449" spans="1:4" x14ac:dyDescent="0.2">
      <c r="A2449" t="s">
        <v>1828</v>
      </c>
      <c r="C2449">
        <v>353.00265000000002</v>
      </c>
      <c r="D2449" s="2">
        <v>44882</v>
      </c>
    </row>
    <row r="2450" spans="1:4" x14ac:dyDescent="0.2">
      <c r="A2450" t="s">
        <v>2442</v>
      </c>
      <c r="C2450">
        <v>237.51585</v>
      </c>
      <c r="D2450" s="2">
        <v>44882</v>
      </c>
    </row>
    <row r="2451" spans="1:4" x14ac:dyDescent="0.2">
      <c r="A2451" t="s">
        <v>1829</v>
      </c>
      <c r="C2451">
        <v>108.73004999999999</v>
      </c>
      <c r="D2451" s="2">
        <v>44882</v>
      </c>
    </row>
    <row r="2452" spans="1:4" x14ac:dyDescent="0.2">
      <c r="A2452" t="s">
        <v>2443</v>
      </c>
      <c r="C2452">
        <v>121.79310000000001</v>
      </c>
      <c r="D2452" s="2">
        <v>44882</v>
      </c>
    </row>
    <row r="2453" spans="1:4" x14ac:dyDescent="0.2">
      <c r="A2453" t="s">
        <v>1830</v>
      </c>
      <c r="C2453">
        <v>134.82040000000001</v>
      </c>
      <c r="D2453" s="2">
        <v>44882</v>
      </c>
    </row>
    <row r="2454" spans="1:4" x14ac:dyDescent="0.2">
      <c r="A2454" t="s">
        <v>1831</v>
      </c>
      <c r="C2454">
        <v>157.62890000000002</v>
      </c>
      <c r="D2454" s="2">
        <v>44882</v>
      </c>
    </row>
    <row r="2455" spans="1:4" x14ac:dyDescent="0.2">
      <c r="A2455" t="s">
        <v>1832</v>
      </c>
      <c r="C2455">
        <v>322.65089999999998</v>
      </c>
      <c r="D2455" s="2">
        <v>44882</v>
      </c>
    </row>
    <row r="2456" spans="1:4" x14ac:dyDescent="0.2">
      <c r="A2456" t="s">
        <v>1798</v>
      </c>
      <c r="C2456">
        <v>117.07982000000001</v>
      </c>
      <c r="D2456" s="2">
        <v>44882</v>
      </c>
    </row>
    <row r="2457" spans="1:4" x14ac:dyDescent="0.2">
      <c r="A2457" t="s">
        <v>1833</v>
      </c>
      <c r="C2457">
        <v>20.35605</v>
      </c>
      <c r="D2457" s="2">
        <v>44882</v>
      </c>
    </row>
    <row r="2458" spans="1:4" x14ac:dyDescent="0.2">
      <c r="A2458" t="s">
        <v>1834</v>
      </c>
      <c r="C2458">
        <v>30.530500000000004</v>
      </c>
      <c r="D2458" s="2">
        <v>44882</v>
      </c>
    </row>
    <row r="2459" spans="1:4" x14ac:dyDescent="0.2">
      <c r="A2459" t="s">
        <v>1835</v>
      </c>
      <c r="C2459">
        <v>43.582000000000001</v>
      </c>
      <c r="D2459" s="2">
        <v>44882</v>
      </c>
    </row>
    <row r="2460" spans="1:4" x14ac:dyDescent="0.2">
      <c r="A2460" t="s">
        <v>1836</v>
      </c>
      <c r="C2460">
        <v>56.67090000000001</v>
      </c>
      <c r="D2460" s="2">
        <v>44882</v>
      </c>
    </row>
    <row r="2461" spans="1:4" x14ac:dyDescent="0.2">
      <c r="A2461" t="s">
        <v>1837</v>
      </c>
      <c r="C2461">
        <v>42.456700000000005</v>
      </c>
      <c r="D2461" s="2">
        <v>44882</v>
      </c>
    </row>
    <row r="2462" spans="1:4" x14ac:dyDescent="0.2">
      <c r="A2462" t="s">
        <v>1838</v>
      </c>
      <c r="C2462">
        <v>91.820299999999989</v>
      </c>
      <c r="D2462" s="2">
        <v>44882</v>
      </c>
    </row>
    <row r="2463" spans="1:4" x14ac:dyDescent="0.2">
      <c r="A2463" t="s">
        <v>1839</v>
      </c>
      <c r="C2463">
        <v>73.666449999999998</v>
      </c>
      <c r="D2463" s="2">
        <v>44882</v>
      </c>
    </row>
    <row r="2464" spans="1:4" x14ac:dyDescent="0.2">
      <c r="A2464" t="s">
        <v>1840</v>
      </c>
      <c r="C2464">
        <v>172.65819999999999</v>
      </c>
      <c r="D2464" s="2">
        <v>44882</v>
      </c>
    </row>
    <row r="2465" spans="1:4" x14ac:dyDescent="0.2">
      <c r="A2465" t="s">
        <v>1841</v>
      </c>
      <c r="C2465">
        <v>201.60140000000001</v>
      </c>
      <c r="D2465" s="2">
        <v>44882</v>
      </c>
    </row>
    <row r="2466" spans="1:4" x14ac:dyDescent="0.2">
      <c r="A2466" t="s">
        <v>1842</v>
      </c>
      <c r="C2466">
        <v>149.52080000000001</v>
      </c>
      <c r="D2466" s="2">
        <v>44882</v>
      </c>
    </row>
    <row r="2467" spans="1:4" x14ac:dyDescent="0.2">
      <c r="A2467" t="s">
        <v>1843</v>
      </c>
      <c r="C2467">
        <v>299.02015</v>
      </c>
      <c r="D2467" s="2">
        <v>44882</v>
      </c>
    </row>
    <row r="2468" spans="1:4" x14ac:dyDescent="0.2">
      <c r="A2468" t="s">
        <v>1844</v>
      </c>
      <c r="C2468">
        <v>742.91360000000009</v>
      </c>
      <c r="D2468" s="2">
        <v>44882</v>
      </c>
    </row>
    <row r="2469" spans="1:4" x14ac:dyDescent="0.2">
      <c r="A2469" t="s">
        <v>1845</v>
      </c>
      <c r="C2469">
        <v>28.328300000000002</v>
      </c>
      <c r="D2469" s="2">
        <v>44882</v>
      </c>
    </row>
    <row r="2470" spans="1:4" x14ac:dyDescent="0.2">
      <c r="A2470" t="s">
        <v>1846</v>
      </c>
      <c r="C2470">
        <v>66.409199999999998</v>
      </c>
      <c r="D2470" s="2">
        <v>44882</v>
      </c>
    </row>
    <row r="2471" spans="1:4" x14ac:dyDescent="0.2">
      <c r="A2471" t="s">
        <v>1847</v>
      </c>
      <c r="C2471">
        <v>99.492250000000013</v>
      </c>
      <c r="D2471" s="2">
        <v>44882</v>
      </c>
    </row>
    <row r="2472" spans="1:4" x14ac:dyDescent="0.2">
      <c r="A2472" t="s">
        <v>2444</v>
      </c>
      <c r="C2472">
        <v>111.44705000000002</v>
      </c>
      <c r="D2472" s="2">
        <v>44882</v>
      </c>
    </row>
    <row r="2473" spans="1:4" x14ac:dyDescent="0.2">
      <c r="A2473" t="s">
        <v>1848</v>
      </c>
      <c r="C2473">
        <v>147.34004999999999</v>
      </c>
      <c r="D2473" s="2">
        <v>44882</v>
      </c>
    </row>
    <row r="2474" spans="1:4" x14ac:dyDescent="0.2">
      <c r="A2474" t="s">
        <v>1849</v>
      </c>
      <c r="C2474">
        <v>30.530500000000004</v>
      </c>
      <c r="D2474" s="2">
        <v>44882</v>
      </c>
    </row>
    <row r="2475" spans="1:4" x14ac:dyDescent="0.2">
      <c r="A2475" t="s">
        <v>1850</v>
      </c>
      <c r="C2475">
        <v>61.289800000000007</v>
      </c>
      <c r="D2475" s="2">
        <v>44882</v>
      </c>
    </row>
    <row r="2476" spans="1:4" x14ac:dyDescent="0.2">
      <c r="A2476" t="s">
        <v>2445</v>
      </c>
      <c r="C2476">
        <v>117.01690000000002</v>
      </c>
      <c r="D2476" s="2">
        <v>44882</v>
      </c>
    </row>
    <row r="2477" spans="1:4" x14ac:dyDescent="0.2">
      <c r="A2477" t="s">
        <v>1851</v>
      </c>
      <c r="C2477">
        <v>57.771999999999998</v>
      </c>
      <c r="D2477" s="2">
        <v>44882</v>
      </c>
    </row>
    <row r="2478" spans="1:4" x14ac:dyDescent="0.2">
      <c r="A2478" t="s">
        <v>1852</v>
      </c>
      <c r="C2478">
        <v>77.141350000000003</v>
      </c>
      <c r="D2478" s="2">
        <v>44882</v>
      </c>
    </row>
    <row r="2479" spans="1:4" x14ac:dyDescent="0.2">
      <c r="A2479" t="s">
        <v>1853</v>
      </c>
      <c r="C2479">
        <v>86.858200000000011</v>
      </c>
      <c r="D2479" s="2">
        <v>44882</v>
      </c>
    </row>
    <row r="2480" spans="1:4" x14ac:dyDescent="0.2">
      <c r="A2480" t="s">
        <v>1854</v>
      </c>
      <c r="C2480">
        <v>104.8476</v>
      </c>
      <c r="D2480" s="2">
        <v>44882</v>
      </c>
    </row>
    <row r="2481" spans="1:4" x14ac:dyDescent="0.2">
      <c r="A2481" t="s">
        <v>1855</v>
      </c>
      <c r="C2481">
        <v>125.36095000000003</v>
      </c>
      <c r="D2481" s="2">
        <v>44882</v>
      </c>
    </row>
    <row r="2482" spans="1:4" x14ac:dyDescent="0.2">
      <c r="A2482" t="s">
        <v>1856</v>
      </c>
      <c r="C2482">
        <v>174.09535000000002</v>
      </c>
      <c r="D2482" s="2">
        <v>44882</v>
      </c>
    </row>
    <row r="2483" spans="1:4" x14ac:dyDescent="0.2">
      <c r="A2483" t="s">
        <v>2446</v>
      </c>
      <c r="C2483">
        <v>228.7714</v>
      </c>
      <c r="D2483" s="2">
        <v>44882</v>
      </c>
    </row>
    <row r="2484" spans="1:4" x14ac:dyDescent="0.2">
      <c r="A2484" t="s">
        <v>2447</v>
      </c>
      <c r="C2484">
        <v>196.11019999999999</v>
      </c>
      <c r="D2484" s="2">
        <v>44882</v>
      </c>
    </row>
    <row r="2485" spans="1:4" x14ac:dyDescent="0.2">
      <c r="A2485" t="s">
        <v>1857</v>
      </c>
      <c r="C2485">
        <v>274.1739</v>
      </c>
      <c r="D2485" s="2">
        <v>44882</v>
      </c>
    </row>
    <row r="2486" spans="1:4" x14ac:dyDescent="0.2">
      <c r="A2486" t="s">
        <v>1858</v>
      </c>
      <c r="C2486">
        <v>291.38395000000003</v>
      </c>
      <c r="D2486" s="2">
        <v>44882</v>
      </c>
    </row>
    <row r="2487" spans="1:4" x14ac:dyDescent="0.2">
      <c r="A2487" t="s">
        <v>1814</v>
      </c>
      <c r="C2487">
        <v>7.9079000000000006</v>
      </c>
      <c r="D2487" s="2">
        <v>44882</v>
      </c>
    </row>
    <row r="2488" spans="1:4" x14ac:dyDescent="0.2">
      <c r="A2488" t="s">
        <v>1815</v>
      </c>
      <c r="C2488">
        <v>9.8455500000000011</v>
      </c>
      <c r="D2488" s="2">
        <v>44882</v>
      </c>
    </row>
    <row r="2489" spans="1:4" x14ac:dyDescent="0.2">
      <c r="A2489" t="s">
        <v>1816</v>
      </c>
      <c r="C2489">
        <v>14.207050000000002</v>
      </c>
      <c r="D2489" s="2">
        <v>44882</v>
      </c>
    </row>
    <row r="2490" spans="1:4" x14ac:dyDescent="0.2">
      <c r="A2490" t="s">
        <v>1817</v>
      </c>
      <c r="C2490">
        <v>31.724550000000001</v>
      </c>
      <c r="D2490" s="2">
        <v>44882</v>
      </c>
    </row>
    <row r="2491" spans="1:4" x14ac:dyDescent="0.2">
      <c r="A2491" t="s">
        <v>1818</v>
      </c>
      <c r="C2491">
        <v>71.203000000000017</v>
      </c>
      <c r="D2491" s="2">
        <v>44882</v>
      </c>
    </row>
    <row r="2492" spans="1:4" x14ac:dyDescent="0.2">
      <c r="A2492" t="s">
        <v>1819</v>
      </c>
      <c r="C2492">
        <v>76.966999999999999</v>
      </c>
      <c r="D2492" s="2">
        <v>44882</v>
      </c>
    </row>
    <row r="2493" spans="1:4" x14ac:dyDescent="0.2">
      <c r="A2493" t="s">
        <v>1820</v>
      </c>
      <c r="C2493">
        <v>9.323599999999999</v>
      </c>
      <c r="D2493" s="2">
        <v>44882</v>
      </c>
    </row>
    <row r="2494" spans="1:4" x14ac:dyDescent="0.2">
      <c r="A2494" t="s">
        <v>1821</v>
      </c>
      <c r="C2494">
        <v>6.7650000000000006</v>
      </c>
      <c r="D2494" s="2">
        <v>44882</v>
      </c>
    </row>
    <row r="2495" spans="1:4" x14ac:dyDescent="0.2">
      <c r="A2495" t="s">
        <v>1822</v>
      </c>
      <c r="C2495">
        <v>21.450000000000003</v>
      </c>
      <c r="D2495" s="2">
        <v>44882</v>
      </c>
    </row>
    <row r="2496" spans="1:4" x14ac:dyDescent="0.2">
      <c r="A2496" t="s">
        <v>1823</v>
      </c>
      <c r="C2496">
        <v>49.370749999999994</v>
      </c>
      <c r="D2496" s="2">
        <v>44882</v>
      </c>
    </row>
    <row r="2497" spans="1:4" x14ac:dyDescent="0.2">
      <c r="A2497" t="s">
        <v>1824</v>
      </c>
      <c r="C2497">
        <v>72.579650000000015</v>
      </c>
      <c r="D2497" s="2">
        <v>44882</v>
      </c>
    </row>
    <row r="2498" spans="1:4" x14ac:dyDescent="0.2">
      <c r="A2498" t="s">
        <v>1825</v>
      </c>
      <c r="C2498">
        <v>5.8987500000000006</v>
      </c>
      <c r="D2498" s="2">
        <v>44882</v>
      </c>
    </row>
    <row r="2499" spans="1:4" x14ac:dyDescent="0.2">
      <c r="A2499" t="s">
        <v>1811</v>
      </c>
      <c r="C2499">
        <v>109.08040000000001</v>
      </c>
      <c r="D2499" s="2">
        <v>44882</v>
      </c>
    </row>
    <row r="2500" spans="1:4" x14ac:dyDescent="0.2">
      <c r="A2500" t="s">
        <v>1812</v>
      </c>
      <c r="C2500">
        <v>205.876</v>
      </c>
      <c r="D2500" s="2">
        <v>44882</v>
      </c>
    </row>
    <row r="2501" spans="1:4" x14ac:dyDescent="0.2">
      <c r="A2501" t="s">
        <v>1813</v>
      </c>
      <c r="C2501">
        <v>236.72934999999998</v>
      </c>
      <c r="D2501" s="2">
        <v>44882</v>
      </c>
    </row>
    <row r="2502" spans="1:4" x14ac:dyDescent="0.2">
      <c r="A2502" t="s">
        <v>1717</v>
      </c>
      <c r="C2502">
        <v>9.4380000000000006</v>
      </c>
      <c r="D2502" s="2">
        <v>44882</v>
      </c>
    </row>
    <row r="2503" spans="1:4" x14ac:dyDescent="0.2">
      <c r="A2503" t="s">
        <v>1718</v>
      </c>
      <c r="C2503">
        <v>13.035</v>
      </c>
      <c r="D2503" s="2">
        <v>44882</v>
      </c>
    </row>
    <row r="2504" spans="1:4" x14ac:dyDescent="0.2">
      <c r="A2504" t="s">
        <v>2059</v>
      </c>
      <c r="C2504">
        <v>19.855000000000004</v>
      </c>
      <c r="D2504" s="2">
        <v>44882</v>
      </c>
    </row>
    <row r="2505" spans="1:4" x14ac:dyDescent="0.2">
      <c r="A2505" t="s">
        <v>1870</v>
      </c>
      <c r="C2505">
        <v>17.358000000000001</v>
      </c>
      <c r="D2505" s="2">
        <v>44882</v>
      </c>
    </row>
    <row r="2506" spans="1:4" x14ac:dyDescent="0.2">
      <c r="A2506" t="s">
        <v>1719</v>
      </c>
      <c r="C2506">
        <v>25.838999999999999</v>
      </c>
      <c r="D2506" s="2">
        <v>44882</v>
      </c>
    </row>
    <row r="2507" spans="1:4" x14ac:dyDescent="0.2">
      <c r="A2507" t="s">
        <v>1720</v>
      </c>
      <c r="C2507">
        <v>38.775000000000006</v>
      </c>
      <c r="D2507" s="2">
        <v>44882</v>
      </c>
    </row>
    <row r="2508" spans="1:4" x14ac:dyDescent="0.2">
      <c r="A2508" t="s">
        <v>2060</v>
      </c>
      <c r="C2508">
        <v>42.900000000000006</v>
      </c>
      <c r="D2508" s="2">
        <v>44882</v>
      </c>
    </row>
    <row r="2509" spans="1:4" x14ac:dyDescent="0.2">
      <c r="A2509" t="s">
        <v>1721</v>
      </c>
      <c r="C2509">
        <v>61.303000000000004</v>
      </c>
      <c r="D2509" s="2">
        <v>44882</v>
      </c>
    </row>
    <row r="2510" spans="1:4" x14ac:dyDescent="0.2">
      <c r="A2510" t="s">
        <v>1722</v>
      </c>
      <c r="C2510">
        <v>133.65</v>
      </c>
      <c r="D2510" s="2">
        <v>44882</v>
      </c>
    </row>
    <row r="2511" spans="1:4" x14ac:dyDescent="0.2">
      <c r="A2511" t="s">
        <v>1723</v>
      </c>
      <c r="C2511">
        <v>191.4</v>
      </c>
      <c r="D2511" s="2">
        <v>44882</v>
      </c>
    </row>
    <row r="2512" spans="1:4" x14ac:dyDescent="0.2">
      <c r="A2512" t="s">
        <v>1733</v>
      </c>
      <c r="C2512">
        <v>20.031000000000002</v>
      </c>
      <c r="D2512" s="2">
        <v>44882</v>
      </c>
    </row>
    <row r="2513" spans="1:4" x14ac:dyDescent="0.2">
      <c r="A2513" t="s">
        <v>1734</v>
      </c>
      <c r="C2513">
        <v>27.819000000000003</v>
      </c>
      <c r="D2513" s="2">
        <v>44882</v>
      </c>
    </row>
    <row r="2514" spans="1:4" x14ac:dyDescent="0.2">
      <c r="A2514" t="s">
        <v>1735</v>
      </c>
      <c r="C2514">
        <v>37.202000000000005</v>
      </c>
      <c r="D2514" s="2">
        <v>44882</v>
      </c>
    </row>
    <row r="2515" spans="1:4" x14ac:dyDescent="0.2">
      <c r="A2515" t="s">
        <v>1736</v>
      </c>
      <c r="C2515">
        <v>49.764000000000003</v>
      </c>
      <c r="D2515" s="2">
        <v>44882</v>
      </c>
    </row>
    <row r="2516" spans="1:4" x14ac:dyDescent="0.2">
      <c r="A2516" t="s">
        <v>2058</v>
      </c>
      <c r="C2516">
        <v>115.87400000000001</v>
      </c>
      <c r="D2516" s="2">
        <v>44882</v>
      </c>
    </row>
    <row r="2517" spans="1:4" x14ac:dyDescent="0.2">
      <c r="A2517" t="s">
        <v>2068</v>
      </c>
      <c r="C2517">
        <v>2.8600000000000003</v>
      </c>
      <c r="D2517" s="2">
        <v>44882</v>
      </c>
    </row>
    <row r="2518" spans="1:4" x14ac:dyDescent="0.2">
      <c r="A2518" t="s">
        <v>2069</v>
      </c>
      <c r="C2518">
        <v>2.5190000000000001</v>
      </c>
      <c r="D2518" s="2">
        <v>44882</v>
      </c>
    </row>
    <row r="2519" spans="1:4" x14ac:dyDescent="0.2">
      <c r="A2519" t="s">
        <v>2074</v>
      </c>
      <c r="C2519">
        <v>2.3540000000000005</v>
      </c>
      <c r="D2519" s="2">
        <v>44882</v>
      </c>
    </row>
    <row r="2520" spans="1:4" x14ac:dyDescent="0.2">
      <c r="A2520" t="s">
        <v>2071</v>
      </c>
      <c r="C2520">
        <v>16.434000000000001</v>
      </c>
      <c r="D2520" s="2">
        <v>44882</v>
      </c>
    </row>
    <row r="2521" spans="1:4" x14ac:dyDescent="0.2">
      <c r="A2521" t="s">
        <v>2072</v>
      </c>
      <c r="C2521">
        <v>4.7190000000000003</v>
      </c>
      <c r="D2521" s="2">
        <v>44882</v>
      </c>
    </row>
    <row r="2522" spans="1:4" x14ac:dyDescent="0.2">
      <c r="A2522" t="s">
        <v>2057</v>
      </c>
      <c r="C2522">
        <v>6.3580000000000005</v>
      </c>
      <c r="D2522" s="2">
        <v>44882</v>
      </c>
    </row>
    <row r="2523" spans="1:4" x14ac:dyDescent="0.2">
      <c r="A2523" t="s">
        <v>1707</v>
      </c>
      <c r="C2523">
        <v>4.7409999999999997</v>
      </c>
      <c r="D2523" s="2">
        <v>44882</v>
      </c>
    </row>
    <row r="2524" spans="1:4" x14ac:dyDescent="0.2">
      <c r="A2524" t="s">
        <v>1708</v>
      </c>
      <c r="C2524">
        <v>2.387</v>
      </c>
      <c r="D2524" s="2">
        <v>44882</v>
      </c>
    </row>
    <row r="2525" spans="1:4" x14ac:dyDescent="0.2">
      <c r="A2525" t="s">
        <v>1709</v>
      </c>
      <c r="C2525">
        <v>3.1570000000000005</v>
      </c>
      <c r="D2525" s="2">
        <v>44882</v>
      </c>
    </row>
    <row r="2526" spans="1:4" x14ac:dyDescent="0.2">
      <c r="A2526" t="s">
        <v>1710</v>
      </c>
      <c r="C2526">
        <v>4.8070000000000004</v>
      </c>
      <c r="D2526" s="2">
        <v>44882</v>
      </c>
    </row>
    <row r="2527" spans="1:4" x14ac:dyDescent="0.2">
      <c r="A2527" t="s">
        <v>1712</v>
      </c>
      <c r="C2527">
        <v>11.803000000000001</v>
      </c>
      <c r="D2527" s="2">
        <v>44882</v>
      </c>
    </row>
    <row r="2528" spans="1:4" x14ac:dyDescent="0.2">
      <c r="A2528" t="s">
        <v>1713</v>
      </c>
      <c r="C2528">
        <v>16.39</v>
      </c>
      <c r="D2528" s="2">
        <v>44882</v>
      </c>
    </row>
    <row r="2529" spans="1:4" x14ac:dyDescent="0.2">
      <c r="A2529" t="s">
        <v>1714</v>
      </c>
      <c r="C2529">
        <v>32.567700000000002</v>
      </c>
      <c r="D2529" s="2">
        <v>44882</v>
      </c>
    </row>
    <row r="2530" spans="1:4" x14ac:dyDescent="0.2">
      <c r="A2530" t="s">
        <v>1715</v>
      </c>
      <c r="C2530">
        <v>59.213000000000001</v>
      </c>
      <c r="D2530" s="2">
        <v>44882</v>
      </c>
    </row>
    <row r="2531" spans="1:4" x14ac:dyDescent="0.2">
      <c r="A2531" t="s">
        <v>1716</v>
      </c>
      <c r="C2531">
        <v>75.658000000000001</v>
      </c>
      <c r="D2531" s="2">
        <v>44882</v>
      </c>
    </row>
    <row r="2532" spans="1:4" x14ac:dyDescent="0.2">
      <c r="A2532" t="s">
        <v>2070</v>
      </c>
      <c r="C2532">
        <v>3.5090000000000003</v>
      </c>
      <c r="D2532" s="2">
        <v>44882</v>
      </c>
    </row>
    <row r="2533" spans="1:4" x14ac:dyDescent="0.2">
      <c r="A2533" t="s">
        <v>2073</v>
      </c>
      <c r="C2533">
        <v>5.3020000000000005</v>
      </c>
      <c r="D2533" s="2">
        <v>44882</v>
      </c>
    </row>
    <row r="2534" spans="1:4" x14ac:dyDescent="0.2">
      <c r="A2534" t="s">
        <v>2075</v>
      </c>
      <c r="C2534">
        <v>2.6730000000000005</v>
      </c>
      <c r="D2534" s="2">
        <v>44882</v>
      </c>
    </row>
    <row r="2535" spans="1:4" x14ac:dyDescent="0.2">
      <c r="A2535" t="s">
        <v>1724</v>
      </c>
      <c r="C2535">
        <v>9.3170000000000019</v>
      </c>
      <c r="D2535" s="2">
        <v>44882</v>
      </c>
    </row>
    <row r="2536" spans="1:4" x14ac:dyDescent="0.2">
      <c r="A2536" t="s">
        <v>1725</v>
      </c>
      <c r="C2536">
        <v>2.6730000000000005</v>
      </c>
      <c r="D2536" s="2">
        <v>44882</v>
      </c>
    </row>
    <row r="2537" spans="1:4" x14ac:dyDescent="0.2">
      <c r="A2537" t="s">
        <v>1727</v>
      </c>
      <c r="C2537">
        <v>4.7960000000000012</v>
      </c>
      <c r="D2537" s="2">
        <v>44882</v>
      </c>
    </row>
    <row r="2538" spans="1:4" x14ac:dyDescent="0.2">
      <c r="A2538" t="s">
        <v>1728</v>
      </c>
      <c r="C2538">
        <v>7.3040000000000003</v>
      </c>
      <c r="D2538" s="2">
        <v>44882</v>
      </c>
    </row>
    <row r="2539" spans="1:4" x14ac:dyDescent="0.2">
      <c r="A2539" t="s">
        <v>1729</v>
      </c>
      <c r="C2539">
        <v>12.584</v>
      </c>
      <c r="D2539" s="2">
        <v>44882</v>
      </c>
    </row>
    <row r="2540" spans="1:4" x14ac:dyDescent="0.2">
      <c r="A2540" t="s">
        <v>1730</v>
      </c>
      <c r="C2540">
        <v>17.787000000000003</v>
      </c>
      <c r="D2540" s="2">
        <v>44882</v>
      </c>
    </row>
    <row r="2541" spans="1:4" x14ac:dyDescent="0.2">
      <c r="A2541" t="s">
        <v>1731</v>
      </c>
      <c r="C2541">
        <v>26.906000000000002</v>
      </c>
      <c r="D2541" s="2">
        <v>44882</v>
      </c>
    </row>
    <row r="2542" spans="1:4" x14ac:dyDescent="0.2">
      <c r="A2542" t="s">
        <v>2061</v>
      </c>
      <c r="C2542">
        <v>2.6730000000000005</v>
      </c>
      <c r="D2542" s="2">
        <v>44882</v>
      </c>
    </row>
    <row r="2543" spans="1:4" x14ac:dyDescent="0.2">
      <c r="A2543" t="s">
        <v>2062</v>
      </c>
      <c r="C2543">
        <v>3.5420000000000007</v>
      </c>
      <c r="D2543" s="2">
        <v>44882</v>
      </c>
    </row>
    <row r="2544" spans="1:4" x14ac:dyDescent="0.2">
      <c r="A2544" t="s">
        <v>2063</v>
      </c>
      <c r="C2544">
        <v>13.046000000000001</v>
      </c>
      <c r="D2544" s="2">
        <v>44882</v>
      </c>
    </row>
    <row r="2545" spans="1:4" x14ac:dyDescent="0.2">
      <c r="A2545" t="s">
        <v>2064</v>
      </c>
      <c r="C2545">
        <v>20.317</v>
      </c>
      <c r="D2545" s="2">
        <v>44882</v>
      </c>
    </row>
    <row r="2546" spans="1:4" x14ac:dyDescent="0.2">
      <c r="A2546" t="s">
        <v>2065</v>
      </c>
      <c r="C2546">
        <v>26.587000000000003</v>
      </c>
      <c r="D2546" s="2">
        <v>44882</v>
      </c>
    </row>
    <row r="2547" spans="1:4" x14ac:dyDescent="0.2">
      <c r="A2547" t="s">
        <v>2066</v>
      </c>
      <c r="C2547">
        <v>36.168000000000006</v>
      </c>
      <c r="D2547" s="2">
        <v>44882</v>
      </c>
    </row>
    <row r="2548" spans="1:4" x14ac:dyDescent="0.2">
      <c r="A2548" t="s">
        <v>2067</v>
      </c>
      <c r="C2548">
        <v>31.867000000000001</v>
      </c>
      <c r="D2548" s="2">
        <v>44882</v>
      </c>
    </row>
    <row r="2549" spans="1:4" x14ac:dyDescent="0.2">
      <c r="A2549" t="s">
        <v>2076</v>
      </c>
      <c r="C2549">
        <v>57.750000000000007</v>
      </c>
      <c r="D2549" s="2">
        <v>44882</v>
      </c>
    </row>
    <row r="2550" spans="1:4" x14ac:dyDescent="0.2">
      <c r="A2550" t="s">
        <v>1739</v>
      </c>
      <c r="C2550">
        <v>77.77000000000001</v>
      </c>
      <c r="D2550" s="2">
        <v>44882</v>
      </c>
    </row>
    <row r="2551" spans="1:4" x14ac:dyDescent="0.2">
      <c r="A2551" t="s">
        <v>1740</v>
      </c>
      <c r="C2551">
        <v>89.320000000000007</v>
      </c>
      <c r="D2551" s="2">
        <v>44882</v>
      </c>
    </row>
    <row r="2552" spans="1:4" x14ac:dyDescent="0.2">
      <c r="A2552" t="s">
        <v>1741</v>
      </c>
      <c r="C2552">
        <v>110.88000000000001</v>
      </c>
      <c r="D2552" s="2">
        <v>44882</v>
      </c>
    </row>
    <row r="2553" spans="1:4" x14ac:dyDescent="0.2">
      <c r="A2553" t="s">
        <v>1742</v>
      </c>
      <c r="C2553">
        <v>110.88000000000001</v>
      </c>
      <c r="D2553" s="2">
        <v>44882</v>
      </c>
    </row>
    <row r="2554" spans="1:4" x14ac:dyDescent="0.2">
      <c r="A2554" t="s">
        <v>1743</v>
      </c>
      <c r="C2554">
        <v>140.14000000000001</v>
      </c>
      <c r="D2554" s="2">
        <v>44882</v>
      </c>
    </row>
    <row r="2555" spans="1:4" x14ac:dyDescent="0.2">
      <c r="A2555" t="s">
        <v>2077</v>
      </c>
      <c r="C2555">
        <v>54.230000000000004</v>
      </c>
      <c r="D2555" s="2">
        <v>44882</v>
      </c>
    </row>
    <row r="2556" spans="1:4" x14ac:dyDescent="0.2">
      <c r="A2556" t="s">
        <v>2079</v>
      </c>
      <c r="C2556">
        <v>461.45880000000005</v>
      </c>
      <c r="D2556" s="2">
        <v>44882</v>
      </c>
    </row>
    <row r="2557" spans="1:4" x14ac:dyDescent="0.2">
      <c r="A2557" t="s">
        <v>2080</v>
      </c>
      <c r="C2557">
        <v>590.91120000000001</v>
      </c>
      <c r="D2557" s="2">
        <v>44882</v>
      </c>
    </row>
    <row r="2558" spans="1:4" x14ac:dyDescent="0.2">
      <c r="A2558" t="s">
        <v>2081</v>
      </c>
      <c r="C2558">
        <v>708.44400000000007</v>
      </c>
      <c r="D2558" s="2">
        <v>44882</v>
      </c>
    </row>
    <row r="2559" spans="1:4" x14ac:dyDescent="0.2">
      <c r="A2559" t="s">
        <v>1745</v>
      </c>
      <c r="C2559">
        <v>73.315000000000012</v>
      </c>
      <c r="D2559" s="2">
        <v>44882</v>
      </c>
    </row>
    <row r="2560" spans="1:4" x14ac:dyDescent="0.2">
      <c r="A2560" t="s">
        <v>1747</v>
      </c>
      <c r="C2560">
        <v>82.390000000000015</v>
      </c>
      <c r="D2560" s="2">
        <v>44882</v>
      </c>
    </row>
    <row r="2561" spans="1:4" x14ac:dyDescent="0.2">
      <c r="A2561" t="s">
        <v>1748</v>
      </c>
      <c r="C2561">
        <v>105.54500000000002</v>
      </c>
      <c r="D2561" s="2">
        <v>44882</v>
      </c>
    </row>
    <row r="2562" spans="1:4" x14ac:dyDescent="0.2">
      <c r="A2562" t="s">
        <v>1749</v>
      </c>
      <c r="C2562">
        <v>80.300000000000011</v>
      </c>
      <c r="D2562" s="2">
        <v>44882</v>
      </c>
    </row>
    <row r="2563" spans="1:4" x14ac:dyDescent="0.2">
      <c r="A2563" t="s">
        <v>1750</v>
      </c>
      <c r="C2563">
        <v>153.703</v>
      </c>
      <c r="D2563" s="2">
        <v>44882</v>
      </c>
    </row>
    <row r="2564" spans="1:4" x14ac:dyDescent="0.2">
      <c r="A2564" t="s">
        <v>1751</v>
      </c>
      <c r="C2564">
        <v>288.91500000000002</v>
      </c>
      <c r="D2564" s="2">
        <v>44882</v>
      </c>
    </row>
    <row r="2565" spans="1:4" x14ac:dyDescent="0.2">
      <c r="A2565" t="s">
        <v>2088</v>
      </c>
      <c r="C2565">
        <v>433.84000000000003</v>
      </c>
      <c r="D2565" s="2">
        <v>44882</v>
      </c>
    </row>
    <row r="2566" spans="1:4" x14ac:dyDescent="0.2">
      <c r="A2566" t="s">
        <v>2092</v>
      </c>
      <c r="C2566">
        <v>51.282000000000011</v>
      </c>
      <c r="D2566" s="2">
        <v>44882</v>
      </c>
    </row>
    <row r="2567" spans="1:4" x14ac:dyDescent="0.2">
      <c r="A2567" t="s">
        <v>2093</v>
      </c>
      <c r="C2567">
        <v>50.358000000000004</v>
      </c>
      <c r="D2567" s="2">
        <v>44882</v>
      </c>
    </row>
    <row r="2568" spans="1:4" x14ac:dyDescent="0.2">
      <c r="A2568" t="s">
        <v>2089</v>
      </c>
      <c r="C2568">
        <v>42.042000000000002</v>
      </c>
      <c r="D2568" s="2">
        <v>44882</v>
      </c>
    </row>
    <row r="2569" spans="1:4" x14ac:dyDescent="0.2">
      <c r="A2569" t="s">
        <v>2090</v>
      </c>
      <c r="C2569">
        <v>51.722000000000008</v>
      </c>
      <c r="D2569" s="2">
        <v>44882</v>
      </c>
    </row>
    <row r="2570" spans="1:4" x14ac:dyDescent="0.2">
      <c r="A2570" t="s">
        <v>2091</v>
      </c>
      <c r="C2570">
        <v>57.222000000000008</v>
      </c>
      <c r="D2570" s="2">
        <v>44882</v>
      </c>
    </row>
    <row r="2571" spans="1:4" x14ac:dyDescent="0.2">
      <c r="A2571" t="s">
        <v>2095</v>
      </c>
      <c r="C2571">
        <v>70.290000000000006</v>
      </c>
      <c r="D2571" s="2">
        <v>44882</v>
      </c>
    </row>
    <row r="2572" spans="1:4" x14ac:dyDescent="0.2">
      <c r="A2572" t="s">
        <v>2096</v>
      </c>
      <c r="C2572">
        <v>155.87</v>
      </c>
      <c r="D2572" s="2">
        <v>44882</v>
      </c>
    </row>
    <row r="2573" spans="1:4" x14ac:dyDescent="0.2">
      <c r="A2573" t="s">
        <v>1744</v>
      </c>
      <c r="C2573">
        <v>79.584999999999994</v>
      </c>
      <c r="D2573" s="2">
        <v>44882</v>
      </c>
    </row>
    <row r="2574" spans="1:4" x14ac:dyDescent="0.2">
      <c r="A2574" t="s">
        <v>2085</v>
      </c>
      <c r="C2574">
        <v>79.584999999999994</v>
      </c>
      <c r="D2574" s="2">
        <v>44882</v>
      </c>
    </row>
    <row r="2575" spans="1:4" x14ac:dyDescent="0.2">
      <c r="A2575" t="s">
        <v>2086</v>
      </c>
      <c r="C2575">
        <v>100.99100000000001</v>
      </c>
      <c r="D2575" s="2">
        <v>44882</v>
      </c>
    </row>
    <row r="2576" spans="1:4" x14ac:dyDescent="0.2">
      <c r="A2576" t="s">
        <v>2083</v>
      </c>
      <c r="C2576">
        <v>25.993000000000002</v>
      </c>
      <c r="D2576" s="2">
        <v>44882</v>
      </c>
    </row>
    <row r="2577" spans="1:4" x14ac:dyDescent="0.2">
      <c r="A2577" t="s">
        <v>2094</v>
      </c>
      <c r="C2577">
        <v>151.80000000000001</v>
      </c>
      <c r="D2577" s="2">
        <v>44882</v>
      </c>
    </row>
    <row r="2578" spans="1:4" x14ac:dyDescent="0.2">
      <c r="A2578" t="s">
        <v>2087</v>
      </c>
      <c r="C2578">
        <v>45.342000000000006</v>
      </c>
      <c r="D2578" s="2">
        <v>44882</v>
      </c>
    </row>
    <row r="2579" spans="1:4" x14ac:dyDescent="0.2">
      <c r="A2579" t="s">
        <v>2084</v>
      </c>
      <c r="C2579">
        <v>49.808000000000007</v>
      </c>
      <c r="D2579" s="2">
        <v>44882</v>
      </c>
    </row>
    <row r="2580" spans="1:4" x14ac:dyDescent="0.2">
      <c r="A2580" t="s">
        <v>1752</v>
      </c>
      <c r="C2580">
        <v>659.17500000000007</v>
      </c>
      <c r="D2580" s="2">
        <v>44882</v>
      </c>
    </row>
    <row r="2581" spans="1:4" x14ac:dyDescent="0.2">
      <c r="A2581" t="s">
        <v>2804</v>
      </c>
      <c r="B2581" t="s">
        <v>2805</v>
      </c>
      <c r="C2581">
        <v>453.64</v>
      </c>
      <c r="D2581" s="2">
        <v>44911</v>
      </c>
    </row>
    <row r="2582" spans="1:4" x14ac:dyDescent="0.2">
      <c r="A2582" t="s">
        <v>2802</v>
      </c>
      <c r="B2582" t="s">
        <v>2806</v>
      </c>
      <c r="C2582">
        <v>757.35</v>
      </c>
      <c r="D2582" s="2">
        <v>44911</v>
      </c>
    </row>
    <row r="2583" spans="1:4" x14ac:dyDescent="0.2">
      <c r="A2583" t="s">
        <v>2803</v>
      </c>
      <c r="B2583" t="s">
        <v>2807</v>
      </c>
      <c r="C2583">
        <v>802.12000000000012</v>
      </c>
      <c r="D2583" s="2">
        <v>44911</v>
      </c>
    </row>
    <row r="2584" spans="1:4" x14ac:dyDescent="0.2">
      <c r="A2584" t="s">
        <v>2905</v>
      </c>
      <c r="C2584">
        <v>0.42900000000000005</v>
      </c>
      <c r="D2584" s="2">
        <v>44939</v>
      </c>
    </row>
    <row r="2585" spans="1:4" x14ac:dyDescent="0.2">
      <c r="A2585" t="s">
        <v>2674</v>
      </c>
      <c r="C2585">
        <v>79.409000000000006</v>
      </c>
      <c r="D2585" s="2">
        <v>44942</v>
      </c>
    </row>
    <row r="2586" spans="1:4" x14ac:dyDescent="0.2">
      <c r="A2586" t="s">
        <v>2672</v>
      </c>
      <c r="C2586">
        <v>6.38</v>
      </c>
      <c r="D2586" s="2">
        <v>44942</v>
      </c>
    </row>
    <row r="2587" spans="1:4" x14ac:dyDescent="0.2">
      <c r="A2587" t="s">
        <v>2673</v>
      </c>
      <c r="C2587">
        <v>2.3760000000000003</v>
      </c>
      <c r="D2587" s="2">
        <v>44942</v>
      </c>
    </row>
    <row r="2588" spans="1:4" x14ac:dyDescent="0.2">
      <c r="A2588" t="s">
        <v>2667</v>
      </c>
      <c r="C2588">
        <v>85.426000000000002</v>
      </c>
      <c r="D2588" s="2">
        <v>44942</v>
      </c>
    </row>
    <row r="2589" spans="1:4" x14ac:dyDescent="0.2">
      <c r="A2589" t="s">
        <v>2906</v>
      </c>
      <c r="C2589">
        <v>0.79200000000000004</v>
      </c>
      <c r="D2589" s="2">
        <v>44942</v>
      </c>
    </row>
    <row r="2590" spans="1:4" x14ac:dyDescent="0.2">
      <c r="A2590" t="s">
        <v>2907</v>
      </c>
      <c r="C2590">
        <v>0.60500000000000009</v>
      </c>
      <c r="D2590" s="2">
        <v>44942</v>
      </c>
    </row>
    <row r="2591" spans="1:4" x14ac:dyDescent="0.2">
      <c r="A2591" t="s">
        <v>2908</v>
      </c>
      <c r="C2591">
        <v>21.659000000000002</v>
      </c>
      <c r="D2591" s="2">
        <v>44942</v>
      </c>
    </row>
    <row r="2592" spans="1:4" x14ac:dyDescent="0.2">
      <c r="A2592" t="s">
        <v>2909</v>
      </c>
      <c r="C2592">
        <v>247.929</v>
      </c>
      <c r="D2592" s="2">
        <v>44942</v>
      </c>
    </row>
    <row r="2593" spans="1:4" x14ac:dyDescent="0.2">
      <c r="A2593" t="s">
        <v>2910</v>
      </c>
      <c r="C2593">
        <v>9.8800000000000008</v>
      </c>
      <c r="D2593" s="2">
        <v>44946</v>
      </c>
    </row>
    <row r="2594" spans="1:4" x14ac:dyDescent="0.2">
      <c r="A2594" t="s">
        <v>184</v>
      </c>
      <c r="C2594">
        <v>7.12</v>
      </c>
      <c r="D2594" s="2">
        <v>44946</v>
      </c>
    </row>
    <row r="2595" spans="1:4" x14ac:dyDescent="0.2">
      <c r="A2595" t="s">
        <v>910</v>
      </c>
      <c r="C2595">
        <v>44.18</v>
      </c>
      <c r="D2595" s="2">
        <v>44946</v>
      </c>
    </row>
    <row r="2596" spans="1:4" x14ac:dyDescent="0.2">
      <c r="A2596" t="s">
        <v>959</v>
      </c>
      <c r="C2596">
        <v>14.69</v>
      </c>
      <c r="D2596" s="2">
        <v>44946</v>
      </c>
    </row>
    <row r="2597" spans="1:4" x14ac:dyDescent="0.2">
      <c r="A2597" t="s">
        <v>968</v>
      </c>
      <c r="C2597">
        <v>21.06</v>
      </c>
      <c r="D2597" s="2">
        <v>44946</v>
      </c>
    </row>
    <row r="2598" spans="1:4" x14ac:dyDescent="0.2">
      <c r="A2598" t="s">
        <v>978</v>
      </c>
      <c r="C2598">
        <v>21.18</v>
      </c>
      <c r="D2598" s="2">
        <v>44946</v>
      </c>
    </row>
    <row r="2599" spans="1:4" x14ac:dyDescent="0.2">
      <c r="A2599" t="s">
        <v>997</v>
      </c>
      <c r="C2599">
        <v>14.12</v>
      </c>
      <c r="D2599" s="2">
        <v>44946</v>
      </c>
    </row>
    <row r="2600" spans="1:4" x14ac:dyDescent="0.2">
      <c r="A2600" t="s">
        <v>1073</v>
      </c>
      <c r="C2600">
        <v>21.41</v>
      </c>
      <c r="D2600" s="2">
        <v>44946</v>
      </c>
    </row>
    <row r="2601" spans="1:4" x14ac:dyDescent="0.2">
      <c r="A2601" t="s">
        <v>1093</v>
      </c>
      <c r="C2601">
        <v>22.04</v>
      </c>
      <c r="D2601" s="2">
        <v>44946</v>
      </c>
    </row>
    <row r="2602" spans="1:4" x14ac:dyDescent="0.2">
      <c r="A2602" t="s">
        <v>1051</v>
      </c>
      <c r="C2602">
        <v>27.38</v>
      </c>
      <c r="D2602" s="2">
        <v>44946</v>
      </c>
    </row>
    <row r="2603" spans="1:4" x14ac:dyDescent="0.2">
      <c r="A2603" t="s">
        <v>1104</v>
      </c>
      <c r="C2603">
        <v>16.510000000000002</v>
      </c>
      <c r="D2603" s="2">
        <v>44946</v>
      </c>
    </row>
    <row r="2604" spans="1:4" x14ac:dyDescent="0.2">
      <c r="A2604" t="s">
        <v>1123</v>
      </c>
      <c r="C2604">
        <v>12.66</v>
      </c>
      <c r="D2604" s="2">
        <v>44946</v>
      </c>
    </row>
    <row r="2605" spans="1:4" x14ac:dyDescent="0.2">
      <c r="A2605" t="s">
        <v>1126</v>
      </c>
      <c r="C2605">
        <v>82.27</v>
      </c>
      <c r="D2605" s="2">
        <v>44946</v>
      </c>
    </row>
    <row r="2606" spans="1:4" x14ac:dyDescent="0.2">
      <c r="A2606" t="s">
        <v>1205</v>
      </c>
      <c r="C2606">
        <v>3.5</v>
      </c>
      <c r="D2606" s="2">
        <v>44946</v>
      </c>
    </row>
    <row r="2607" spans="1:4" x14ac:dyDescent="0.2">
      <c r="A2607" t="s">
        <v>1215</v>
      </c>
      <c r="C2607">
        <v>0.81</v>
      </c>
      <c r="D2607" s="2">
        <v>44946</v>
      </c>
    </row>
    <row r="2608" spans="1:4" x14ac:dyDescent="0.2">
      <c r="A2608" t="s">
        <v>1223</v>
      </c>
      <c r="C2608">
        <v>10.36</v>
      </c>
      <c r="D2608" s="2">
        <v>44946</v>
      </c>
    </row>
    <row r="2609" spans="1:4" x14ac:dyDescent="0.2">
      <c r="A2609" t="s">
        <v>1222</v>
      </c>
      <c r="C2609">
        <v>10.88</v>
      </c>
      <c r="D2609" s="2">
        <v>44946</v>
      </c>
    </row>
    <row r="2610" spans="1:4" x14ac:dyDescent="0.2">
      <c r="A2610" t="s">
        <v>1241</v>
      </c>
      <c r="C2610">
        <v>12.52</v>
      </c>
      <c r="D2610" s="2">
        <v>44946</v>
      </c>
    </row>
    <row r="2611" spans="1:4" x14ac:dyDescent="0.2">
      <c r="A2611" t="s">
        <v>1240</v>
      </c>
      <c r="C2611">
        <v>19.47</v>
      </c>
      <c r="D2611" s="2">
        <v>44946</v>
      </c>
    </row>
    <row r="2612" spans="1:4" x14ac:dyDescent="0.2">
      <c r="A2612" t="s">
        <v>1252</v>
      </c>
      <c r="C2612">
        <v>9.3000000000000007</v>
      </c>
      <c r="D2612" s="2">
        <v>44946</v>
      </c>
    </row>
    <row r="2613" spans="1:4" x14ac:dyDescent="0.2">
      <c r="A2613" t="s">
        <v>1260</v>
      </c>
      <c r="C2613">
        <v>5.94</v>
      </c>
      <c r="D2613" s="2">
        <v>44946</v>
      </c>
    </row>
    <row r="2614" spans="1:4" x14ac:dyDescent="0.2">
      <c r="A2614" t="s">
        <v>1265</v>
      </c>
      <c r="C2614">
        <v>12.63</v>
      </c>
      <c r="D2614" s="2">
        <v>44946</v>
      </c>
    </row>
    <row r="2615" spans="1:4" x14ac:dyDescent="0.2">
      <c r="A2615" t="s">
        <v>1264</v>
      </c>
      <c r="C2615">
        <v>9.44</v>
      </c>
      <c r="D2615" s="2">
        <v>44946</v>
      </c>
    </row>
    <row r="2616" spans="1:4" x14ac:dyDescent="0.2">
      <c r="A2616" t="s">
        <v>1302</v>
      </c>
      <c r="C2616">
        <v>8.4600000000000009</v>
      </c>
      <c r="D2616" s="2">
        <v>44946</v>
      </c>
    </row>
    <row r="2617" spans="1:4" x14ac:dyDescent="0.2">
      <c r="A2617" t="s">
        <v>1307</v>
      </c>
      <c r="C2617">
        <v>1.77</v>
      </c>
      <c r="D2617" s="2">
        <v>44946</v>
      </c>
    </row>
    <row r="2618" spans="1:4" x14ac:dyDescent="0.2">
      <c r="A2618" t="s">
        <v>1335</v>
      </c>
      <c r="C2618">
        <v>38.97</v>
      </c>
      <c r="D2618" s="2">
        <v>44946</v>
      </c>
    </row>
    <row r="2619" spans="1:4" x14ac:dyDescent="0.2">
      <c r="A2619" t="s">
        <v>122</v>
      </c>
      <c r="C2619">
        <v>1.46</v>
      </c>
      <c r="D2619" s="2">
        <v>44946</v>
      </c>
    </row>
    <row r="2620" spans="1:4" x14ac:dyDescent="0.2">
      <c r="A2620" t="s">
        <v>1893</v>
      </c>
      <c r="C2620">
        <v>39.1</v>
      </c>
      <c r="D2620" s="2">
        <v>44946</v>
      </c>
    </row>
    <row r="2621" spans="1:4" x14ac:dyDescent="0.2">
      <c r="A2621" t="s">
        <v>1737</v>
      </c>
      <c r="C2621">
        <v>74.510000000000005</v>
      </c>
      <c r="D2621" s="2">
        <v>44946</v>
      </c>
    </row>
    <row r="2622" spans="1:4" x14ac:dyDescent="0.2">
      <c r="A2622" t="s">
        <v>1738</v>
      </c>
      <c r="C2622">
        <v>108.52</v>
      </c>
      <c r="D2622" s="2">
        <v>44946</v>
      </c>
    </row>
    <row r="2623" spans="1:4" x14ac:dyDescent="0.2">
      <c r="A2623" t="s">
        <v>1726</v>
      </c>
      <c r="C2623">
        <v>3.67</v>
      </c>
      <c r="D2623" s="2">
        <v>44946</v>
      </c>
    </row>
    <row r="2624" spans="1:4" x14ac:dyDescent="0.2">
      <c r="A2624" t="s">
        <v>2810</v>
      </c>
      <c r="C2624">
        <v>15.14</v>
      </c>
      <c r="D2624" s="2">
        <v>44946</v>
      </c>
    </row>
    <row r="2625" spans="1:4" x14ac:dyDescent="0.2">
      <c r="A2625" t="s">
        <v>2809</v>
      </c>
      <c r="C2625">
        <v>28.4</v>
      </c>
      <c r="D2625" s="2">
        <v>44946</v>
      </c>
    </row>
    <row r="2626" spans="1:4" x14ac:dyDescent="0.2">
      <c r="A2626" t="s">
        <v>2808</v>
      </c>
      <c r="C2626">
        <v>10.89</v>
      </c>
      <c r="D2626" s="2">
        <v>44946</v>
      </c>
    </row>
    <row r="2627" spans="1:4" x14ac:dyDescent="0.2">
      <c r="A2627" t="s">
        <v>2493</v>
      </c>
      <c r="C2627">
        <v>30.54</v>
      </c>
      <c r="D2627" s="2">
        <v>44946</v>
      </c>
    </row>
    <row r="2628" spans="1:4" x14ac:dyDescent="0.2">
      <c r="A2628" t="s">
        <v>2491</v>
      </c>
      <c r="C2628">
        <v>48.46</v>
      </c>
      <c r="D2628" s="2">
        <v>44946</v>
      </c>
    </row>
    <row r="2629" spans="1:4" x14ac:dyDescent="0.2">
      <c r="A2629" t="s">
        <v>2492</v>
      </c>
      <c r="C2629">
        <v>1.73</v>
      </c>
      <c r="D2629" s="2">
        <v>44946</v>
      </c>
    </row>
    <row r="2630" spans="1:4" x14ac:dyDescent="0.2">
      <c r="A2630" t="s">
        <v>2798</v>
      </c>
      <c r="C2630">
        <v>91.333000000000013</v>
      </c>
      <c r="D2630" s="2">
        <v>44949</v>
      </c>
    </row>
    <row r="2631" spans="1:4" x14ac:dyDescent="0.2">
      <c r="A2631" t="s">
        <v>2812</v>
      </c>
      <c r="C2631">
        <v>91.333000000000013</v>
      </c>
      <c r="D2631" s="2">
        <v>44949</v>
      </c>
    </row>
    <row r="2632" spans="1:4" x14ac:dyDescent="0.2">
      <c r="A2632" t="s">
        <v>2813</v>
      </c>
      <c r="C2632">
        <v>365.33200000000005</v>
      </c>
      <c r="D2632" s="2">
        <v>44949</v>
      </c>
    </row>
    <row r="2633" spans="1:4" x14ac:dyDescent="0.2">
      <c r="A2633">
        <v>32921</v>
      </c>
      <c r="C2633">
        <v>0.36</v>
      </c>
      <c r="D2633" s="2">
        <v>44949</v>
      </c>
    </row>
    <row r="2634" spans="1:4" x14ac:dyDescent="0.2">
      <c r="A2634">
        <v>29645</v>
      </c>
      <c r="C2634">
        <v>0.28000000000000003</v>
      </c>
      <c r="D2634" s="2">
        <v>44949</v>
      </c>
    </row>
    <row r="2635" spans="1:4" x14ac:dyDescent="0.2">
      <c r="A2635">
        <v>41092</v>
      </c>
      <c r="C2635">
        <v>11.72</v>
      </c>
      <c r="D2635" s="2">
        <v>44949</v>
      </c>
    </row>
    <row r="2636" spans="1:4" x14ac:dyDescent="0.2">
      <c r="A2636">
        <v>35351</v>
      </c>
      <c r="C2636">
        <v>0.5</v>
      </c>
      <c r="D2636" s="2">
        <v>44949</v>
      </c>
    </row>
    <row r="2637" spans="1:4" x14ac:dyDescent="0.2">
      <c r="A2637" t="s">
        <v>175</v>
      </c>
      <c r="C2637">
        <v>6.24</v>
      </c>
      <c r="D2637" s="2">
        <v>44949</v>
      </c>
    </row>
    <row r="2638" spans="1:4" x14ac:dyDescent="0.2">
      <c r="A2638" t="s">
        <v>2911</v>
      </c>
      <c r="C2638">
        <v>2.2599999999999998</v>
      </c>
      <c r="D2638" s="2">
        <v>44949</v>
      </c>
    </row>
    <row r="2639" spans="1:4" x14ac:dyDescent="0.2">
      <c r="A2639" t="s">
        <v>911</v>
      </c>
      <c r="C2639">
        <v>57.24</v>
      </c>
      <c r="D2639" s="2">
        <v>44949</v>
      </c>
    </row>
    <row r="2640" spans="1:4" x14ac:dyDescent="0.2">
      <c r="A2640" t="s">
        <v>960</v>
      </c>
      <c r="C2640">
        <v>49.22</v>
      </c>
      <c r="D2640" s="2">
        <v>44949</v>
      </c>
    </row>
    <row r="2641" spans="1:4" x14ac:dyDescent="0.2">
      <c r="A2641" t="s">
        <v>969</v>
      </c>
      <c r="C2641">
        <v>50.08</v>
      </c>
      <c r="D2641" s="2">
        <v>44949</v>
      </c>
    </row>
    <row r="2642" spans="1:4" x14ac:dyDescent="0.2">
      <c r="A2642" t="s">
        <v>979</v>
      </c>
      <c r="C2642">
        <v>51.52</v>
      </c>
      <c r="D2642" s="2">
        <v>44949</v>
      </c>
    </row>
    <row r="2643" spans="1:4" x14ac:dyDescent="0.2">
      <c r="A2643" t="s">
        <v>1019</v>
      </c>
      <c r="C2643">
        <v>31.69</v>
      </c>
      <c r="D2643" s="2">
        <v>44949</v>
      </c>
    </row>
    <row r="2644" spans="1:4" x14ac:dyDescent="0.2">
      <c r="A2644" t="s">
        <v>223</v>
      </c>
      <c r="C2644">
        <v>1.18</v>
      </c>
      <c r="D2644" s="2">
        <v>44949</v>
      </c>
    </row>
    <row r="2645" spans="1:4" x14ac:dyDescent="0.2">
      <c r="A2645" t="s">
        <v>1105</v>
      </c>
      <c r="C2645">
        <v>94</v>
      </c>
      <c r="D2645" s="2">
        <v>44949</v>
      </c>
    </row>
    <row r="2646" spans="1:4" x14ac:dyDescent="0.2">
      <c r="A2646" t="s">
        <v>1176</v>
      </c>
      <c r="C2646">
        <v>34.520000000000003</v>
      </c>
      <c r="D2646" s="2">
        <v>44949</v>
      </c>
    </row>
    <row r="2647" spans="1:4" x14ac:dyDescent="0.2">
      <c r="A2647" t="s">
        <v>1746</v>
      </c>
      <c r="C2647">
        <v>79.86</v>
      </c>
      <c r="D2647" s="2">
        <v>44949</v>
      </c>
    </row>
    <row r="2648" spans="1:4" x14ac:dyDescent="0.2">
      <c r="A2648" t="s">
        <v>2494</v>
      </c>
      <c r="C2648">
        <v>92.09</v>
      </c>
      <c r="D2648" s="2">
        <v>44949</v>
      </c>
    </row>
    <row r="2649" spans="1:4" x14ac:dyDescent="0.2">
      <c r="A2649" t="s">
        <v>201</v>
      </c>
      <c r="C2649">
        <v>5.78</v>
      </c>
      <c r="D2649" s="2">
        <v>44949</v>
      </c>
    </row>
    <row r="2650" spans="1:4" x14ac:dyDescent="0.2">
      <c r="A2650" t="s">
        <v>171</v>
      </c>
      <c r="C2650">
        <v>2.44</v>
      </c>
      <c r="D2650" s="2">
        <v>44949</v>
      </c>
    </row>
    <row r="2651" spans="1:4" x14ac:dyDescent="0.2">
      <c r="A2651" t="s">
        <v>956</v>
      </c>
      <c r="C2651">
        <v>5.37</v>
      </c>
      <c r="D2651" s="2">
        <v>44949</v>
      </c>
    </row>
    <row r="2652" spans="1:4" x14ac:dyDescent="0.2">
      <c r="A2652" t="s">
        <v>965</v>
      </c>
      <c r="C2652">
        <v>5.42</v>
      </c>
      <c r="D2652" s="2">
        <v>44949</v>
      </c>
    </row>
    <row r="2653" spans="1:4" x14ac:dyDescent="0.2">
      <c r="A2653" t="s">
        <v>975</v>
      </c>
      <c r="C2653">
        <v>5.28</v>
      </c>
      <c r="D2653" s="2">
        <v>44949</v>
      </c>
    </row>
    <row r="2654" spans="1:4" x14ac:dyDescent="0.2">
      <c r="A2654" t="s">
        <v>1085</v>
      </c>
      <c r="C2654">
        <v>9.9700000000000006</v>
      </c>
      <c r="D2654" s="2">
        <v>44949</v>
      </c>
    </row>
    <row r="2655" spans="1:4" x14ac:dyDescent="0.2">
      <c r="A2655" t="s">
        <v>1153</v>
      </c>
      <c r="C2655">
        <v>79.48</v>
      </c>
      <c r="D2655" s="2">
        <v>44949</v>
      </c>
    </row>
    <row r="2656" spans="1:4" x14ac:dyDescent="0.2">
      <c r="A2656" t="s">
        <v>1163</v>
      </c>
      <c r="C2656">
        <v>83.79</v>
      </c>
      <c r="D2656" s="2">
        <v>44949</v>
      </c>
    </row>
    <row r="2657" spans="1:4" x14ac:dyDescent="0.2">
      <c r="A2657" t="s">
        <v>1173</v>
      </c>
      <c r="C2657">
        <v>7.43</v>
      </c>
      <c r="D2657" s="2">
        <v>44949</v>
      </c>
    </row>
    <row r="2658" spans="1:4" x14ac:dyDescent="0.2">
      <c r="A2658" t="s">
        <v>1711</v>
      </c>
      <c r="C2658">
        <v>8.49</v>
      </c>
      <c r="D2658" s="2">
        <v>44949</v>
      </c>
    </row>
    <row r="2659" spans="1:4" x14ac:dyDescent="0.2">
      <c r="A2659" t="s">
        <v>2815</v>
      </c>
      <c r="C2659">
        <v>15.486900000000002</v>
      </c>
      <c r="D2659" s="2">
        <v>44985</v>
      </c>
    </row>
    <row r="2660" spans="1:4" x14ac:dyDescent="0.2">
      <c r="A2660" t="s">
        <v>2912</v>
      </c>
      <c r="C2660">
        <v>0.46068000000000003</v>
      </c>
      <c r="D2660" s="2">
        <v>44985</v>
      </c>
    </row>
    <row r="2661" spans="1:4" x14ac:dyDescent="0.2">
      <c r="A2661" t="s">
        <v>2913</v>
      </c>
      <c r="C2661">
        <v>0.73116999999999999</v>
      </c>
      <c r="D2661" s="2">
        <v>44985</v>
      </c>
    </row>
    <row r="2662" spans="1:4" x14ac:dyDescent="0.2">
      <c r="A2662" t="s">
        <v>2914</v>
      </c>
      <c r="C2662">
        <v>0.31251000000000007</v>
      </c>
      <c r="D2662" s="2">
        <v>44985</v>
      </c>
    </row>
    <row r="2663" spans="1:4" x14ac:dyDescent="0.2">
      <c r="A2663" t="s">
        <v>2816</v>
      </c>
      <c r="C2663">
        <v>29.601000000000003</v>
      </c>
      <c r="D2663" s="2">
        <v>44985</v>
      </c>
    </row>
    <row r="2664" spans="1:4" x14ac:dyDescent="0.2">
      <c r="A2664" t="s">
        <v>2915</v>
      </c>
      <c r="C2664">
        <v>4.4000000000000004E-2</v>
      </c>
      <c r="D2664" s="2">
        <v>45007</v>
      </c>
    </row>
    <row r="2665" spans="1:4" x14ac:dyDescent="0.2">
      <c r="A2665" t="s">
        <v>2916</v>
      </c>
      <c r="C2665">
        <v>3.9050000000000002</v>
      </c>
      <c r="D2665" s="2">
        <v>45007</v>
      </c>
    </row>
    <row r="2666" spans="1:4" x14ac:dyDescent="0.2">
      <c r="A2666" t="s">
        <v>2917</v>
      </c>
      <c r="C2666">
        <v>0.16500000000000001</v>
      </c>
      <c r="D2666" s="2">
        <v>45007</v>
      </c>
    </row>
    <row r="2667" spans="1:4" x14ac:dyDescent="0.2">
      <c r="A2667" t="s">
        <v>2918</v>
      </c>
      <c r="C2667">
        <v>2.7720000000000002</v>
      </c>
      <c r="D2667" s="2">
        <v>45007</v>
      </c>
    </row>
    <row r="2668" spans="1:4" x14ac:dyDescent="0.2">
      <c r="A2668" t="s">
        <v>2800</v>
      </c>
      <c r="C2668">
        <v>474.40800000000002</v>
      </c>
      <c r="D2668" s="2">
        <v>45007</v>
      </c>
    </row>
    <row r="2669" spans="1:4" x14ac:dyDescent="0.2">
      <c r="A2669" t="s">
        <v>2693</v>
      </c>
      <c r="C2669">
        <v>97.317000000000007</v>
      </c>
      <c r="D2669" s="2">
        <v>45007</v>
      </c>
    </row>
    <row r="2670" spans="1:4" x14ac:dyDescent="0.2">
      <c r="A2670" t="s">
        <v>2817</v>
      </c>
      <c r="C2670">
        <v>65.362000000000009</v>
      </c>
      <c r="D2670" s="2">
        <v>45007</v>
      </c>
    </row>
    <row r="2671" spans="1:4" x14ac:dyDescent="0.2">
      <c r="A2671" t="s">
        <v>2799</v>
      </c>
      <c r="C2671">
        <v>52.679000000000002</v>
      </c>
      <c r="D2671" s="2">
        <v>45007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03117-22D0-4349-8E6D-F4500838F416}">
  <sheetPr codeName="Feuil9"/>
  <dimension ref="B1:M12"/>
  <sheetViews>
    <sheetView tabSelected="1" topLeftCell="B1" zoomScale="145" zoomScaleNormal="145" workbookViewId="0">
      <selection activeCell="L9" sqref="L9"/>
    </sheetView>
  </sheetViews>
  <sheetFormatPr baseColWidth="10" defaultRowHeight="12.75" x14ac:dyDescent="0.2"/>
  <cols>
    <col min="4" max="4" width="34.5703125" bestFit="1" customWidth="1"/>
    <col min="5" max="5" width="19.140625" customWidth="1"/>
    <col min="10" max="10" width="11.85546875" customWidth="1"/>
    <col min="12" max="12" width="14.140625" customWidth="1"/>
  </cols>
  <sheetData>
    <row r="1" spans="2:13" ht="13.5" thickBot="1" x14ac:dyDescent="0.25">
      <c r="B1" t="s">
        <v>2737</v>
      </c>
      <c r="D1" s="1" t="s">
        <v>2658</v>
      </c>
      <c r="E1" s="1" t="s">
        <v>2574</v>
      </c>
      <c r="G1" t="s">
        <v>2993</v>
      </c>
    </row>
    <row r="2" spans="2:13" ht="15" thickBot="1" x14ac:dyDescent="0.25">
      <c r="B2" t="b">
        <f>TRUE()</f>
        <v>1</v>
      </c>
      <c r="D2" s="47" t="s">
        <v>2926</v>
      </c>
      <c r="E2" s="49" t="s">
        <v>2599</v>
      </c>
      <c r="G2" s="64" t="s">
        <v>1894</v>
      </c>
      <c r="H2" s="8" t="s">
        <v>2725</v>
      </c>
      <c r="I2" s="6" t="s">
        <v>2996</v>
      </c>
      <c r="J2" s="6" t="s">
        <v>2994</v>
      </c>
      <c r="K2" s="6" t="s">
        <v>2995</v>
      </c>
      <c r="L2" s="6" t="s">
        <v>2997</v>
      </c>
      <c r="M2" s="6" t="s">
        <v>2998</v>
      </c>
    </row>
    <row r="3" spans="2:13" ht="14.25" x14ac:dyDescent="0.2">
      <c r="B3" t="b">
        <f>FALSE()</f>
        <v>0</v>
      </c>
      <c r="D3" s="48" t="s">
        <v>2927</v>
      </c>
      <c r="E3" s="49" t="s">
        <v>2641</v>
      </c>
      <c r="G3" s="69" t="s">
        <v>2825</v>
      </c>
      <c r="H3" s="25">
        <v>15</v>
      </c>
      <c r="I3" s="40">
        <v>15</v>
      </c>
      <c r="J3">
        <v>1</v>
      </c>
      <c r="K3">
        <f>I3-J3*2</f>
        <v>13</v>
      </c>
      <c r="L3">
        <v>0.63</v>
      </c>
      <c r="M3">
        <v>0.35099999999999998</v>
      </c>
    </row>
    <row r="4" spans="2:13" ht="14.25" x14ac:dyDescent="0.2">
      <c r="D4" s="47" t="s">
        <v>2928</v>
      </c>
      <c r="E4" s="49" t="s">
        <v>2605</v>
      </c>
      <c r="G4" s="70" t="s">
        <v>2827</v>
      </c>
      <c r="H4" s="28">
        <v>18</v>
      </c>
      <c r="I4" s="40">
        <v>18</v>
      </c>
      <c r="J4">
        <v>1</v>
      </c>
      <c r="K4">
        <f t="shared" ref="K4:K12" si="0">I4-J4*2</f>
        <v>16</v>
      </c>
      <c r="L4">
        <v>0.20100000000000001</v>
      </c>
      <c r="M4">
        <v>0.42599999999999999</v>
      </c>
    </row>
    <row r="5" spans="2:13" x14ac:dyDescent="0.2">
      <c r="G5" s="71" t="s">
        <v>2826</v>
      </c>
      <c r="H5" s="28">
        <v>22</v>
      </c>
      <c r="I5" s="40">
        <v>22</v>
      </c>
      <c r="J5">
        <v>1.2</v>
      </c>
      <c r="K5">
        <f t="shared" si="0"/>
        <v>19.600000000000001</v>
      </c>
      <c r="L5">
        <v>0.30199999999999999</v>
      </c>
      <c r="M5">
        <v>0.625</v>
      </c>
    </row>
    <row r="6" spans="2:13" x14ac:dyDescent="0.2">
      <c r="G6" s="70" t="s">
        <v>2828</v>
      </c>
      <c r="H6" s="28">
        <v>28</v>
      </c>
      <c r="I6" s="40">
        <v>28</v>
      </c>
      <c r="J6">
        <v>1.2</v>
      </c>
      <c r="K6">
        <f t="shared" si="0"/>
        <v>25.6</v>
      </c>
      <c r="L6">
        <v>0.51400000000000001</v>
      </c>
      <c r="M6">
        <v>0.80500000000000005</v>
      </c>
    </row>
    <row r="7" spans="2:13" x14ac:dyDescent="0.2">
      <c r="G7" s="71" t="s">
        <v>2829</v>
      </c>
      <c r="H7" s="28">
        <v>35</v>
      </c>
      <c r="I7" s="40">
        <v>35</v>
      </c>
      <c r="J7">
        <v>1.5</v>
      </c>
      <c r="K7">
        <f t="shared" si="0"/>
        <v>32</v>
      </c>
      <c r="L7">
        <v>0.80400000000000005</v>
      </c>
      <c r="M7">
        <v>1.258</v>
      </c>
    </row>
    <row r="8" spans="2:13" x14ac:dyDescent="0.2">
      <c r="G8" s="70" t="s">
        <v>2830</v>
      </c>
      <c r="H8" s="28">
        <v>42</v>
      </c>
      <c r="I8" s="40">
        <v>42</v>
      </c>
      <c r="J8">
        <v>1.5</v>
      </c>
      <c r="K8">
        <f t="shared" si="0"/>
        <v>39</v>
      </c>
      <c r="L8">
        <v>1.194</v>
      </c>
      <c r="M8">
        <v>1.5209999999999999</v>
      </c>
    </row>
    <row r="9" spans="2:13" x14ac:dyDescent="0.2">
      <c r="G9" s="70" t="s">
        <v>2831</v>
      </c>
      <c r="H9" s="28">
        <v>54</v>
      </c>
      <c r="I9" s="40">
        <v>54</v>
      </c>
      <c r="J9">
        <v>1.5</v>
      </c>
      <c r="K9">
        <f t="shared" si="0"/>
        <v>51</v>
      </c>
      <c r="L9">
        <v>2.0419999999999998</v>
      </c>
      <c r="M9">
        <v>1.972</v>
      </c>
    </row>
    <row r="10" spans="2:13" x14ac:dyDescent="0.2">
      <c r="G10" s="70" t="s">
        <v>2832</v>
      </c>
      <c r="H10" s="28">
        <v>76</v>
      </c>
      <c r="I10" s="40">
        <v>76.099999999999994</v>
      </c>
      <c r="J10">
        <v>2</v>
      </c>
      <c r="K10">
        <f t="shared" si="0"/>
        <v>72.099999999999994</v>
      </c>
      <c r="L10">
        <v>4.08</v>
      </c>
      <c r="M10">
        <v>3.7109999999999999</v>
      </c>
    </row>
    <row r="11" spans="2:13" x14ac:dyDescent="0.2">
      <c r="G11" s="71" t="s">
        <v>2833</v>
      </c>
      <c r="H11" s="28">
        <v>88</v>
      </c>
      <c r="I11" s="40">
        <v>88.9</v>
      </c>
      <c r="J11">
        <v>2</v>
      </c>
      <c r="K11">
        <f t="shared" si="0"/>
        <v>84.9</v>
      </c>
      <c r="L11">
        <v>5.66</v>
      </c>
      <c r="M11">
        <v>4.3520000000000003</v>
      </c>
    </row>
    <row r="12" spans="2:13" ht="13.5" thickBot="1" x14ac:dyDescent="0.25">
      <c r="G12" s="72" t="s">
        <v>2834</v>
      </c>
      <c r="H12" s="33">
        <v>108</v>
      </c>
      <c r="I12" s="40">
        <v>108</v>
      </c>
      <c r="J12">
        <v>2</v>
      </c>
      <c r="K12">
        <f t="shared" si="0"/>
        <v>104</v>
      </c>
      <c r="L12">
        <v>8.49</v>
      </c>
      <c r="M12">
        <v>5.3079999999999998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4B09F5-2625-4B9E-AA9B-699A1E64FC79}">
  <sheetPr codeName="Feuil5"/>
  <dimension ref="A1:F17"/>
  <sheetViews>
    <sheetView workbookViewId="0">
      <selection activeCell="C79" sqref="C79"/>
    </sheetView>
  </sheetViews>
  <sheetFormatPr baseColWidth="10" defaultColWidth="11.42578125" defaultRowHeight="12.75" x14ac:dyDescent="0.2"/>
  <cols>
    <col min="3" max="3" width="199.42578125" customWidth="1"/>
  </cols>
  <sheetData>
    <row r="1" spans="1:6" x14ac:dyDescent="0.2">
      <c r="A1" s="1" t="s">
        <v>1767</v>
      </c>
      <c r="B1" s="1" t="s">
        <v>1768</v>
      </c>
      <c r="C1" s="1" t="s">
        <v>1769</v>
      </c>
      <c r="F1" s="1"/>
    </row>
    <row r="2" spans="1:6" ht="63.75" x14ac:dyDescent="0.2">
      <c r="A2" s="2">
        <v>44280</v>
      </c>
      <c r="B2" s="1" t="s">
        <v>1770</v>
      </c>
      <c r="C2" s="3" t="s">
        <v>1771</v>
      </c>
      <c r="F2" s="1"/>
    </row>
    <row r="3" spans="1:6" x14ac:dyDescent="0.2">
      <c r="A3" s="2">
        <v>44321</v>
      </c>
      <c r="B3" t="s">
        <v>1770</v>
      </c>
      <c r="C3" t="s">
        <v>1772</v>
      </c>
    </row>
    <row r="4" spans="1:6" x14ac:dyDescent="0.2">
      <c r="A4" s="2">
        <v>44376</v>
      </c>
      <c r="B4" t="s">
        <v>1770</v>
      </c>
      <c r="C4" t="s">
        <v>1774</v>
      </c>
    </row>
    <row r="5" spans="1:6" x14ac:dyDescent="0.2">
      <c r="A5" s="2">
        <v>44377</v>
      </c>
      <c r="B5" t="s">
        <v>1770</v>
      </c>
      <c r="C5" s="1" t="s">
        <v>1863</v>
      </c>
    </row>
    <row r="6" spans="1:6" x14ac:dyDescent="0.2">
      <c r="A6" s="2">
        <v>44412</v>
      </c>
      <c r="B6" t="s">
        <v>1770</v>
      </c>
      <c r="C6" s="1" t="s">
        <v>1865</v>
      </c>
    </row>
    <row r="7" spans="1:6" x14ac:dyDescent="0.2">
      <c r="A7" s="2">
        <v>44418</v>
      </c>
      <c r="B7" s="1" t="s">
        <v>1770</v>
      </c>
      <c r="C7" s="1" t="s">
        <v>1864</v>
      </c>
    </row>
    <row r="8" spans="1:6" x14ac:dyDescent="0.2">
      <c r="A8" s="2">
        <v>44671</v>
      </c>
      <c r="B8" s="1" t="s">
        <v>1770</v>
      </c>
      <c r="C8" s="1" t="s">
        <v>2653</v>
      </c>
    </row>
    <row r="9" spans="1:6" x14ac:dyDescent="0.2">
      <c r="A9" s="2">
        <v>44750</v>
      </c>
      <c r="B9" s="1" t="s">
        <v>1770</v>
      </c>
      <c r="C9" s="1" t="s">
        <v>2670</v>
      </c>
    </row>
    <row r="10" spans="1:6" x14ac:dyDescent="0.2">
      <c r="A10" s="2">
        <v>44750</v>
      </c>
      <c r="B10" s="1" t="s">
        <v>1770</v>
      </c>
      <c r="C10" s="1" t="s">
        <v>2671</v>
      </c>
    </row>
    <row r="11" spans="1:6" x14ac:dyDescent="0.2">
      <c r="A11" s="2">
        <v>44783</v>
      </c>
      <c r="B11" s="1" t="s">
        <v>1770</v>
      </c>
      <c r="C11" s="1" t="s">
        <v>2692</v>
      </c>
    </row>
    <row r="12" spans="1:6" x14ac:dyDescent="0.2">
      <c r="A12" s="2">
        <v>44812</v>
      </c>
      <c r="B12" s="1" t="s">
        <v>1770</v>
      </c>
      <c r="C12" s="1" t="s">
        <v>2694</v>
      </c>
    </row>
    <row r="13" spans="1:6" x14ac:dyDescent="0.2">
      <c r="A13" s="2">
        <v>44846</v>
      </c>
      <c r="B13" s="1" t="s">
        <v>1770</v>
      </c>
      <c r="C13" s="1" t="s">
        <v>2742</v>
      </c>
    </row>
    <row r="14" spans="1:6" x14ac:dyDescent="0.2">
      <c r="A14" s="2">
        <v>44887</v>
      </c>
      <c r="B14" s="1" t="s">
        <v>1770</v>
      </c>
      <c r="C14" s="1" t="s">
        <v>2801</v>
      </c>
    </row>
    <row r="15" spans="1:6" x14ac:dyDescent="0.2">
      <c r="A15" s="2">
        <v>44946</v>
      </c>
      <c r="B15" s="1" t="s">
        <v>1770</v>
      </c>
      <c r="C15" s="1" t="s">
        <v>2811</v>
      </c>
    </row>
    <row r="16" spans="1:6" x14ac:dyDescent="0.2">
      <c r="A16" s="2">
        <v>45002</v>
      </c>
      <c r="B16" s="1" t="s">
        <v>1770</v>
      </c>
      <c r="C16" s="1" t="s">
        <v>2835</v>
      </c>
    </row>
    <row r="17" spans="1:3" x14ac:dyDescent="0.2">
      <c r="A17" s="2">
        <v>45007</v>
      </c>
      <c r="B17" s="1" t="s">
        <v>1770</v>
      </c>
      <c r="C17" s="1" t="s">
        <v>2839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504A5F3D35E98D419AA503EAD4C4DFF0" ma:contentTypeVersion="14" ma:contentTypeDescription="Crée un document." ma:contentTypeScope="" ma:versionID="3f8ae03ebaba0c543239e34da042dbb7">
  <xsd:schema xmlns:xsd="http://www.w3.org/2001/XMLSchema" xmlns:xs="http://www.w3.org/2001/XMLSchema" xmlns:p="http://schemas.microsoft.com/office/2006/metadata/properties" xmlns:ns2="ed60af7c-577b-4a2a-ba02-231db67517bd" xmlns:ns3="3a24876f-a420-45f1-91de-5c1f22ef7d75" targetNamespace="http://schemas.microsoft.com/office/2006/metadata/properties" ma:root="true" ma:fieldsID="558c293b4ae448f68ce7c397ba8b1298" ns2:_="" ns3:_="">
    <xsd:import namespace="ed60af7c-577b-4a2a-ba02-231db67517bd"/>
    <xsd:import namespace="3a24876f-a420-45f1-91de-5c1f22ef7d7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GenerationTime" minOccurs="0"/>
                <xsd:element ref="ns2:MediaServiceEventHashCode" minOccurs="0"/>
                <xsd:element ref="ns2:MediaServiceOCR" minOccurs="0"/>
                <xsd:element ref="ns2:MediaServiceLocation" minOccurs="0"/>
                <xsd:element ref="ns3:SharedWithUsers" minOccurs="0"/>
                <xsd:element ref="ns3:SharedWithDetails"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d60af7c-577b-4a2a-ba02-231db67517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Location" ma:index="14" nillable="true" ma:displayName="Location" ma:internalName="MediaServiceLocatio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6169f471-b7c4-4b79-a95a-d7d4dd15d25d"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3a24876f-a420-45f1-91de-5c1f22ef7d75"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TaxCatchAll" ma:index="20" nillable="true" ma:displayName="Taxonomy Catch All Column" ma:hidden="true" ma:list="{61e82546-a800-49c3-839c-83c4a33296af}" ma:internalName="TaxCatchAll" ma:showField="CatchAllData" ma:web="3a24876f-a420-45f1-91de-5c1f22ef7d7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ed60af7c-577b-4a2a-ba02-231db67517bd">
      <Terms xmlns="http://schemas.microsoft.com/office/infopath/2007/PartnerControls"/>
    </lcf76f155ced4ddcb4097134ff3c332f>
    <TaxCatchAll xmlns="3a24876f-a420-45f1-91de-5c1f22ef7d75"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8B840C8-54BE-40A5-BC06-1A801A4076EC}">
  <ds:schemaRefs>
    <ds:schemaRef ds:uri="http://schemas.microsoft.com/DataMashup"/>
  </ds:schemaRefs>
</ds:datastoreItem>
</file>

<file path=customXml/itemProps2.xml><?xml version="1.0" encoding="utf-8"?>
<ds:datastoreItem xmlns:ds="http://schemas.openxmlformats.org/officeDocument/2006/customXml" ds:itemID="{016F3E21-1757-473C-8974-DBC635981E9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d60af7c-577b-4a2a-ba02-231db67517bd"/>
    <ds:schemaRef ds:uri="3a24876f-a420-45f1-91de-5c1f22ef7d7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83E6EE0-1492-4787-90FF-50ACC7AD15D2}">
  <ds:schemaRefs>
    <ds:schemaRef ds:uri="http://purl.org/dc/dcmitype/"/>
    <ds:schemaRef ds:uri="http://purl.org/dc/terms/"/>
    <ds:schemaRef ds:uri="http://purl.org/dc/elements/1.1/"/>
    <ds:schemaRef ds:uri="http://schemas.openxmlformats.org/package/2006/metadata/core-properties"/>
    <ds:schemaRef ds:uri="http://www.w3.org/XML/1998/namespace"/>
    <ds:schemaRef ds:uri="http://schemas.microsoft.com/office/2006/metadata/properties"/>
    <ds:schemaRef ds:uri="http://schemas.microsoft.com/office/2006/documentManagement/types"/>
    <ds:schemaRef ds:uri="http://schemas.microsoft.com/office/infopath/2007/PartnerControls"/>
    <ds:schemaRef ds:uri="3a24876f-a420-45f1-91de-5c1f22ef7d75"/>
    <ds:schemaRef ds:uri="ed60af7c-577b-4a2a-ba02-231db67517bd"/>
  </ds:schemaRefs>
</ds:datastoreItem>
</file>

<file path=customXml/itemProps4.xml><?xml version="1.0" encoding="utf-8"?>
<ds:datastoreItem xmlns:ds="http://schemas.openxmlformats.org/officeDocument/2006/customXml" ds:itemID="{A821A60A-4C70-448C-84C4-BE2B616B923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6</vt:i4>
      </vt:variant>
    </vt:vector>
  </HeadingPairs>
  <TitlesOfParts>
    <vt:vector size="6" baseType="lpstr">
      <vt:lpstr>Calculette Réseau</vt:lpstr>
      <vt:lpstr>Equivalence</vt:lpstr>
      <vt:lpstr>Descente</vt:lpstr>
      <vt:lpstr>Base Prix Pratiqués</vt:lpstr>
      <vt:lpstr>info</vt:lpstr>
      <vt:lpstr>ChangeLog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Thomas MATHIEU</dc:creator>
  <cp:keywords/>
  <dc:description/>
  <cp:lastModifiedBy>Thomas MATHIEU</cp:lastModifiedBy>
  <cp:revision/>
  <cp:lastPrinted>2023-03-17T16:21:10Z</cp:lastPrinted>
  <dcterms:created xsi:type="dcterms:W3CDTF">1999-08-29T20:28:54Z</dcterms:created>
  <dcterms:modified xsi:type="dcterms:W3CDTF">2023-03-30T15:27:04Z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0x010100504A5F3D35E98D419AA503EAD4C4DFF0</vt:lpwstr>
  </property>
  <property fmtid="{D5CDD505-2E9C-101B-9397-08002B2CF9AE}" pid="3" name="MediaServiceImageTags">
    <vt:lpwstr/>
  </property>
</Properties>
</file>