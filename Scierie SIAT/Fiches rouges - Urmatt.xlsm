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035" yWindow="2790" windowWidth="7605" windowHeight="4530" tabRatio="879" activeTab="2"/>
  </bookViews>
  <sheets>
    <sheet name="Accueil" sheetId="25" r:id="rId1"/>
    <sheet name="suivi réalisation" sheetId="4" r:id="rId2"/>
    <sheet name="Graph" sheetId="16" r:id="rId3"/>
    <sheet name="Graphs ateliers" sheetId="19" r:id="rId4"/>
    <sheet name="refente à faire" sheetId="5" r:id="rId5"/>
    <sheet name="refente fait" sheetId="15" r:id="rId6"/>
    <sheet name="PAG à faire" sheetId="7" r:id="rId7"/>
    <sheet name="PAG fait" sheetId="12" r:id="rId8"/>
    <sheet name="scierie à faire" sheetId="8" r:id="rId9"/>
    <sheet name="scierie fait" sheetId="13" r:id="rId10"/>
    <sheet name="trieur à faire" sheetId="6" r:id="rId11"/>
    <sheet name="trieur fait" sheetId="14" r:id="rId12"/>
    <sheet name="expédition à faire" sheetId="26" r:id="rId13"/>
    <sheet name="expédition fait" sheetId="17" r:id="rId14"/>
    <sheet name="bureaux à faire" sheetId="9" r:id="rId15"/>
    <sheet name="bureaux fait" sheetId="27" r:id="rId16"/>
    <sheet name="engins à faire" sheetId="20" r:id="rId17"/>
    <sheet name="engins fait" sheetId="21" r:id="rId18"/>
    <sheet name="Brucks à faire" sheetId="23" r:id="rId19"/>
    <sheet name="Brucks fait" sheetId="24" r:id="rId20"/>
    <sheet name="SRM à faire" sheetId="28" r:id="rId21"/>
    <sheet name="SRM fait" sheetId="29" r:id="rId22"/>
    <sheet name="PBL à faire" sheetId="30" r:id="rId23"/>
    <sheet name="PBL fait" sheetId="31" r:id="rId24"/>
    <sheet name="SKE à faire" sheetId="34" r:id="rId25"/>
    <sheet name="SKE fait" sheetId="35" r:id="rId26"/>
    <sheet name="PGB à faire" sheetId="36" r:id="rId27"/>
    <sheet name="PGB fait" sheetId="37" r:id="rId28"/>
    <sheet name="Divers Hg à faire" sheetId="40" r:id="rId29"/>
    <sheet name="Divers Hg fait" sheetId="41" r:id="rId30"/>
    <sheet name="Liste" sheetId="43" r:id="rId31"/>
    <sheet name="Etiquette" sheetId="42" r:id="rId32"/>
    <sheet name="Annuler" sheetId="44" r:id="rId33"/>
  </sheets>
  <functionGroups builtInGroupCount="17"/>
  <definedNames>
    <definedName name="_xlnm._FilterDatabase" localSheetId="32" hidden="1">Annuler!$A$1:$I$12</definedName>
    <definedName name="_xlnm._FilterDatabase" localSheetId="6" hidden="1">'PAG à faire'!$A$1:$F$51</definedName>
    <definedName name="_xlnm._FilterDatabase" localSheetId="4" hidden="1">'refente à faire'!$A$1:$F$48</definedName>
    <definedName name="_xlnm._FilterDatabase" localSheetId="5" hidden="1">'refente fait'!$A$1:$G$547</definedName>
    <definedName name="_xlnm._FilterDatabase" localSheetId="8" hidden="1">'scierie à faire'!$A$1:$F$11</definedName>
    <definedName name="_xlnm._FilterDatabase" localSheetId="9" hidden="1">'scierie fait'!$A$1:$G$917</definedName>
    <definedName name="_xlnm._FilterDatabase" localSheetId="10" hidden="1">'trieur à faire'!$A$1:$F$25</definedName>
    <definedName name="_xlnm.Print_Area" localSheetId="18">'Brucks à faire'!$A:$F</definedName>
    <definedName name="_xlnm.Print_Area" localSheetId="3">'Graphs ateliers'!$A$1:$T$52</definedName>
    <definedName name="_xlnm.Print_Area" localSheetId="30">Liste!$A:$F</definedName>
    <definedName name="_xlnm.Print_Area" localSheetId="6">'PAG à faire'!$A$1:$K$40</definedName>
    <definedName name="_xlnm.Print_Area" localSheetId="22">'PBL à faire'!$A:$F</definedName>
    <definedName name="_xlnm.Print_Area" localSheetId="4">'refente à faire'!$A$1:$F$27</definedName>
    <definedName name="_xlnm.Print_Area" localSheetId="5">'refente fait'!$A:$G</definedName>
    <definedName name="_xlnm.Print_Area" localSheetId="8">'scierie à faire'!$A$1:$K$16</definedName>
    <definedName name="_xlnm.Print_Area" localSheetId="24">'SKE à faire'!$A$1:$F$14</definedName>
    <definedName name="_xlnm.Print_Area" localSheetId="10">'trieur à faire'!$A$1:$K$6</definedName>
  </definedNames>
  <calcPr calcId="145621"/>
</workbook>
</file>

<file path=xl/calcChain.xml><?xml version="1.0" encoding="utf-8"?>
<calcChain xmlns="http://schemas.openxmlformats.org/spreadsheetml/2006/main">
  <c r="CK40" i="4" l="1"/>
  <c r="CK41" i="4"/>
  <c r="CJ40" i="4"/>
  <c r="CJ41" i="4"/>
  <c r="CI40" i="4"/>
  <c r="CI41" i="4"/>
  <c r="CC41" i="4"/>
  <c r="CC44" i="4" s="1"/>
  <c r="CD44" i="4"/>
  <c r="CC40" i="4"/>
  <c r="CC43" i="4" s="1"/>
  <c r="CB26" i="4"/>
  <c r="CC26" i="4" s="1"/>
  <c r="CD26" i="4" s="1"/>
  <c r="CE26" i="4" s="1"/>
  <c r="CF26" i="4"/>
  <c r="CG26" i="4" s="1"/>
  <c r="CH26" i="4" s="1"/>
  <c r="CI26" i="4" s="1"/>
  <c r="CJ26" i="4" s="1"/>
  <c r="CK26" i="4" s="1"/>
  <c r="CB40" i="4"/>
  <c r="CB41" i="4"/>
  <c r="CB45" i="4"/>
  <c r="E43" i="25"/>
  <c r="A56" i="7"/>
  <c r="CH40" i="4"/>
  <c r="CH41" i="4"/>
  <c r="CG40" i="4"/>
  <c r="CG41" i="4"/>
  <c r="CF40" i="4"/>
  <c r="CF41" i="4"/>
  <c r="CE40" i="4"/>
  <c r="CE43" i="4" s="1"/>
  <c r="CE41" i="4"/>
  <c r="CD40" i="4"/>
  <c r="CD41" i="4"/>
  <c r="CA40" i="4"/>
  <c r="BZ40" i="4"/>
  <c r="BZ43" i="4" s="1"/>
  <c r="CA43" i="4" s="1"/>
  <c r="CA45" i="4" s="1"/>
  <c r="CA41" i="4"/>
  <c r="BZ41" i="4"/>
  <c r="BZ44" i="4" s="1"/>
  <c r="BZ14" i="4"/>
  <c r="CA14" i="4"/>
  <c r="CB14" i="4" s="1"/>
  <c r="CC14" i="4" s="1"/>
  <c r="CD14" i="4" s="1"/>
  <c r="CE14" i="4" s="1"/>
  <c r="CF14" i="4" s="1"/>
  <c r="CG14" i="4" s="1"/>
  <c r="CH14" i="4" s="1"/>
  <c r="CI14" i="4" s="1"/>
  <c r="CJ14" i="4" s="1"/>
  <c r="CK14" i="4" s="1"/>
  <c r="BZ11" i="4"/>
  <c r="CA11" i="4" s="1"/>
  <c r="CB11" i="4" s="1"/>
  <c r="CC11" i="4" s="1"/>
  <c r="CD11" i="4" s="1"/>
  <c r="CE11" i="4" s="1"/>
  <c r="CF11" i="4" s="1"/>
  <c r="CG11" i="4" s="1"/>
  <c r="CH11" i="4" s="1"/>
  <c r="CI11" i="4" s="1"/>
  <c r="CJ11" i="4" s="1"/>
  <c r="CK11" i="4" s="1"/>
  <c r="BZ8" i="4"/>
  <c r="CA8" i="4" s="1"/>
  <c r="CB8" i="4" s="1"/>
  <c r="CC8" i="4" s="1"/>
  <c r="CD8" i="4" s="1"/>
  <c r="CE8" i="4" s="1"/>
  <c r="CF8" i="4" s="1"/>
  <c r="CG8" i="4" s="1"/>
  <c r="CH8" i="4" s="1"/>
  <c r="CI8" i="4" s="1"/>
  <c r="CJ8" i="4" s="1"/>
  <c r="CK8" i="4" s="1"/>
  <c r="BZ5" i="4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BY45" i="4"/>
  <c r="BZ23" i="4"/>
  <c r="CA23" i="4" s="1"/>
  <c r="CB23" i="4" s="1"/>
  <c r="CC23" i="4" s="1"/>
  <c r="CD23" i="4" s="1"/>
  <c r="CE23" i="4" s="1"/>
  <c r="BY40" i="4"/>
  <c r="D45" i="25"/>
  <c r="BY41" i="4"/>
  <c r="BX40" i="4"/>
  <c r="BX41" i="4"/>
  <c r="BW40" i="4"/>
  <c r="BW41" i="4"/>
  <c r="BV40" i="4"/>
  <c r="BV41" i="4"/>
  <c r="BU40" i="4"/>
  <c r="BU41" i="4"/>
  <c r="BT40" i="4"/>
  <c r="BT41" i="4"/>
  <c r="BS40" i="4"/>
  <c r="BS41" i="4"/>
  <c r="BR40" i="4"/>
  <c r="BR41" i="4"/>
  <c r="BQ40" i="4"/>
  <c r="BQ41" i="4"/>
  <c r="BP40" i="4"/>
  <c r="BP41" i="4"/>
  <c r="BO40" i="4"/>
  <c r="BO41" i="4"/>
  <c r="BN40" i="4"/>
  <c r="BN41" i="4"/>
  <c r="BM40" i="4"/>
  <c r="BM41" i="4"/>
  <c r="BL40" i="4"/>
  <c r="BL41" i="4"/>
  <c r="BK40" i="4"/>
  <c r="BK41" i="4"/>
  <c r="BJ40" i="4"/>
  <c r="BJ41" i="4"/>
  <c r="BI40" i="4"/>
  <c r="BI41" i="4"/>
  <c r="BH40" i="4"/>
  <c r="BH41" i="4"/>
  <c r="BG40" i="4"/>
  <c r="BG41" i="4"/>
  <c r="BF40" i="4"/>
  <c r="BF41" i="4"/>
  <c r="BE40" i="4"/>
  <c r="BE41" i="4"/>
  <c r="BD40" i="4"/>
  <c r="BD41" i="4"/>
  <c r="BC40" i="4"/>
  <c r="BC41" i="4"/>
  <c r="BB40" i="4"/>
  <c r="BB41" i="4"/>
  <c r="BA40" i="4"/>
  <c r="BA41" i="4"/>
  <c r="AZ40" i="4"/>
  <c r="AZ4" i="4"/>
  <c r="AZ7" i="4"/>
  <c r="AZ41" i="4" s="1"/>
  <c r="AZ10" i="4"/>
  <c r="AY40" i="4"/>
  <c r="AY41" i="4"/>
  <c r="AX40" i="4"/>
  <c r="AX41" i="4"/>
  <c r="AW40" i="4"/>
  <c r="AW41" i="4"/>
  <c r="AV40" i="4"/>
  <c r="AV41" i="4"/>
  <c r="AU40" i="4"/>
  <c r="AU41" i="4"/>
  <c r="AT40" i="4"/>
  <c r="AT41" i="4"/>
  <c r="AS40" i="4"/>
  <c r="AS41" i="4"/>
  <c r="AR40" i="4"/>
  <c r="AR41" i="4"/>
  <c r="AQ40" i="4"/>
  <c r="AQ41" i="4"/>
  <c r="AP40" i="4"/>
  <c r="AP41" i="4"/>
  <c r="AO40" i="4"/>
  <c r="AO41" i="4"/>
  <c r="AN40" i="4"/>
  <c r="AN41" i="4"/>
  <c r="AM40" i="4"/>
  <c r="AM41" i="4"/>
  <c r="AL40" i="4"/>
  <c r="AL41" i="4"/>
  <c r="AK40" i="4"/>
  <c r="AK41" i="4"/>
  <c r="AJ40" i="4"/>
  <c r="AJ41" i="4"/>
  <c r="AI40" i="4"/>
  <c r="AI41" i="4"/>
  <c r="AH40" i="4"/>
  <c r="AH41" i="4"/>
  <c r="AG40" i="4"/>
  <c r="AG41" i="4"/>
  <c r="AF40" i="4"/>
  <c r="AF41" i="4"/>
  <c r="AE40" i="4"/>
  <c r="AE41" i="4"/>
  <c r="AD40" i="4"/>
  <c r="AD41" i="4"/>
  <c r="AC40" i="4"/>
  <c r="AC41" i="4"/>
  <c r="AB40" i="4"/>
  <c r="AB41" i="4"/>
  <c r="AA40" i="4"/>
  <c r="AA41" i="4"/>
  <c r="Z40" i="4"/>
  <c r="Z41" i="4"/>
  <c r="Y40" i="4"/>
  <c r="Y41" i="4"/>
  <c r="X40" i="4"/>
  <c r="X41" i="4"/>
  <c r="W40" i="4"/>
  <c r="W41" i="4"/>
  <c r="V40" i="4"/>
  <c r="V41" i="4"/>
  <c r="U40" i="4"/>
  <c r="U41" i="4"/>
  <c r="T40" i="4"/>
  <c r="T41" i="4"/>
  <c r="S40" i="4"/>
  <c r="S41" i="4"/>
  <c r="R40" i="4"/>
  <c r="R41" i="4"/>
  <c r="Q40" i="4"/>
  <c r="Q41" i="4"/>
  <c r="P40" i="4"/>
  <c r="P41" i="4"/>
  <c r="O40" i="4"/>
  <c r="O41" i="4"/>
  <c r="N40" i="4"/>
  <c r="N41" i="4"/>
  <c r="M40" i="4"/>
  <c r="M41" i="4"/>
  <c r="L40" i="4"/>
  <c r="L41" i="4"/>
  <c r="K40" i="4"/>
  <c r="K41" i="4"/>
  <c r="J40" i="4"/>
  <c r="J41" i="4"/>
  <c r="I40" i="4"/>
  <c r="I41" i="4"/>
  <c r="H40" i="4"/>
  <c r="H41" i="4"/>
  <c r="G40" i="4"/>
  <c r="G41" i="4"/>
  <c r="F41" i="4"/>
  <c r="E41" i="4"/>
  <c r="D41" i="4"/>
  <c r="F40" i="4"/>
  <c r="E40" i="4"/>
  <c r="D40" i="4"/>
  <c r="D42" i="4" s="1"/>
  <c r="C40" i="4"/>
  <c r="C41" i="4"/>
  <c r="C38" i="4"/>
  <c r="D38" i="4" s="1"/>
  <c r="E38" i="4" s="1"/>
  <c r="F38" i="4" s="1"/>
  <c r="G38" i="4"/>
  <c r="H38" i="4" s="1"/>
  <c r="I38" i="4" s="1"/>
  <c r="J38" i="4" s="1"/>
  <c r="K38" i="4" s="1"/>
  <c r="L38" i="4" s="1"/>
  <c r="M38" i="4" s="1"/>
  <c r="N38" i="4" s="1"/>
  <c r="O38" i="4" s="1"/>
  <c r="P38" i="4" s="1"/>
  <c r="Q38" i="4" s="1"/>
  <c r="R38" i="4" s="1"/>
  <c r="S38" i="4" s="1"/>
  <c r="T38" i="4" s="1"/>
  <c r="U38" i="4" s="1"/>
  <c r="V38" i="4" s="1"/>
  <c r="W38" i="4" s="1"/>
  <c r="X38" i="4" s="1"/>
  <c r="Y38" i="4" s="1"/>
  <c r="Z38" i="4" s="1"/>
  <c r="AA38" i="4" s="1"/>
  <c r="AB38" i="4" s="1"/>
  <c r="AC38" i="4" s="1"/>
  <c r="AD38" i="4" s="1"/>
  <c r="AE38" i="4" s="1"/>
  <c r="AF38" i="4" s="1"/>
  <c r="AG38" i="4" s="1"/>
  <c r="AH38" i="4" s="1"/>
  <c r="AI38" i="4" s="1"/>
  <c r="AJ38" i="4" s="1"/>
  <c r="AK38" i="4" s="1"/>
  <c r="AL38" i="4" s="1"/>
  <c r="AM38" i="4" s="1"/>
  <c r="AN38" i="4" s="1"/>
  <c r="AO38" i="4" s="1"/>
  <c r="AP38" i="4" s="1"/>
  <c r="AQ38" i="4" s="1"/>
  <c r="AR38" i="4" s="1"/>
  <c r="AS38" i="4" s="1"/>
  <c r="AT38" i="4" s="1"/>
  <c r="AU38" i="4" s="1"/>
  <c r="AV38" i="4" s="1"/>
  <c r="AW38" i="4" s="1"/>
  <c r="AX38" i="4" s="1"/>
  <c r="AY38" i="4" s="1"/>
  <c r="AZ38" i="4" s="1"/>
  <c r="BA38" i="4" s="1"/>
  <c r="BB38" i="4" s="1"/>
  <c r="BC38" i="4" s="1"/>
  <c r="BD38" i="4" s="1"/>
  <c r="BE38" i="4" s="1"/>
  <c r="BF38" i="4" s="1"/>
  <c r="BG38" i="4" s="1"/>
  <c r="BH38" i="4" s="1"/>
  <c r="BI38" i="4" s="1"/>
  <c r="BJ38" i="4" s="1"/>
  <c r="BK38" i="4" s="1"/>
  <c r="BL38" i="4" s="1"/>
  <c r="BM38" i="4" s="1"/>
  <c r="BN38" i="4" s="1"/>
  <c r="BO38" i="4" s="1"/>
  <c r="BP38" i="4" s="1"/>
  <c r="BQ38" i="4" s="1"/>
  <c r="BR38" i="4" s="1"/>
  <c r="BS38" i="4" s="1"/>
  <c r="BT38" i="4" s="1"/>
  <c r="BU38" i="4" s="1"/>
  <c r="BV38" i="4" s="1"/>
  <c r="BW38" i="4" s="1"/>
  <c r="BX38" i="4" s="1"/>
  <c r="BY38" i="4" s="1"/>
  <c r="BZ38" i="4" s="1"/>
  <c r="CA38" i="4" s="1"/>
  <c r="CB38" i="4" s="1"/>
  <c r="CC38" i="4" s="1"/>
  <c r="CD38" i="4" s="1"/>
  <c r="CE38" i="4" s="1"/>
  <c r="CF38" i="4" s="1"/>
  <c r="CG38" i="4" s="1"/>
  <c r="CH38" i="4" s="1"/>
  <c r="CI38" i="4" s="1"/>
  <c r="CJ38" i="4" s="1"/>
  <c r="CK38" i="4" s="1"/>
  <c r="C35" i="4"/>
  <c r="D35" i="4"/>
  <c r="E35" i="4" s="1"/>
  <c r="F35" i="4" s="1"/>
  <c r="G35" i="4" s="1"/>
  <c r="H35" i="4"/>
  <c r="I35" i="4" s="1"/>
  <c r="J35" i="4" s="1"/>
  <c r="K35" i="4" s="1"/>
  <c r="L35" i="4" s="1"/>
  <c r="M35" i="4" s="1"/>
  <c r="N35" i="4" s="1"/>
  <c r="O35" i="4" s="1"/>
  <c r="P35" i="4" s="1"/>
  <c r="Q35" i="4" s="1"/>
  <c r="R35" i="4" s="1"/>
  <c r="S35" i="4" s="1"/>
  <c r="T35" i="4" s="1"/>
  <c r="U35" i="4"/>
  <c r="V35" i="4" s="1"/>
  <c r="W35" i="4" s="1"/>
  <c r="X35" i="4" s="1"/>
  <c r="Y35" i="4" s="1"/>
  <c r="Z35" i="4" s="1"/>
  <c r="AA35" i="4" s="1"/>
  <c r="AB35" i="4" s="1"/>
  <c r="AC35" i="4" s="1"/>
  <c r="AD35" i="4" s="1"/>
  <c r="AE35" i="4" s="1"/>
  <c r="AF35" i="4" s="1"/>
  <c r="AG35" i="4" s="1"/>
  <c r="AH35" i="4" s="1"/>
  <c r="AI35" i="4" s="1"/>
  <c r="AJ35" i="4" s="1"/>
  <c r="AK35" i="4" s="1"/>
  <c r="AL35" i="4" s="1"/>
  <c r="AM35" i="4" s="1"/>
  <c r="AN35" i="4" s="1"/>
  <c r="AO35" i="4" s="1"/>
  <c r="AP35" i="4" s="1"/>
  <c r="AQ35" i="4" s="1"/>
  <c r="AR35" i="4" s="1"/>
  <c r="AS35" i="4" s="1"/>
  <c r="AT35" i="4" s="1"/>
  <c r="AU35" i="4" s="1"/>
  <c r="AV35" i="4" s="1"/>
  <c r="AW35" i="4" s="1"/>
  <c r="AX35" i="4" s="1"/>
  <c r="AY35" i="4" s="1"/>
  <c r="AZ35" i="4" s="1"/>
  <c r="BA35" i="4" s="1"/>
  <c r="BB35" i="4" s="1"/>
  <c r="BC35" i="4" s="1"/>
  <c r="BD35" i="4" s="1"/>
  <c r="BE35" i="4" s="1"/>
  <c r="BF35" i="4" s="1"/>
  <c r="BG35" i="4" s="1"/>
  <c r="BH35" i="4" s="1"/>
  <c r="BI35" i="4" s="1"/>
  <c r="BJ35" i="4" s="1"/>
  <c r="BK35" i="4" s="1"/>
  <c r="BL35" i="4" s="1"/>
  <c r="BM35" i="4" s="1"/>
  <c r="BN35" i="4" s="1"/>
  <c r="BO35" i="4" s="1"/>
  <c r="BP35" i="4" s="1"/>
  <c r="BQ35" i="4" s="1"/>
  <c r="BR35" i="4" s="1"/>
  <c r="BS35" i="4" s="1"/>
  <c r="BT35" i="4" s="1"/>
  <c r="BU35" i="4" s="1"/>
  <c r="BV35" i="4" s="1"/>
  <c r="BW35" i="4" s="1"/>
  <c r="BX35" i="4" s="1"/>
  <c r="BY35" i="4" s="1"/>
  <c r="C32" i="4"/>
  <c r="D32" i="4"/>
  <c r="E32" i="4" s="1"/>
  <c r="F32" i="4" s="1"/>
  <c r="G32" i="4" s="1"/>
  <c r="H32" i="4" s="1"/>
  <c r="I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s="1"/>
  <c r="W32" i="4" s="1"/>
  <c r="X32" i="4" s="1"/>
  <c r="Y32" i="4" s="1"/>
  <c r="Z32" i="4" s="1"/>
  <c r="AA32" i="4" s="1"/>
  <c r="AB32" i="4" s="1"/>
  <c r="AC32" i="4" s="1"/>
  <c r="AD32" i="4" s="1"/>
  <c r="AE32" i="4" s="1"/>
  <c r="AF32" i="4" s="1"/>
  <c r="AG32" i="4" s="1"/>
  <c r="AH32" i="4" s="1"/>
  <c r="AI32" i="4" s="1"/>
  <c r="AJ32" i="4" s="1"/>
  <c r="AK32" i="4" s="1"/>
  <c r="AL32" i="4" s="1"/>
  <c r="AM32" i="4" s="1"/>
  <c r="AN32" i="4" s="1"/>
  <c r="AO32" i="4" s="1"/>
  <c r="AP32" i="4" s="1"/>
  <c r="AQ32" i="4" s="1"/>
  <c r="AR32" i="4" s="1"/>
  <c r="AS32" i="4" s="1"/>
  <c r="AT32" i="4" s="1"/>
  <c r="AU32" i="4" s="1"/>
  <c r="AV32" i="4" s="1"/>
  <c r="AW32" i="4" s="1"/>
  <c r="AX32" i="4" s="1"/>
  <c r="AY32" i="4" s="1"/>
  <c r="AZ32" i="4" s="1"/>
  <c r="BA32" i="4" s="1"/>
  <c r="BB32" i="4" s="1"/>
  <c r="BC32" i="4" s="1"/>
  <c r="BD32" i="4" s="1"/>
  <c r="BE32" i="4" s="1"/>
  <c r="BF32" i="4" s="1"/>
  <c r="BG32" i="4" s="1"/>
  <c r="BH32" i="4" s="1"/>
  <c r="BI32" i="4" s="1"/>
  <c r="BJ32" i="4" s="1"/>
  <c r="BK32" i="4" s="1"/>
  <c r="BL32" i="4" s="1"/>
  <c r="BM32" i="4" s="1"/>
  <c r="BN32" i="4" s="1"/>
  <c r="BO32" i="4" s="1"/>
  <c r="BP32" i="4" s="1"/>
  <c r="BQ32" i="4" s="1"/>
  <c r="BR32" i="4" s="1"/>
  <c r="BS32" i="4" s="1"/>
  <c r="BT32" i="4" s="1"/>
  <c r="BU32" i="4" s="1"/>
  <c r="BV32" i="4" s="1"/>
  <c r="BW32" i="4" s="1"/>
  <c r="BX32" i="4" s="1"/>
  <c r="BY32" i="4" s="1"/>
  <c r="BZ32" i="4" s="1"/>
  <c r="CA32" i="4" s="1"/>
  <c r="CB32" i="4" s="1"/>
  <c r="CC32" i="4" s="1"/>
  <c r="CD32" i="4" s="1"/>
  <c r="CE32" i="4" s="1"/>
  <c r="CF32" i="4" s="1"/>
  <c r="CG32" i="4" s="1"/>
  <c r="CH32" i="4" s="1"/>
  <c r="CI32" i="4" s="1"/>
  <c r="CJ32" i="4" s="1"/>
  <c r="CK32" i="4" s="1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26" i="4"/>
  <c r="D26" i="4" s="1"/>
  <c r="E26" i="4" s="1"/>
  <c r="F26" i="4" s="1"/>
  <c r="G26" i="4" s="1"/>
  <c r="H26" i="4" s="1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S26" i="4" s="1"/>
  <c r="T26" i="4" s="1"/>
  <c r="U26" i="4" s="1"/>
  <c r="V26" i="4" s="1"/>
  <c r="W26" i="4" s="1"/>
  <c r="X26" i="4" s="1"/>
  <c r="Y26" i="4" s="1"/>
  <c r="Z26" i="4" s="1"/>
  <c r="AA26" i="4" s="1"/>
  <c r="AB26" i="4" s="1"/>
  <c r="AC26" i="4" s="1"/>
  <c r="AD26" i="4" s="1"/>
  <c r="AE26" i="4" s="1"/>
  <c r="AF26" i="4" s="1"/>
  <c r="AG26" i="4" s="1"/>
  <c r="AH26" i="4" s="1"/>
  <c r="AI26" i="4" s="1"/>
  <c r="AJ26" i="4" s="1"/>
  <c r="AK26" i="4" s="1"/>
  <c r="AL26" i="4" s="1"/>
  <c r="AM26" i="4" s="1"/>
  <c r="AN26" i="4" s="1"/>
  <c r="AO26" i="4" s="1"/>
  <c r="AP26" i="4" s="1"/>
  <c r="AQ26" i="4" s="1"/>
  <c r="AR26" i="4" s="1"/>
  <c r="AS26" i="4" s="1"/>
  <c r="AT26" i="4" s="1"/>
  <c r="AU26" i="4" s="1"/>
  <c r="AV26" i="4" s="1"/>
  <c r="AW26" i="4" s="1"/>
  <c r="AX26" i="4" s="1"/>
  <c r="AY26" i="4" s="1"/>
  <c r="AZ26" i="4" s="1"/>
  <c r="BA26" i="4" s="1"/>
  <c r="BB26" i="4" s="1"/>
  <c r="BC26" i="4" s="1"/>
  <c r="BD26" i="4" s="1"/>
  <c r="BE26" i="4" s="1"/>
  <c r="BF26" i="4" s="1"/>
  <c r="BG26" i="4" s="1"/>
  <c r="BH26" i="4" s="1"/>
  <c r="BI26" i="4" s="1"/>
  <c r="BJ26" i="4" s="1"/>
  <c r="BK26" i="4" s="1"/>
  <c r="BL26" i="4" s="1"/>
  <c r="BM26" i="4" s="1"/>
  <c r="BN26" i="4" s="1"/>
  <c r="BO26" i="4" s="1"/>
  <c r="BP26" i="4" s="1"/>
  <c r="BQ26" i="4" s="1"/>
  <c r="BR26" i="4" s="1"/>
  <c r="BS26" i="4" s="1"/>
  <c r="BT26" i="4" s="1"/>
  <c r="BU26" i="4" s="1"/>
  <c r="BV26" i="4" s="1"/>
  <c r="BW26" i="4" s="1"/>
  <c r="BX26" i="4" s="1"/>
  <c r="BY26" i="4" s="1"/>
  <c r="C23" i="4"/>
  <c r="D23" i="4" s="1"/>
  <c r="E23" i="4" s="1"/>
  <c r="F23" i="4" s="1"/>
  <c r="G23" i="4" s="1"/>
  <c r="H23" i="4" s="1"/>
  <c r="I23" i="4" s="1"/>
  <c r="J23" i="4" s="1"/>
  <c r="K23" i="4" s="1"/>
  <c r="L23" i="4" s="1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W23" i="4" s="1"/>
  <c r="X23" i="4" s="1"/>
  <c r="Y23" i="4" s="1"/>
  <c r="Z23" i="4" s="1"/>
  <c r="AA23" i="4" s="1"/>
  <c r="AB23" i="4" s="1"/>
  <c r="AC23" i="4" s="1"/>
  <c r="AD23" i="4" s="1"/>
  <c r="AE23" i="4" s="1"/>
  <c r="AF23" i="4" s="1"/>
  <c r="AG23" i="4" s="1"/>
  <c r="AH23" i="4" s="1"/>
  <c r="AI23" i="4" s="1"/>
  <c r="AJ23" i="4" s="1"/>
  <c r="AK23" i="4" s="1"/>
  <c r="AL23" i="4" s="1"/>
  <c r="AM23" i="4" s="1"/>
  <c r="AN23" i="4" s="1"/>
  <c r="AO23" i="4" s="1"/>
  <c r="AP23" i="4" s="1"/>
  <c r="AQ23" i="4" s="1"/>
  <c r="AR23" i="4" s="1"/>
  <c r="AS23" i="4" s="1"/>
  <c r="AT23" i="4" s="1"/>
  <c r="AU23" i="4" s="1"/>
  <c r="AV23" i="4" s="1"/>
  <c r="AW23" i="4" s="1"/>
  <c r="AX23" i="4" s="1"/>
  <c r="AY23" i="4" s="1"/>
  <c r="AZ23" i="4" s="1"/>
  <c r="BA23" i="4" s="1"/>
  <c r="BB23" i="4" s="1"/>
  <c r="BC23" i="4" s="1"/>
  <c r="BD23" i="4" s="1"/>
  <c r="BE23" i="4" s="1"/>
  <c r="BF23" i="4" s="1"/>
  <c r="BG23" i="4" s="1"/>
  <c r="BH23" i="4" s="1"/>
  <c r="BI23" i="4" s="1"/>
  <c r="BJ23" i="4" s="1"/>
  <c r="BK23" i="4" s="1"/>
  <c r="BL23" i="4" s="1"/>
  <c r="BM23" i="4" s="1"/>
  <c r="BN23" i="4" s="1"/>
  <c r="BO23" i="4" s="1"/>
  <c r="BP23" i="4" s="1"/>
  <c r="BQ23" i="4" s="1"/>
  <c r="BR23" i="4" s="1"/>
  <c r="BS23" i="4" s="1"/>
  <c r="BT23" i="4" s="1"/>
  <c r="BU23" i="4" s="1"/>
  <c r="BV23" i="4" s="1"/>
  <c r="BW23" i="4" s="1"/>
  <c r="BX23" i="4" s="1"/>
  <c r="C20" i="4"/>
  <c r="D20" i="4" s="1"/>
  <c r="E20" i="4" s="1"/>
  <c r="F20" i="4" s="1"/>
  <c r="G20" i="4" s="1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s="1"/>
  <c r="AJ20" i="4" s="1"/>
  <c r="AK20" i="4" s="1"/>
  <c r="AL20" i="4" s="1"/>
  <c r="AM20" i="4" s="1"/>
  <c r="AN20" i="4" s="1"/>
  <c r="AO20" i="4" s="1"/>
  <c r="AP20" i="4" s="1"/>
  <c r="AQ20" i="4" s="1"/>
  <c r="AR20" i="4" s="1"/>
  <c r="AS20" i="4" s="1"/>
  <c r="AT20" i="4" s="1"/>
  <c r="AU20" i="4" s="1"/>
  <c r="AV20" i="4" s="1"/>
  <c r="AW20" i="4" s="1"/>
  <c r="AX20" i="4" s="1"/>
  <c r="AY20" i="4" s="1"/>
  <c r="AZ20" i="4" s="1"/>
  <c r="BA20" i="4" s="1"/>
  <c r="BB20" i="4" s="1"/>
  <c r="BC20" i="4" s="1"/>
  <c r="BD20" i="4" s="1"/>
  <c r="BE20" i="4" s="1"/>
  <c r="BF20" i="4" s="1"/>
  <c r="BG20" i="4" s="1"/>
  <c r="BH20" i="4" s="1"/>
  <c r="BI20" i="4" s="1"/>
  <c r="BJ20" i="4" s="1"/>
  <c r="BK20" i="4" s="1"/>
  <c r="BL20" i="4" s="1"/>
  <c r="BM20" i="4" s="1"/>
  <c r="BN20" i="4" s="1"/>
  <c r="BO20" i="4" s="1"/>
  <c r="BP20" i="4" s="1"/>
  <c r="BQ20" i="4" s="1"/>
  <c r="BR20" i="4" s="1"/>
  <c r="BS20" i="4" s="1"/>
  <c r="BT20" i="4" s="1"/>
  <c r="BU20" i="4" s="1"/>
  <c r="BV20" i="4" s="1"/>
  <c r="BW20" i="4" s="1"/>
  <c r="BX20" i="4" s="1"/>
  <c r="BY20" i="4" s="1"/>
  <c r="BZ20" i="4" s="1"/>
  <c r="C17" i="4"/>
  <c r="D17" i="4" s="1"/>
  <c r="E17" i="4" s="1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AJ17" i="4" s="1"/>
  <c r="AK17" i="4" s="1"/>
  <c r="AL17" i="4" s="1"/>
  <c r="AM17" i="4" s="1"/>
  <c r="AN17" i="4" s="1"/>
  <c r="AO17" i="4" s="1"/>
  <c r="AP17" i="4" s="1"/>
  <c r="AQ17" i="4" s="1"/>
  <c r="AR17" i="4" s="1"/>
  <c r="AS17" i="4" s="1"/>
  <c r="AT17" i="4" s="1"/>
  <c r="AU17" i="4" s="1"/>
  <c r="AV17" i="4" s="1"/>
  <c r="AW17" i="4" s="1"/>
  <c r="AX17" i="4" s="1"/>
  <c r="AY17" i="4" s="1"/>
  <c r="AZ17" i="4" s="1"/>
  <c r="BA17" i="4" s="1"/>
  <c r="BB17" i="4" s="1"/>
  <c r="BC17" i="4" s="1"/>
  <c r="BD17" i="4" s="1"/>
  <c r="BE17" i="4" s="1"/>
  <c r="BF17" i="4" s="1"/>
  <c r="BG17" i="4" s="1"/>
  <c r="BH17" i="4" s="1"/>
  <c r="BI17" i="4" s="1"/>
  <c r="BJ17" i="4" s="1"/>
  <c r="BK17" i="4" s="1"/>
  <c r="BL17" i="4" s="1"/>
  <c r="BM17" i="4" s="1"/>
  <c r="BN17" i="4" s="1"/>
  <c r="BO17" i="4" s="1"/>
  <c r="BP17" i="4" s="1"/>
  <c r="BQ17" i="4" s="1"/>
  <c r="BR17" i="4" s="1"/>
  <c r="BS17" i="4" s="1"/>
  <c r="BT17" i="4" s="1"/>
  <c r="BU17" i="4" s="1"/>
  <c r="BV17" i="4" s="1"/>
  <c r="BW17" i="4" s="1"/>
  <c r="BX17" i="4" s="1"/>
  <c r="BY17" i="4" s="1"/>
  <c r="BZ17" i="4" s="1"/>
  <c r="CA17" i="4" s="1"/>
  <c r="CB17" i="4" s="1"/>
  <c r="CC17" i="4" s="1"/>
  <c r="CD17" i="4" s="1"/>
  <c r="CE17" i="4" s="1"/>
  <c r="CF17" i="4" s="1"/>
  <c r="CG17" i="4" s="1"/>
  <c r="CH17" i="4" s="1"/>
  <c r="CI17" i="4" s="1"/>
  <c r="CJ17" i="4" s="1"/>
  <c r="CK17" i="4" s="1"/>
  <c r="C14" i="4"/>
  <c r="D14" i="4" s="1"/>
  <c r="E14" i="4" s="1"/>
  <c r="F14" i="4" s="1"/>
  <c r="G14" i="4" s="1"/>
  <c r="H14" i="4" s="1"/>
  <c r="I14" i="4" s="1"/>
  <c r="J14" i="4" s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W14" i="4" s="1"/>
  <c r="X14" i="4" s="1"/>
  <c r="Y14" i="4" s="1"/>
  <c r="Z14" i="4" s="1"/>
  <c r="AA14" i="4" s="1"/>
  <c r="AB14" i="4" s="1"/>
  <c r="AC14" i="4" s="1"/>
  <c r="AD14" i="4" s="1"/>
  <c r="AE14" i="4" s="1"/>
  <c r="AF14" i="4" s="1"/>
  <c r="AG14" i="4" s="1"/>
  <c r="AH14" i="4" s="1"/>
  <c r="AI14" i="4" s="1"/>
  <c r="AJ14" i="4" s="1"/>
  <c r="AK14" i="4" s="1"/>
  <c r="AL14" i="4" s="1"/>
  <c r="AM14" i="4" s="1"/>
  <c r="AN14" i="4" s="1"/>
  <c r="AO14" i="4" s="1"/>
  <c r="AP14" i="4" s="1"/>
  <c r="AQ14" i="4" s="1"/>
  <c r="AR14" i="4" s="1"/>
  <c r="AS14" i="4" s="1"/>
  <c r="AT14" i="4" s="1"/>
  <c r="AU14" i="4" s="1"/>
  <c r="AV14" i="4" s="1"/>
  <c r="AW14" i="4" s="1"/>
  <c r="AX14" i="4" s="1"/>
  <c r="AY14" i="4" s="1"/>
  <c r="AZ14" i="4" s="1"/>
  <c r="BA14" i="4" s="1"/>
  <c r="BB14" i="4" s="1"/>
  <c r="BC14" i="4" s="1"/>
  <c r="BD14" i="4" s="1"/>
  <c r="BE14" i="4" s="1"/>
  <c r="BF14" i="4" s="1"/>
  <c r="BG14" i="4" s="1"/>
  <c r="BH14" i="4" s="1"/>
  <c r="BI14" i="4" s="1"/>
  <c r="BJ14" i="4" s="1"/>
  <c r="BK14" i="4" s="1"/>
  <c r="BL14" i="4" s="1"/>
  <c r="BM14" i="4" s="1"/>
  <c r="BN14" i="4" s="1"/>
  <c r="BO14" i="4" s="1"/>
  <c r="BP14" i="4" s="1"/>
  <c r="BQ14" i="4" s="1"/>
  <c r="BR14" i="4" s="1"/>
  <c r="BS14" i="4" s="1"/>
  <c r="BT14" i="4" s="1"/>
  <c r="BU14" i="4" s="1"/>
  <c r="BV14" i="4" s="1"/>
  <c r="BW14" i="4" s="1"/>
  <c r="BX14" i="4" s="1"/>
  <c r="C11" i="4"/>
  <c r="D11" i="4"/>
  <c r="E11" i="4" s="1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AI11" i="4" s="1"/>
  <c r="AJ11" i="4" s="1"/>
  <c r="AK11" i="4" s="1"/>
  <c r="AL11" i="4" s="1"/>
  <c r="AM11" i="4" s="1"/>
  <c r="AN11" i="4" s="1"/>
  <c r="AO11" i="4" s="1"/>
  <c r="AP11" i="4" s="1"/>
  <c r="AQ11" i="4" s="1"/>
  <c r="AR11" i="4" s="1"/>
  <c r="AS11" i="4" s="1"/>
  <c r="AT11" i="4" s="1"/>
  <c r="AU11" i="4" s="1"/>
  <c r="AV11" i="4" s="1"/>
  <c r="AW11" i="4" s="1"/>
  <c r="AX11" i="4" s="1"/>
  <c r="AY11" i="4" s="1"/>
  <c r="AZ11" i="4" s="1"/>
  <c r="BA11" i="4" s="1"/>
  <c r="BB11" i="4" s="1"/>
  <c r="BC11" i="4" s="1"/>
  <c r="BD11" i="4" s="1"/>
  <c r="BE11" i="4" s="1"/>
  <c r="BF11" i="4" s="1"/>
  <c r="BG11" i="4" s="1"/>
  <c r="BH11" i="4" s="1"/>
  <c r="BI11" i="4" s="1"/>
  <c r="BJ11" i="4" s="1"/>
  <c r="BK11" i="4" s="1"/>
  <c r="BL11" i="4" s="1"/>
  <c r="BM11" i="4" s="1"/>
  <c r="BN11" i="4" s="1"/>
  <c r="BO11" i="4" s="1"/>
  <c r="BP11" i="4" s="1"/>
  <c r="BQ11" i="4" s="1"/>
  <c r="BR11" i="4" s="1"/>
  <c r="BS11" i="4" s="1"/>
  <c r="BT11" i="4" s="1"/>
  <c r="BU11" i="4" s="1"/>
  <c r="BV11" i="4" s="1"/>
  <c r="BW11" i="4" s="1"/>
  <c r="BX11" i="4" s="1"/>
  <c r="C8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Q8" i="4" s="1"/>
  <c r="R8" i="4" s="1"/>
  <c r="S8" i="4" s="1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AG8" i="4" s="1"/>
  <c r="AH8" i="4" s="1"/>
  <c r="AI8" i="4" s="1"/>
  <c r="AJ8" i="4" s="1"/>
  <c r="AK8" i="4" s="1"/>
  <c r="AL8" i="4" s="1"/>
  <c r="AM8" i="4" s="1"/>
  <c r="AN8" i="4" s="1"/>
  <c r="AO8" i="4" s="1"/>
  <c r="AP8" i="4" s="1"/>
  <c r="AQ8" i="4" s="1"/>
  <c r="AR8" i="4" s="1"/>
  <c r="AS8" i="4" s="1"/>
  <c r="AT8" i="4" s="1"/>
  <c r="AU8" i="4" s="1"/>
  <c r="AV8" i="4" s="1"/>
  <c r="AW8" i="4" s="1"/>
  <c r="AX8" i="4" s="1"/>
  <c r="AY8" i="4" s="1"/>
  <c r="AZ8" i="4" s="1"/>
  <c r="BA8" i="4" s="1"/>
  <c r="BB8" i="4" s="1"/>
  <c r="BC8" i="4" s="1"/>
  <c r="BD8" i="4" s="1"/>
  <c r="BE8" i="4" s="1"/>
  <c r="BF8" i="4" s="1"/>
  <c r="BG8" i="4" s="1"/>
  <c r="BH8" i="4" s="1"/>
  <c r="BI8" i="4" s="1"/>
  <c r="BJ8" i="4" s="1"/>
  <c r="BK8" i="4" s="1"/>
  <c r="BL8" i="4" s="1"/>
  <c r="BM8" i="4" s="1"/>
  <c r="BN8" i="4" s="1"/>
  <c r="BO8" i="4" s="1"/>
  <c r="BP8" i="4" s="1"/>
  <c r="BQ8" i="4" s="1"/>
  <c r="BR8" i="4" s="1"/>
  <c r="BS8" i="4" s="1"/>
  <c r="BT8" i="4" s="1"/>
  <c r="BU8" i="4" s="1"/>
  <c r="BV8" i="4" s="1"/>
  <c r="BW8" i="4" s="1"/>
  <c r="BX8" i="4" s="1"/>
  <c r="C5" i="4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5" i="4" s="1"/>
  <c r="AH5" i="4" s="1"/>
  <c r="AI5" i="4" s="1"/>
  <c r="AJ5" i="4" s="1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  <c r="BK5" i="4" s="1"/>
  <c r="BL5" i="4" s="1"/>
  <c r="BM5" i="4" s="1"/>
  <c r="BN5" i="4" s="1"/>
  <c r="BO5" i="4" s="1"/>
  <c r="BP5" i="4" s="1"/>
  <c r="BQ5" i="4" s="1"/>
  <c r="BR5" i="4" s="1"/>
  <c r="BS5" i="4" s="1"/>
  <c r="BT5" i="4" s="1"/>
  <c r="BU5" i="4" s="1"/>
  <c r="BV5" i="4" s="1"/>
  <c r="BW5" i="4" s="1"/>
  <c r="BX5" i="4" s="1"/>
  <c r="A38" i="7"/>
  <c r="E2" i="42"/>
  <c r="F2" i="42"/>
  <c r="G2" i="42"/>
  <c r="D2" i="42"/>
  <c r="H2" i="42"/>
  <c r="I2" i="42"/>
  <c r="E3" i="42"/>
  <c r="F3" i="42"/>
  <c r="G3" i="42"/>
  <c r="D3" i="42"/>
  <c r="H3" i="42"/>
  <c r="I3" i="42"/>
  <c r="E4" i="42"/>
  <c r="G4" i="42"/>
  <c r="F4" i="42"/>
  <c r="D4" i="42"/>
  <c r="H4" i="42"/>
  <c r="I4" i="42"/>
  <c r="E5" i="42"/>
  <c r="F5" i="42"/>
  <c r="G5" i="42"/>
  <c r="D5" i="42"/>
  <c r="H5" i="42"/>
  <c r="I5" i="42"/>
  <c r="E6" i="42"/>
  <c r="F6" i="42"/>
  <c r="G6" i="42"/>
  <c r="D6" i="42"/>
  <c r="H6" i="42"/>
  <c r="I6" i="42"/>
  <c r="E7" i="42"/>
  <c r="F7" i="42"/>
  <c r="G7" i="42"/>
  <c r="D7" i="42"/>
  <c r="H7" i="42"/>
  <c r="I7" i="42"/>
  <c r="E8" i="42"/>
  <c r="F8" i="42"/>
  <c r="G8" i="42"/>
  <c r="D8" i="42"/>
  <c r="H8" i="42"/>
  <c r="I8" i="42"/>
  <c r="E9" i="42"/>
  <c r="F9" i="42"/>
  <c r="G9" i="42"/>
  <c r="D9" i="42"/>
  <c r="H9" i="42"/>
  <c r="I9" i="42"/>
  <c r="E10" i="42"/>
  <c r="F10" i="42"/>
  <c r="G10" i="42"/>
  <c r="D10" i="42"/>
  <c r="H10" i="42"/>
  <c r="I10" i="42"/>
  <c r="E11" i="42"/>
  <c r="F11" i="42"/>
  <c r="G11" i="42"/>
  <c r="D11" i="42"/>
  <c r="H11" i="42"/>
  <c r="I11" i="42"/>
  <c r="E12" i="42"/>
  <c r="F12" i="42"/>
  <c r="D12" i="42"/>
  <c r="G12" i="42"/>
  <c r="H12" i="42"/>
  <c r="I12" i="42"/>
  <c r="E13" i="42"/>
  <c r="F13" i="42"/>
  <c r="G13" i="42"/>
  <c r="D13" i="42"/>
  <c r="H13" i="42"/>
  <c r="I13" i="42"/>
  <c r="E14" i="42"/>
  <c r="G14" i="42"/>
  <c r="F14" i="42"/>
  <c r="D14" i="42"/>
  <c r="H14" i="42"/>
  <c r="I14" i="42"/>
  <c r="E15" i="42"/>
  <c r="F15" i="42"/>
  <c r="G15" i="42"/>
  <c r="D15" i="42"/>
  <c r="H15" i="42"/>
  <c r="I15" i="42"/>
  <c r="E16" i="42"/>
  <c r="G16" i="42"/>
  <c r="F16" i="42"/>
  <c r="D16" i="42"/>
  <c r="H16" i="42"/>
  <c r="I16" i="42"/>
  <c r="E17" i="42"/>
  <c r="F17" i="42"/>
  <c r="G17" i="42"/>
  <c r="D17" i="42"/>
  <c r="H17" i="42"/>
  <c r="I17" i="42"/>
  <c r="E18" i="42"/>
  <c r="G18" i="42"/>
  <c r="F18" i="42"/>
  <c r="D18" i="42"/>
  <c r="H18" i="42"/>
  <c r="I18" i="42"/>
  <c r="E19" i="42"/>
  <c r="G19" i="42"/>
  <c r="F19" i="42"/>
  <c r="D19" i="42"/>
  <c r="H19" i="42"/>
  <c r="I19" i="42"/>
  <c r="E20" i="42"/>
  <c r="G20" i="42"/>
  <c r="F20" i="42"/>
  <c r="D20" i="42"/>
  <c r="H20" i="42"/>
  <c r="I20" i="42"/>
  <c r="E21" i="42"/>
  <c r="F21" i="42"/>
  <c r="G21" i="42"/>
  <c r="D21" i="42"/>
  <c r="H21" i="42"/>
  <c r="I21" i="42"/>
  <c r="E22" i="42"/>
  <c r="F22" i="42"/>
  <c r="G22" i="42"/>
  <c r="D22" i="42"/>
  <c r="H22" i="42"/>
  <c r="I22" i="42"/>
  <c r="E23" i="42"/>
  <c r="F23" i="42"/>
  <c r="G23" i="42"/>
  <c r="D23" i="42"/>
  <c r="H23" i="42"/>
  <c r="I23" i="42"/>
  <c r="E24" i="42"/>
  <c r="F24" i="42"/>
  <c r="G24" i="42"/>
  <c r="D24" i="42"/>
  <c r="H24" i="42"/>
  <c r="I24" i="42"/>
  <c r="E25" i="42"/>
  <c r="G25" i="42"/>
  <c r="F25" i="42"/>
  <c r="D25" i="42"/>
  <c r="H25" i="42"/>
  <c r="I25" i="42"/>
  <c r="E26" i="42"/>
  <c r="F26" i="42"/>
  <c r="G26" i="42"/>
  <c r="D26" i="42"/>
  <c r="H26" i="42"/>
  <c r="I26" i="42"/>
  <c r="E27" i="42"/>
  <c r="F27" i="42"/>
  <c r="G27" i="42"/>
  <c r="D27" i="42"/>
  <c r="H27" i="42"/>
  <c r="I27" i="42"/>
  <c r="E28" i="42"/>
  <c r="F28" i="42"/>
  <c r="G28" i="42"/>
  <c r="D28" i="42"/>
  <c r="H28" i="42"/>
  <c r="I28" i="42"/>
  <c r="E29" i="42"/>
  <c r="F29" i="42"/>
  <c r="G29" i="42"/>
  <c r="D29" i="42"/>
  <c r="H29" i="42"/>
  <c r="I29" i="42"/>
  <c r="E30" i="42"/>
  <c r="F30" i="42"/>
  <c r="G30" i="42"/>
  <c r="D30" i="42"/>
  <c r="H30" i="42"/>
  <c r="I30" i="42"/>
  <c r="E31" i="42"/>
  <c r="F31" i="42"/>
  <c r="G31" i="42"/>
  <c r="D31" i="42"/>
  <c r="H31" i="42"/>
  <c r="I31" i="42"/>
  <c r="C45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F58" i="4"/>
  <c r="M3" i="25"/>
  <c r="M4" i="25"/>
  <c r="D77" i="25"/>
  <c r="D43" i="4"/>
  <c r="D44" i="4"/>
  <c r="C42" i="4"/>
  <c r="CD43" i="4"/>
  <c r="CA44" i="4"/>
  <c r="CC45" i="4"/>
  <c r="C12" i="42" l="1"/>
  <c r="C18" i="42"/>
  <c r="C14" i="42"/>
  <c r="C31" i="42"/>
  <c r="C10" i="42"/>
  <c r="C3" i="42"/>
  <c r="E42" i="4"/>
  <c r="F42" i="4" s="1"/>
  <c r="G42" i="4" s="1"/>
  <c r="H42" i="4" s="1"/>
  <c r="I42" i="4" s="1"/>
  <c r="J42" i="4" s="1"/>
  <c r="K42" i="4" s="1"/>
  <c r="L42" i="4" s="1"/>
  <c r="M42" i="4" s="1"/>
  <c r="N42" i="4" s="1"/>
  <c r="O42" i="4" s="1"/>
  <c r="P42" i="4" s="1"/>
  <c r="Q42" i="4" s="1"/>
  <c r="R42" i="4" s="1"/>
  <c r="S42" i="4" s="1"/>
  <c r="T42" i="4" s="1"/>
  <c r="U42" i="4" s="1"/>
  <c r="V42" i="4" s="1"/>
  <c r="W42" i="4" s="1"/>
  <c r="X42" i="4" s="1"/>
  <c r="Y42" i="4" s="1"/>
  <c r="Z42" i="4" s="1"/>
  <c r="AA42" i="4" s="1"/>
  <c r="AB42" i="4" s="1"/>
  <c r="AC42" i="4" s="1"/>
  <c r="AD42" i="4" s="1"/>
  <c r="AE42" i="4" s="1"/>
  <c r="AF42" i="4" s="1"/>
  <c r="AG42" i="4" s="1"/>
  <c r="AH42" i="4" s="1"/>
  <c r="AI42" i="4" s="1"/>
  <c r="AJ42" i="4" s="1"/>
  <c r="AK42" i="4" s="1"/>
  <c r="AL42" i="4" s="1"/>
  <c r="AM42" i="4" s="1"/>
  <c r="AN42" i="4" s="1"/>
  <c r="AO42" i="4" s="1"/>
  <c r="AP42" i="4" s="1"/>
  <c r="AQ42" i="4" s="1"/>
  <c r="AR42" i="4" s="1"/>
  <c r="AS42" i="4" s="1"/>
  <c r="AT42" i="4" s="1"/>
  <c r="AU42" i="4" s="1"/>
  <c r="AV42" i="4" s="1"/>
  <c r="AW42" i="4" s="1"/>
  <c r="AX42" i="4" s="1"/>
  <c r="AY42" i="4" s="1"/>
  <c r="AZ42" i="4" s="1"/>
  <c r="BA42" i="4" s="1"/>
  <c r="BB42" i="4" s="1"/>
  <c r="BC42" i="4" s="1"/>
  <c r="BD42" i="4" s="1"/>
  <c r="BE42" i="4" s="1"/>
  <c r="BF42" i="4" s="1"/>
  <c r="BG42" i="4" s="1"/>
  <c r="BH42" i="4" s="1"/>
  <c r="BI42" i="4" s="1"/>
  <c r="BJ42" i="4" s="1"/>
  <c r="BK42" i="4" s="1"/>
  <c r="BL42" i="4" s="1"/>
  <c r="BM42" i="4" s="1"/>
  <c r="BN42" i="4" s="1"/>
  <c r="BO42" i="4" s="1"/>
  <c r="BP42" i="4" s="1"/>
  <c r="BQ42" i="4" s="1"/>
  <c r="BR42" i="4" s="1"/>
  <c r="BS42" i="4" s="1"/>
  <c r="BT42" i="4" s="1"/>
  <c r="BU42" i="4" s="1"/>
  <c r="BV42" i="4" s="1"/>
  <c r="BW42" i="4" s="1"/>
  <c r="BX42" i="4" s="1"/>
  <c r="BY42" i="4" s="1"/>
  <c r="CF43" i="4"/>
  <c r="CG43" i="4" s="1"/>
  <c r="C19" i="42"/>
  <c r="C11" i="42"/>
  <c r="C7" i="42"/>
  <c r="CE44" i="4"/>
  <c r="CE45" i="4" s="1"/>
  <c r="E44" i="4"/>
  <c r="F44" i="4" s="1"/>
  <c r="G44" i="4" s="1"/>
  <c r="H44" i="4" s="1"/>
  <c r="I44" i="4" s="1"/>
  <c r="J44" i="4" s="1"/>
  <c r="K44" i="4" s="1"/>
  <c r="L44" i="4" s="1"/>
  <c r="M44" i="4" s="1"/>
  <c r="N44" i="4" s="1"/>
  <c r="O44" i="4" s="1"/>
  <c r="P44" i="4" s="1"/>
  <c r="Q44" i="4" s="1"/>
  <c r="R44" i="4" s="1"/>
  <c r="S44" i="4" s="1"/>
  <c r="T44" i="4" s="1"/>
  <c r="U44" i="4" s="1"/>
  <c r="V44" i="4" s="1"/>
  <c r="W44" i="4" s="1"/>
  <c r="X44" i="4" s="1"/>
  <c r="Y44" i="4" s="1"/>
  <c r="Z44" i="4" s="1"/>
  <c r="AA44" i="4" s="1"/>
  <c r="AB44" i="4" s="1"/>
  <c r="AC44" i="4" s="1"/>
  <c r="AD44" i="4" s="1"/>
  <c r="AE44" i="4" s="1"/>
  <c r="AF44" i="4" s="1"/>
  <c r="AG44" i="4" s="1"/>
  <c r="AH44" i="4" s="1"/>
  <c r="AI44" i="4" s="1"/>
  <c r="AJ44" i="4" s="1"/>
  <c r="AK44" i="4" s="1"/>
  <c r="AL44" i="4" s="1"/>
  <c r="AM44" i="4" s="1"/>
  <c r="AN44" i="4" s="1"/>
  <c r="AO44" i="4" s="1"/>
  <c r="AP44" i="4" s="1"/>
  <c r="AQ44" i="4" s="1"/>
  <c r="AR44" i="4" s="1"/>
  <c r="AS44" i="4" s="1"/>
  <c r="AT44" i="4" s="1"/>
  <c r="AU44" i="4" s="1"/>
  <c r="AV44" i="4" s="1"/>
  <c r="AW44" i="4" s="1"/>
  <c r="AX44" i="4" s="1"/>
  <c r="AY44" i="4" s="1"/>
  <c r="AZ44" i="4" s="1"/>
  <c r="BA44" i="4" s="1"/>
  <c r="BB44" i="4" s="1"/>
  <c r="BC44" i="4" s="1"/>
  <c r="BD44" i="4" s="1"/>
  <c r="BE44" i="4" s="1"/>
  <c r="BF44" i="4" s="1"/>
  <c r="BG44" i="4" s="1"/>
  <c r="BH44" i="4" s="1"/>
  <c r="BI44" i="4" s="1"/>
  <c r="BJ44" i="4" s="1"/>
  <c r="BK44" i="4" s="1"/>
  <c r="BL44" i="4" s="1"/>
  <c r="BM44" i="4" s="1"/>
  <c r="BN44" i="4" s="1"/>
  <c r="BO44" i="4" s="1"/>
  <c r="BP44" i="4" s="1"/>
  <c r="BQ44" i="4" s="1"/>
  <c r="BR44" i="4" s="1"/>
  <c r="BS44" i="4" s="1"/>
  <c r="BT44" i="4" s="1"/>
  <c r="BU44" i="4" s="1"/>
  <c r="BV44" i="4" s="1"/>
  <c r="BW44" i="4" s="1"/>
  <c r="BX44" i="4" s="1"/>
  <c r="C5" i="42"/>
  <c r="C2" i="42"/>
  <c r="C21" i="42"/>
  <c r="C27" i="42"/>
  <c r="C26" i="42"/>
  <c r="C4" i="42"/>
  <c r="C29" i="42"/>
  <c r="C20" i="42"/>
  <c r="C15" i="42"/>
  <c r="C17" i="42"/>
  <c r="C9" i="42"/>
  <c r="C8" i="42"/>
  <c r="C6" i="42"/>
  <c r="CA20" i="4"/>
  <c r="BZ42" i="4"/>
  <c r="C23" i="42"/>
  <c r="CF23" i="4"/>
  <c r="BZ45" i="4"/>
  <c r="C30" i="42"/>
  <c r="C28" i="42"/>
  <c r="C25" i="42"/>
  <c r="CD45" i="4"/>
  <c r="D45" i="4"/>
  <c r="E43" i="4"/>
  <c r="C24" i="42"/>
  <c r="C22" i="42"/>
  <c r="C16" i="42"/>
  <c r="C13" i="42"/>
  <c r="CF44" i="4" l="1"/>
  <c r="CA42" i="4"/>
  <c r="CB20" i="4"/>
  <c r="CC20" i="4" s="1"/>
  <c r="E45" i="4"/>
  <c r="F43" i="4"/>
  <c r="CH43" i="4"/>
  <c r="CG23" i="4"/>
  <c r="CG44" i="4" l="1"/>
  <c r="CF45" i="4"/>
  <c r="CI43" i="4"/>
  <c r="CH23" i="4"/>
  <c r="F45" i="4"/>
  <c r="G43" i="4"/>
  <c r="CC42" i="4"/>
  <c r="CD20" i="4"/>
  <c r="CH44" i="4" l="1"/>
  <c r="CG45" i="4"/>
  <c r="CE20" i="4"/>
  <c r="CD42" i="4"/>
  <c r="CI23" i="4"/>
  <c r="G45" i="4"/>
  <c r="H43" i="4"/>
  <c r="CJ43" i="4"/>
  <c r="CI44" i="4" l="1"/>
  <c r="CH45" i="4"/>
  <c r="I43" i="4"/>
  <c r="H45" i="4"/>
  <c r="CF20" i="4"/>
  <c r="CE42" i="4"/>
  <c r="CK43" i="4"/>
  <c r="CJ23" i="4"/>
  <c r="CJ44" i="4" l="1"/>
  <c r="CI45" i="4"/>
  <c r="CK23" i="4"/>
  <c r="CG20" i="4"/>
  <c r="CF42" i="4"/>
  <c r="J43" i="4"/>
  <c r="I45" i="4"/>
  <c r="CK44" i="4" l="1"/>
  <c r="CK45" i="4" s="1"/>
  <c r="CJ45" i="4"/>
  <c r="K43" i="4"/>
  <c r="J45" i="4"/>
  <c r="CH20" i="4"/>
  <c r="CG42" i="4"/>
  <c r="CI20" i="4" l="1"/>
  <c r="CH42" i="4"/>
  <c r="L43" i="4"/>
  <c r="K45" i="4"/>
  <c r="M43" i="4" l="1"/>
  <c r="L45" i="4"/>
  <c r="CJ20" i="4"/>
  <c r="CI42" i="4"/>
  <c r="M45" i="4" l="1"/>
  <c r="N43" i="4"/>
  <c r="CK20" i="4"/>
  <c r="CK42" i="4" s="1"/>
  <c r="CJ42" i="4"/>
  <c r="N45" i="4" l="1"/>
  <c r="O43" i="4"/>
  <c r="P43" i="4" l="1"/>
  <c r="O45" i="4"/>
  <c r="P45" i="4" l="1"/>
  <c r="Q43" i="4"/>
  <c r="R43" i="4" l="1"/>
  <c r="Q45" i="4"/>
  <c r="R45" i="4" l="1"/>
  <c r="S43" i="4"/>
  <c r="S45" i="4" l="1"/>
  <c r="T43" i="4"/>
  <c r="U43" i="4" l="1"/>
  <c r="T45" i="4"/>
  <c r="U45" i="4" l="1"/>
  <c r="V43" i="4"/>
  <c r="W43" i="4" l="1"/>
  <c r="V45" i="4"/>
  <c r="X43" i="4" l="1"/>
  <c r="W45" i="4"/>
  <c r="X45" i="4" l="1"/>
  <c r="Y43" i="4"/>
  <c r="Y45" i="4" l="1"/>
  <c r="Z43" i="4"/>
  <c r="Z45" i="4" l="1"/>
  <c r="AA43" i="4"/>
  <c r="AA45" i="4" l="1"/>
  <c r="AB43" i="4"/>
  <c r="AC43" i="4" l="1"/>
  <c r="AB45" i="4"/>
  <c r="AC45" i="4" l="1"/>
  <c r="AD43" i="4"/>
  <c r="AE43" i="4" l="1"/>
  <c r="AD45" i="4"/>
  <c r="AF43" i="4" l="1"/>
  <c r="AE45" i="4"/>
  <c r="AG43" i="4" l="1"/>
  <c r="AF45" i="4"/>
  <c r="AH43" i="4" l="1"/>
  <c r="AG45" i="4"/>
  <c r="AI43" i="4" l="1"/>
  <c r="AH45" i="4"/>
  <c r="AI45" i="4" l="1"/>
  <c r="AJ43" i="4"/>
  <c r="AK43" i="4" l="1"/>
  <c r="AJ45" i="4"/>
  <c r="AK45" i="4" l="1"/>
  <c r="AL43" i="4"/>
  <c r="AM43" i="4" l="1"/>
  <c r="AL45" i="4"/>
  <c r="AM45" i="4" l="1"/>
  <c r="AN43" i="4"/>
  <c r="AO43" i="4" l="1"/>
  <c r="AN45" i="4"/>
  <c r="AP43" i="4" l="1"/>
  <c r="AO45" i="4"/>
  <c r="AQ43" i="4" l="1"/>
  <c r="AP45" i="4"/>
  <c r="AR43" i="4" l="1"/>
  <c r="AQ45" i="4"/>
  <c r="AS43" i="4" l="1"/>
  <c r="AR45" i="4"/>
  <c r="AT43" i="4" l="1"/>
  <c r="AS45" i="4"/>
  <c r="AU43" i="4" l="1"/>
  <c r="AT45" i="4"/>
  <c r="AU45" i="4" l="1"/>
  <c r="AV43" i="4"/>
  <c r="AW43" i="4" l="1"/>
  <c r="AV45" i="4"/>
  <c r="AX43" i="4" l="1"/>
  <c r="AW45" i="4"/>
  <c r="AY43" i="4" l="1"/>
  <c r="AX45" i="4"/>
  <c r="AZ43" i="4" l="1"/>
  <c r="AY45" i="4"/>
  <c r="AZ45" i="4" l="1"/>
  <c r="BA43" i="4"/>
  <c r="BB43" i="4" l="1"/>
  <c r="BA45" i="4"/>
  <c r="BB45" i="4" l="1"/>
  <c r="BC43" i="4"/>
  <c r="BC45" i="4" l="1"/>
  <c r="BD43" i="4"/>
  <c r="BD45" i="4" l="1"/>
  <c r="BE43" i="4"/>
  <c r="BF43" i="4" l="1"/>
  <c r="BE45" i="4"/>
  <c r="BG43" i="4" l="1"/>
  <c r="BF45" i="4"/>
  <c r="BG45" i="4" l="1"/>
  <c r="BH43" i="4"/>
  <c r="BI43" i="4" l="1"/>
  <c r="BH45" i="4"/>
  <c r="BI45" i="4" l="1"/>
  <c r="BJ43" i="4"/>
  <c r="BK43" i="4" l="1"/>
  <c r="BJ45" i="4"/>
  <c r="BL43" i="4" l="1"/>
  <c r="BK45" i="4"/>
  <c r="BL45" i="4" l="1"/>
  <c r="BM43" i="4"/>
  <c r="BM45" i="4" l="1"/>
  <c r="BN43" i="4"/>
  <c r="BN45" i="4" l="1"/>
  <c r="BO43" i="4"/>
  <c r="BO45" i="4" l="1"/>
  <c r="BP43" i="4"/>
  <c r="BQ43" i="4" l="1"/>
  <c r="BP45" i="4"/>
  <c r="BR43" i="4" l="1"/>
  <c r="BQ45" i="4"/>
  <c r="BS43" i="4" l="1"/>
  <c r="BR45" i="4"/>
  <c r="BT43" i="4" l="1"/>
  <c r="BS45" i="4"/>
  <c r="BT45" i="4" l="1"/>
  <c r="BU43" i="4"/>
  <c r="BV43" i="4" l="1"/>
  <c r="BU45" i="4"/>
  <c r="BV45" i="4" l="1"/>
  <c r="BW43" i="4"/>
  <c r="BX43" i="4" l="1"/>
  <c r="BX45" i="4" s="1"/>
  <c r="BW45" i="4"/>
</calcChain>
</file>

<file path=xl/comments1.xml><?xml version="1.0" encoding="utf-8"?>
<comments xmlns="http://schemas.openxmlformats.org/spreadsheetml/2006/main">
  <authors>
    <author xml:space="preserve"> </author>
  </authors>
  <commentList>
    <comment ref="A1" authorId="0">
      <text>
        <r>
          <rPr>
            <sz val="8"/>
            <color indexed="81"/>
            <rFont val="Tahoma"/>
            <family val="2"/>
          </rPr>
          <t>La création d'une fiche entraine automatiquement la mise à jour du tableau de statistique.</t>
        </r>
      </text>
    </comment>
    <comment ref="A13" authorId="0">
      <text>
        <r>
          <rPr>
            <sz val="8"/>
            <color indexed="81"/>
            <rFont val="Tahoma"/>
            <family val="2"/>
          </rPr>
          <t>La fiche passe de l'état "à faire" à l'état "fait". Le tableau de stats est automatiquement mis à jour à la date actuelle.</t>
        </r>
      </text>
    </comment>
    <comment ref="A15" authorId="0">
      <text>
        <r>
          <rPr>
            <sz val="8"/>
            <color indexed="81"/>
            <rFont val="Tahoma"/>
            <family val="2"/>
          </rPr>
          <t>Déplacer une fiche "à faire" de son atelier vers l'atelier specifié</t>
        </r>
      </text>
    </comment>
    <comment ref="A19" authorId="0">
      <text>
        <r>
          <rPr>
            <sz val="8"/>
            <color indexed="81"/>
            <rFont val="Tahoma"/>
            <family val="2"/>
          </rPr>
          <t>On suprime la fiche mais si elle est "à faire" on pourra la sortir du tableau.</t>
        </r>
      </text>
    </comment>
    <comment ref="A21" authorId="0">
      <text>
        <r>
          <rPr>
            <sz val="8"/>
            <color indexed="81"/>
            <rFont val="Tahoma"/>
            <family val="2"/>
          </rPr>
          <t xml:space="preserve">Déplacer une fiche "à faire" de son atelier vers "Annuler" </t>
        </r>
      </text>
    </comment>
  </commentList>
</comments>
</file>

<file path=xl/comments2.xml><?xml version="1.0" encoding="utf-8"?>
<comments xmlns="http://schemas.openxmlformats.org/spreadsheetml/2006/main">
  <authors>
    <author>F-ROZIER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F-ROZIER:</t>
        </r>
        <r>
          <rPr>
            <sz val="8"/>
            <color indexed="81"/>
            <rFont val="Tahoma"/>
            <family val="2"/>
          </rPr>
          <t xml:space="preserve">
très important car beaucoup de perte huile hydraulique remplissage cuv trop souvent
</t>
        </r>
      </text>
    </comment>
  </commentList>
</comments>
</file>

<file path=xl/sharedStrings.xml><?xml version="1.0" encoding="utf-8"?>
<sst xmlns="http://schemas.openxmlformats.org/spreadsheetml/2006/main" count="8956" uniqueCount="4040">
  <si>
    <t>KL4 ressouder le canal (les 2 cotes) URGENT</t>
  </si>
  <si>
    <t>étanchéité bas flanc BT8 à refixer</t>
  </si>
  <si>
    <t xml:space="preserve">S2, meuler bavure sur table suite choc </t>
  </si>
  <si>
    <t>déligneuse Linck, sortie sur PL, néons HS</t>
  </si>
  <si>
    <t>sw 780 : changer la bande de mise en butée</t>
  </si>
  <si>
    <t>Weinig, Remettre en place le bras accompagnateur du dernier presseur à la mise en botte</t>
  </si>
  <si>
    <t xml:space="preserve">22SW, Remise en état des tôles </t>
  </si>
  <si>
    <t>Luc Delenbach</t>
  </si>
  <si>
    <t>Lionel Doucet</t>
  </si>
  <si>
    <t>Ph K</t>
  </si>
  <si>
    <t>Bth2, Ouvrir la bande + remettre en état de fonctionner le détecteur de proximité</t>
  </si>
  <si>
    <t xml:space="preserve">Tubulator 10, refermer les trappes </t>
  </si>
  <si>
    <t>Faire 2 nouveaux rouleaux accompagnateur 2 cm plus long en nid d'abeille</t>
  </si>
  <si>
    <t>Changer plaque de protection plexiglas</t>
  </si>
  <si>
    <t>Infos</t>
  </si>
  <si>
    <t>Réparer fuite d'eau dans le coude de la cannalisation près du poste de fraisage</t>
  </si>
  <si>
    <t>Ralongé la passerrelle des gabarie a latte et des carrelet pour éviter de la double manutention</t>
  </si>
  <si>
    <t>Gagnière</t>
  </si>
  <si>
    <t>Bande de liaison 2006 racleur HS</t>
  </si>
  <si>
    <t>sw/sch</t>
  </si>
  <si>
    <t>Ejecteur box 8 à redresser</t>
  </si>
  <si>
    <t>RSO</t>
  </si>
  <si>
    <t>hall traitement : faire un toit au dessus des feux - numérotation des bacs</t>
  </si>
  <si>
    <t>Sécurité de la porte sur la machine ne marche pas bien on arrive pas à l'ouvrir et fais calé la machine</t>
  </si>
  <si>
    <t>Stenner, Intervérouillage à mettre sous le dépileur</t>
  </si>
  <si>
    <t>Empileuse SW, 5ème courroie à changer sur 1190SW</t>
  </si>
  <si>
    <t>PAG U, Manometre de contrôle des couteaux de l'écorceuse HS</t>
  </si>
  <si>
    <t>Alimentaiton billons : tôle protection cellule Kl4 coté Sb4 URGENT - (DOUBLE AVEC 2698)</t>
  </si>
  <si>
    <t>Trieurs, refixer le plancher niveau 4500</t>
  </si>
  <si>
    <t>Sortie Del. Linck, Remettre en place le 2ème rouleau sous Bt8</t>
  </si>
  <si>
    <t>PAGU, Détecteur de mitraille à controler (position de la mitraille)</t>
  </si>
  <si>
    <t>Alimentation canter Rqm6 palier hs axe retour 2° chaine coté Strasbourg</t>
  </si>
  <si>
    <t>Ar2, Changer la chaîne</t>
  </si>
  <si>
    <t>chaîne 260, 1ere chaîne ronge le guide ertalon HS.</t>
  </si>
  <si>
    <t>ressouder tôle déflecteur juste devant le démêleur</t>
  </si>
  <si>
    <t>soudure éjecteur FL1B</t>
  </si>
  <si>
    <t>1 pied box 125 à réparer</t>
  </si>
  <si>
    <t>Joint du 1er roulement HS côté Strasbourg</t>
  </si>
  <si>
    <t>Rqm2</t>
  </si>
  <si>
    <t>2e galet supérieur HS</t>
  </si>
  <si>
    <t>Sb1</t>
  </si>
  <si>
    <t>2 galets inférieurs côté Strasbourg HS</t>
  </si>
  <si>
    <t>Changer pignon arrière</t>
  </si>
  <si>
    <t>KL2</t>
  </si>
  <si>
    <t>Changer chaine KL2</t>
  </si>
  <si>
    <t>Trieur SW, Remplacer les taperlocks sur le 1100a, 1100b, 1100c et 1110SW par des taperlocks acier</t>
  </si>
  <si>
    <t>noel munich</t>
  </si>
  <si>
    <t xml:space="preserve">faire plan </t>
  </si>
  <si>
    <t>Del. Linck, La 5ème chaîne frotte sur le centreur</t>
  </si>
  <si>
    <t>Fen 27, Pneu à changer</t>
  </si>
  <si>
    <t>Kl1a, Contrôler les silentblocs</t>
  </si>
  <si>
    <t>Kl1a, Ertalon manquant</t>
  </si>
  <si>
    <t>Qm13a, Jeu dans l'accouplement + etoile HS</t>
  </si>
  <si>
    <t>Baumann 44  manque barresbarres de maintien de chaque côté de la cabine</t>
  </si>
  <si>
    <t>Mettre une rampe à galet pour que les planches inférieur a 3,5m sur le transfert qm1 pour éviter que les planches tombent dans la bande a latte</t>
  </si>
  <si>
    <t>Trieur SW,néon retour trieur HS</t>
  </si>
  <si>
    <t>Trieur SW,néon sous box 24 HS</t>
  </si>
  <si>
    <t xml:space="preserve">Local technique , les raccordements par conducteur souples sont à effectuer avec des embouts à sertir </t>
  </si>
  <si>
    <t xml:space="preserve">P,A,G </t>
  </si>
  <si>
    <t>Weinig, Controler le système de reglage de la hauteur des 3 premiers rlx</t>
  </si>
  <si>
    <t>portées de roulements des arbres de scies HS : à faire S32/33</t>
  </si>
  <si>
    <t>refente - costa</t>
  </si>
  <si>
    <t>réglage du 4e presseur au conditionnement des bottes</t>
  </si>
  <si>
    <t>retour de Kl2 à changer</t>
  </si>
  <si>
    <t>très urgent. Retour de KL2 HS et encore plus KL4</t>
  </si>
  <si>
    <t>fuite sur moteur rqm4 et 5</t>
  </si>
  <si>
    <t>Aletier engin les caillebottis des fosses sont à remplacer</t>
  </si>
  <si>
    <t>Bac de traitement, Tôle de protection du bac n°5 à ressouder + contrôle de la tension des chaînes de tous les bacs</t>
  </si>
  <si>
    <t>SRM MODULE DE SECURITE HS COTE ENTRE GUBICHE LAMES DU BAS</t>
  </si>
  <si>
    <t>Weinig, Grand vibrant sous le poste qualité, roulement des paliers HS</t>
  </si>
  <si>
    <t xml:space="preserve">cercleuse HW nombreux cables abimées . Verification de tout les cables </t>
  </si>
  <si>
    <t>Soudure sur 1° bras Fl1: démonter palier pour effectuer la soudure</t>
  </si>
  <si>
    <t>Cornière retour chaine Rqm1 à ressouder</t>
  </si>
  <si>
    <t>Egaliser tension bande Bt1</t>
  </si>
  <si>
    <t>Tendre courroies Kr2</t>
  </si>
  <si>
    <t>Tôle à resouder sur RQM1</t>
  </si>
  <si>
    <t xml:space="preserve">remettre en l'état l'échelle d'accès à la cabine </t>
  </si>
  <si>
    <t xml:space="preserve">portique aumund </t>
  </si>
  <si>
    <t xml:space="preserve">remettre en service ou régler le limiteur de charge </t>
  </si>
  <si>
    <t>Alimnetation, Box mitrille, Butée à réparer (Silentbloc HS)</t>
  </si>
  <si>
    <t>Alimentation, Retendre chaine de Rqm5</t>
  </si>
  <si>
    <t>Deligneuse Linck, Rouleaux de sortie (Bande Bth3), vis cassée + patte</t>
  </si>
  <si>
    <t>Del. Söderhamn, 1er centreur gauche (jeu dans la chappe de vérin)</t>
  </si>
  <si>
    <t xml:space="preserve">sTENNER, modification alimentation distributeur de l'avance </t>
  </si>
  <si>
    <t xml:space="preserve">Zd1, améliorer la fixation de la tôle de protection </t>
  </si>
  <si>
    <t>SW transfert 7 : retendre chaine d'entrainement des rouleaux hélicoidaux sortie déligneuse LINCK + faire une protection chaine</t>
  </si>
  <si>
    <t>Kl5, Manque un taquet</t>
  </si>
  <si>
    <t>référencement fourche s'enclanchent souvent dans les 27 sur empileuse HW</t>
  </si>
  <si>
    <t>Alimentation billons, protection des câbles et chemins de câbles au droit des points de graissage</t>
  </si>
  <si>
    <t>Alimentation billons, serrage de l'enssemble des vis de fixation des silentblocs de liaison charpente - machine</t>
  </si>
  <si>
    <t>Graphs ateliers</t>
  </si>
  <si>
    <t>Weinig, Sécurité du capot de la weinig à remettre en état</t>
  </si>
  <si>
    <t>Bureau, Déplacer la borne FEN</t>
  </si>
  <si>
    <t xml:space="preserve">déligneuse Söderhamns, bouton de réglage du bord d'éjection ne fonctionne plus </t>
  </si>
  <si>
    <t>bande de la jonction repère 2006, jeu important sur l'axe du tambour moteur + palier HS</t>
  </si>
  <si>
    <t>SCHILCHER</t>
  </si>
  <si>
    <t>Costa, Dépileur, reglage de la poutre + changer la tige filetée de reglage</t>
  </si>
  <si>
    <t>Canter, Qm13-16-19, Ouvrir les retours</t>
  </si>
  <si>
    <t>Alimentation billon, RQm2, Ressouder la tôle tombée</t>
  </si>
  <si>
    <t>Costa, Glissière de l'empileuse HS (montée/descente) de la table coté weinig usée</t>
  </si>
  <si>
    <t>modifier le programme que si la premier cercleuse tombe en panne que se la puisse tourner sur les 2 autre</t>
  </si>
  <si>
    <t>Bt51, Un cardan HS de pla petite chaîne d'entrée</t>
  </si>
  <si>
    <t>Alim Billon, retour de Kl2 fendu</t>
  </si>
  <si>
    <t>Del. Linck, BW4, Système de serrage à modifier pour permettre un meilleur serrage</t>
  </si>
  <si>
    <t>Del. Linck, Retendre les chaînes de Qm12</t>
  </si>
  <si>
    <t>Eric</t>
  </si>
  <si>
    <t>Bureau Prod, Salle serveur, Ampoule HS</t>
  </si>
  <si>
    <t>Vers atelier:</t>
  </si>
  <si>
    <t xml:space="preserve">Trieur SW, fixation du coffret SW-SOR+STT à revoir </t>
  </si>
  <si>
    <t>réparer correctement le pignon +recharger fenêtre de l' axe .(transfert sous trieur)</t>
  </si>
  <si>
    <t>Costa, Mano d'air pour la table n°10 à changer</t>
  </si>
  <si>
    <t xml:space="preserve">Déligneuse söderhamns, remplacer les racleurs des axes de scies </t>
  </si>
  <si>
    <t xml:space="preserve">AC </t>
  </si>
  <si>
    <t xml:space="preserve">Trieur sw, vérifier toutes les oreilles des éjecteurs </t>
  </si>
  <si>
    <t>Annulé - Etiquette donnée à José pour étude</t>
  </si>
  <si>
    <t>PAG U, Ertalon glissière montée/descente des rlx presseurs à changer</t>
  </si>
  <si>
    <t>redresser support verrin du mesuraged' épaisseur "urgent"</t>
  </si>
  <si>
    <t>NON</t>
  </si>
  <si>
    <t>voir si dispo ,peut-etre fait par prod</t>
  </si>
  <si>
    <t xml:space="preserve">S1, réparer vanne d'arrivée D'air </t>
  </si>
  <si>
    <t xml:space="preserve">Trieur SW, bande 420 à réparer </t>
  </si>
  <si>
    <t xml:space="preserve">Déligneuse Linck, Zv10, manque un vérin </t>
  </si>
  <si>
    <t>Changer rotules des volets</t>
  </si>
  <si>
    <t>ZV10</t>
  </si>
  <si>
    <t>Schilcher, Courroie d'entrainement des rouleaux d'alignement avant l'empileuse HS</t>
  </si>
  <si>
    <t>remplacer courroie 4 du retourneur en haut(arrivée poste vers poste 2) et voir 5 et 6</t>
  </si>
  <si>
    <t>Del Linck, Fuite hydraulique sur le 1er rouleau presseur devant Kp1 (actuellement désacité)</t>
  </si>
  <si>
    <t>Schilcher, Zone de mesurage, Chaînes à taquets découpent le plancher</t>
  </si>
  <si>
    <t>LOGISTIQUE baumann n°45 : fuite hydraulique, feux ARD HS</t>
  </si>
  <si>
    <t>Capots supérieurs scie KR2 à redresser</t>
  </si>
  <si>
    <t>Fuite distributeur au dessus du moteur de la fraise brucks</t>
  </si>
  <si>
    <t>Alimentation support en bois de la BT1  h,s  juste apres l arceau</t>
  </si>
  <si>
    <t>empileuse , chaine support des latteurs + pignon à changer(voir gilles)</t>
  </si>
  <si>
    <t>Retendre RQM7 : raccourcir</t>
  </si>
  <si>
    <t xml:space="preserve">850HW, voir problème de référence codeur </t>
  </si>
  <si>
    <t xml:space="preserve">DD </t>
  </si>
  <si>
    <t>Refente, Compresseur, vanne à changer à la cuve + électrovanne au compresseur</t>
  </si>
  <si>
    <t>fuite à la turbine sur le moteur de reprise qui monte la sciure dans le grand cyclone</t>
  </si>
  <si>
    <t>aspiration</t>
  </si>
  <si>
    <t>Broyeur 260, Capot de protection jaune, vérifier les vannes pour ouverture</t>
  </si>
  <si>
    <t>Broyeur 260</t>
  </si>
  <si>
    <t>Alimentation Billon, Boxe Mitraille, Arrêtoir à palier</t>
  </si>
  <si>
    <t>Alimentation, Porte de sécurité donnant sur SB1, problème avec la fermeture donne pas l'information pour que le SB marche</t>
  </si>
  <si>
    <t>Trieur, HW 110 butée à refixer</t>
  </si>
  <si>
    <t>PAG, fuites hydrauliques sous le Brucks</t>
  </si>
  <si>
    <t>Changer rotule de vérin des 1er, 4e et 5e bras</t>
  </si>
  <si>
    <t>Se1</t>
  </si>
  <si>
    <t>RQM10, 1 palier HS</t>
  </si>
  <si>
    <t>PAG U, Ejecteur 50, Manque 1 bras</t>
  </si>
  <si>
    <t>refaire la glissière chaine RQM4  1,4 ET 6</t>
  </si>
  <si>
    <t>Modifier cablage électrique Bt8</t>
  </si>
  <si>
    <t>sectionneur: 2070,2040,2050         Fixations HS(pendent)</t>
  </si>
  <si>
    <t>changer taquets chaîne KL3</t>
  </si>
  <si>
    <t>PAG U, Fixation flexible hyrdraulique sur centrale Kr2 à revoir</t>
  </si>
  <si>
    <t>HW270, 1ère bande du retourneur HS</t>
  </si>
  <si>
    <t xml:space="preserve">Kr2, gardes corps à refaire </t>
  </si>
  <si>
    <t>Alimentation billon, Boxe rejet, 1 déflecteur tordu coince sur le chassis</t>
  </si>
  <si>
    <t>Weinig, Dépileur Bande d'évacuation des lattes, Mettre un sectionneur</t>
  </si>
  <si>
    <t xml:space="preserve">720sw, une tôle cassée à ressouder et remettre en état </t>
  </si>
  <si>
    <t>Sprinkleurs, cuve source A, tuyau du trop plein (PVC) HS</t>
  </si>
  <si>
    <t>Ka1, Réaligner les pignons de renvoi + le tendeur</t>
  </si>
  <si>
    <t>ME2, bavette à changer, il y a trop de lumière qui rentre</t>
  </si>
  <si>
    <t>Alimentation Bilon</t>
  </si>
  <si>
    <t>Sa1, Bande déchirée sur 70 cm + jonction</t>
  </si>
  <si>
    <t>sortie directe à l' empileuse, ressouder protection de chaîne + guidage car part de travers URGENT</t>
  </si>
  <si>
    <t>logistique : fenwick n°60 fuite reservoire hydraulique, sabots tabliers fourches HS</t>
  </si>
  <si>
    <t>Weinig, Souflette des lames à revoir, Amméliorer le flux d'air</t>
  </si>
  <si>
    <t xml:space="preserve">Donneur empileuse Schilcher, avant dernier bras, vis HS dans axe </t>
  </si>
  <si>
    <t>Unité lattes, Ajouter une protection sur les codeurs des scies mobiles</t>
  </si>
  <si>
    <t>alimentation billons, As2, axe palier HS</t>
  </si>
  <si>
    <t>ouverture</t>
  </si>
  <si>
    <t>Fuite à la turbine qui monte la sciure au silo</t>
  </si>
  <si>
    <t>remettre en etat les glissieres des chaines d entrainements petits rouleaux</t>
  </si>
  <si>
    <t>Broyeur refente, bande qui monte les plaquettes à remettre sur les glissières</t>
  </si>
  <si>
    <t xml:space="preserve">Déligneuse Söderhamns, remplacer les joints racleurs + feutres sur les deux arbres de dép^lacement des scies </t>
  </si>
  <si>
    <t>Costa, boitier EL HS sur le pousseur, à changer</t>
  </si>
  <si>
    <t>Bande 320, Rouleaux inferieur, bruit anormal</t>
  </si>
  <si>
    <t xml:space="preserve">changer les peignes des fourches empileuse HW </t>
  </si>
  <si>
    <t>changer ertalon scie fixe empileuse HW</t>
  </si>
  <si>
    <t>BOX 2 sw ejecteur a manchonner</t>
  </si>
  <si>
    <t>VIS SANS FIN DE REGLAGE DE LA MONTE ET DESCENTE DE L ARBRE DU AUT HS</t>
  </si>
  <si>
    <t>Changer les roulettes de la chaise de bureau d'Anita</t>
  </si>
  <si>
    <t>Bureau Expé</t>
  </si>
  <si>
    <t xml:space="preserve">Alimentation billons, kL2, revoir la barrière de surhauteur </t>
  </si>
  <si>
    <t>Alimentation billon, As4, Axe frotte sur le tôlage</t>
  </si>
  <si>
    <t>Alimentation billon, Sb1 à Sb7, changer les ertalons de guidage des contrepoids (mesure à prendre puis mise en place)</t>
  </si>
  <si>
    <t xml:space="preserve">S2, lafraise n'est pas freinée lorsque l'on arrête </t>
  </si>
  <si>
    <t>transfert 3110, changer les ertalons(devant déméleur). En urgence la 2 et la 3</t>
  </si>
  <si>
    <t>Weinig, Remettre le capot de protection du moteur sur le train de rouleau excentrique</t>
  </si>
  <si>
    <t>HW empileuse ertalon scie mobile a changer</t>
  </si>
  <si>
    <t>Kp1, rouleau de sortie, pivot vérin HS</t>
  </si>
  <si>
    <t>PAG U, Fl1, Axe cassé après le 1er bras du Brucks</t>
  </si>
  <si>
    <t>Weinig, Fixation du sico, monté/descente de la table, il tourne avec la manivel</t>
  </si>
  <si>
    <t xml:space="preserve">weinig, refaire la butée de la table sortie machine </t>
  </si>
  <si>
    <t>Compresseur refente, Révision</t>
  </si>
  <si>
    <t>déligneuse Linck, ajouter un miroir pour voir la sortie de la machine ( séparateur ) depuis le pupitre déporté de KP1</t>
  </si>
  <si>
    <t>KUNERT Q18</t>
  </si>
  <si>
    <t>Cave, tubulator 160 &amp; 170, Embout du tuyau d'air à remettre en état</t>
  </si>
  <si>
    <t xml:space="preserve">Local tech. Springer I, remplacer la porte du local automates </t>
  </si>
  <si>
    <t>pupitre à refixer support hs</t>
  </si>
  <si>
    <t>Mettre un panneau en bois coté voie rapide au dessus du grand vibrant après l'extracteur pour que les chutes de bois tombe directement dans le vibrant</t>
  </si>
  <si>
    <t>Alimentation , zone deck portique, Vérifier le branchement de la porte de sécurité</t>
  </si>
  <si>
    <t>alimentation billons, contrôle complet de tous les supports ( graissage … )</t>
  </si>
  <si>
    <t>Refaire les poteaux de maintien des colis</t>
  </si>
  <si>
    <t>Portique, chauffage cabine ne marche pas</t>
  </si>
  <si>
    <t>Ecorceuse,Rlx entree et sortie a mettre en etat</t>
  </si>
  <si>
    <t xml:space="preserve">Bande 310, la jonction se décolle </t>
  </si>
  <si>
    <t>Traceur à brancher dans les zones (alimentation billon, unité lattes, empileuse)</t>
  </si>
  <si>
    <t>Bac de traitement, Fuite sous le bac n°1 (1 goutte / 10 secondes)</t>
  </si>
  <si>
    <t>Remettre les plaques de protection du train de rouleaux là où le cariste pose les colis</t>
  </si>
  <si>
    <t>LOGISTIQUE Fenwick n°34 : usure anormale pneu AVG</t>
  </si>
  <si>
    <t>Remettre en place le nouveau rouleau presseur au dessus du rabo du bois, arret technique</t>
  </si>
  <si>
    <t>Weinig, Extracteur, voir pour limiter le manometre à 4 bar, il faut le laisser regler</t>
  </si>
  <si>
    <t>A chaque nouveau programme (redémarrage) obligé de faire une reset</t>
  </si>
  <si>
    <t>Vérifier l'alignement des chaines dans le trieur</t>
  </si>
  <si>
    <t>Trimmer SW</t>
  </si>
  <si>
    <t>Carter ouvert sur plus d'un mètre. A ressouder</t>
  </si>
  <si>
    <t>HW SCIE 300</t>
  </si>
  <si>
    <t>NUIT</t>
  </si>
  <si>
    <t xml:space="preserve">Une serrure est manquante sur le coffret évacuation ventilation </t>
  </si>
  <si>
    <t xml:space="preserve">Une vasque est cassée sur un luminaire au dessus de la STENNER </t>
  </si>
  <si>
    <t xml:space="preserve">Une entrée de câble d'alimentation au coffet et à revoir : porte nergeco </t>
  </si>
  <si>
    <t>1100B SW, Tendeur moteur HS</t>
  </si>
  <si>
    <t>scierie/alim billons</t>
  </si>
  <si>
    <t>Trieurs/collecteur</t>
  </si>
  <si>
    <t>Expédition/hall traitemennt et stockage</t>
  </si>
  <si>
    <t>SB6, ne tient pas en position haute, voir frein</t>
  </si>
  <si>
    <t>Weinig, ventilation moteur des petites fourches de l'empileuse à latte ne fonctionne pas</t>
  </si>
  <si>
    <t>Bt1, tambour d'entraînement à revulcaniser</t>
  </si>
  <si>
    <t>Alimentation billon, Boxe mitraille, 1 roulement HS du dernier éjecteur</t>
  </si>
  <si>
    <t>Souder déflecteurs devant chaine à 4,20 m et 5,00 m transfert aprèspont mobile</t>
  </si>
  <si>
    <t>Souder déflecteur devant 4e chaine du virage</t>
  </si>
  <si>
    <t>Refente, Aspiration, Vis sans fin près des filtres, Ajouter une lumière</t>
  </si>
  <si>
    <t xml:space="preserve">PAG U, Passerelles à remettre en état, en particulier dans l'alimentation </t>
  </si>
  <si>
    <t>empileuse HW: table du bas , galets en bas à changer car hs.voir pour alignement de la table car tire d' un côté.</t>
  </si>
  <si>
    <t>Alimentation, 1 taquet sur KL4 à changer</t>
  </si>
  <si>
    <t>PAG, Remettre cornière au niveau de la bande Bt2</t>
  </si>
  <si>
    <t>Remonter les sectionneur des bandes 330, 340 et 360 au niveau du portillon au dessus</t>
  </si>
  <si>
    <t>alimentation canter</t>
  </si>
  <si>
    <t>caméra 2 module 3 dans Me7 HS</t>
  </si>
  <si>
    <t>Changer les deux poignées de la porte coté droit ZD1</t>
  </si>
  <si>
    <t>Canter 1</t>
  </si>
  <si>
    <t>vérifier translation 1er retourneur DV1</t>
  </si>
  <si>
    <t>ski retour kl5 à changer</t>
  </si>
  <si>
    <t>manitou mt 425</t>
  </si>
  <si>
    <t xml:space="preserve">remettre en place la vis manquante sur le mouvement de rotation de la pince </t>
  </si>
  <si>
    <t xml:space="preserve">fuchs </t>
  </si>
  <si>
    <t>CONTRÔLE DES BLOC DE REGLAGE DE L AVANCE ? ILS BOUGE</t>
  </si>
  <si>
    <t>DEMANDE OU ONT EN N EST POUR LE DEVIS DES REPARATION DE LA WEINIG</t>
  </si>
  <si>
    <t>Remettre silent blocs sur joint d'entrainement de la fraise</t>
  </si>
  <si>
    <t>ASPIRATION REFENTE FUITE A LA TURBINE QUI MONTE LA SCIEURE DANS LE SILO</t>
  </si>
  <si>
    <t>prés de l' unité latte: poteau jaune, protection de bande arraché au pied, à refaire</t>
  </si>
  <si>
    <t>unité latte</t>
  </si>
  <si>
    <t>730sw, poteau grillage HS</t>
  </si>
  <si>
    <t>Pont roulant, Remettre en place les sacs à chaînes + linguet de sécurité</t>
  </si>
  <si>
    <t>HW poste 4</t>
  </si>
  <si>
    <t>PAG U, Mur et charpente HS sortie Nicholson</t>
  </si>
  <si>
    <t>ELEVATEUR N°83 PORTE GAUCHE NE FERME PLUS</t>
  </si>
  <si>
    <t>REFENTE</t>
  </si>
  <si>
    <t>HW Empileuse, Changer l'ertalon de la scie fixe</t>
  </si>
  <si>
    <t>Sw, Transfert 20 en haut, raccourcie chaines car limite de tension</t>
  </si>
  <si>
    <t>refaie les planchers avant les déméleurs. Danger.  Voir remplacer les caillebotis</t>
  </si>
  <si>
    <t>Söderhamn, Changer le rouleau presseur juste après les scies</t>
  </si>
  <si>
    <t>Alimentation billon, Protection cellule KL4 coté Sb3 arraché</t>
  </si>
  <si>
    <t>Empileuse SW, Transfert 1190, 4ème chaine à réaligner</t>
  </si>
  <si>
    <t>changer l alimentation en 24 volts , perte de charge</t>
  </si>
  <si>
    <t>aspiration : le coude au-dessus du transfert QM1 fuite de sciure</t>
  </si>
  <si>
    <t>Del. Linck, Kp1, rlx du bas , jeu dans l'accouplement</t>
  </si>
  <si>
    <t>Synchroniser AS1A et AS1B  (longueur bielle)</t>
  </si>
  <si>
    <t>vérifier noix moteur KF4</t>
  </si>
  <si>
    <t xml:space="preserve">Broyeur, alignement des poulies </t>
  </si>
  <si>
    <t>Empileuse SW, mettre un miroir pour vision sur le 2ème démêleur 1160</t>
  </si>
  <si>
    <t xml:space="preserve">Déligneuse Linck, Sa1, remplacer le tuyau de soufflerie HS </t>
  </si>
  <si>
    <t xml:space="preserve">Holtec, remettre les plaqueurs en état </t>
  </si>
  <si>
    <t>Poubelle, Remettre les poubelles en état (2 x)</t>
  </si>
  <si>
    <t>Divers</t>
  </si>
  <si>
    <t>Bureau Maintenance, Volet roulant à synchronisé</t>
  </si>
  <si>
    <t xml:space="preserve">Alimentation billons, refaire tôle du boxe mitraille </t>
  </si>
  <si>
    <t>3130HW, Remettre en état les "caillebotis"</t>
  </si>
  <si>
    <t>3130HW, Pignon HS</t>
  </si>
  <si>
    <t>PAG U, Chaîne des rouleaux coniques à tendre et/ou raccourcir</t>
  </si>
  <si>
    <t>Prendre les deux cercleurse Cyclobe qui se trouve à la Stenner et faire une révision complète</t>
  </si>
  <si>
    <t>Del. Linck, Cable de la 3ème cellule de Sth13 abimé (frotte sur la chaîne)</t>
  </si>
  <si>
    <t>PAG U, RQm1 butee soudures HS + beton cassé</t>
  </si>
  <si>
    <t xml:space="preserve">PAG U, Nicholson, refixer les ertalons </t>
  </si>
  <si>
    <t>Portique : passerelle escamotable HS</t>
  </si>
  <si>
    <t>SW740, 5 boulons sectionnés dans les guides rails</t>
  </si>
  <si>
    <t>Weinig, Contrôler les axes  et le système de serrage des portes outils</t>
  </si>
  <si>
    <t xml:space="preserve"> moteur déméleur1, joint spie + roulement hs</t>
  </si>
  <si>
    <t xml:space="preserve">ALIMENTATION </t>
  </si>
  <si>
    <t>Alimentation vulcanisation du tambour de BT1 est HS</t>
  </si>
  <si>
    <t xml:space="preserve">Alimention </t>
  </si>
  <si>
    <t>Remplacer le caillebotis le long de Kl3, entre As1 et As2</t>
  </si>
  <si>
    <t>Sennebogen 49, Gros grappin, fuite sur vérin</t>
  </si>
  <si>
    <t>Relever bas-flanc coté gauche entrée RSO</t>
  </si>
  <si>
    <t>SRM FAIRE 6 ROULEAUX A SPIRE POUR LA SORTIE DES LAMES , 3 GAUCHE 3 DROIS POUR PLAQUE LE BOIS SUR LA TABLE</t>
  </si>
  <si>
    <t>Poste 4 fixer et rendre coincidents les lasers d'éboutage du poste 4</t>
  </si>
  <si>
    <t>Kr2, cellule hauteur automatique à régler</t>
  </si>
  <si>
    <t xml:space="preserve">Kr2, rouleau conique à régler </t>
  </si>
  <si>
    <t>Aspiration du grand cyclone, fuite sous le cyclone</t>
  </si>
  <si>
    <t>Canter, SE3, Remettre les bras guide planches sur Se3 à gauche (sens d'avance) - ANNULE Remplace par un bas-flancs</t>
  </si>
  <si>
    <t>Kl4, Manque 2 tôles de protection des cellules</t>
  </si>
  <si>
    <t>MKV, Porte-manchon coulisse mal</t>
  </si>
  <si>
    <t>Kl4, Changer la chaîne</t>
  </si>
  <si>
    <t>Mevlut</t>
  </si>
  <si>
    <t xml:space="preserve">Kl3, raccoucir la chaine </t>
  </si>
  <si>
    <t>PAG U, Hall, trou dans la toiture au niveau de Kr1</t>
  </si>
  <si>
    <t>PAG U, Poteaux boxes HS (24 - 134 - 114 - 138 - 55 48 - 60)</t>
  </si>
  <si>
    <t>dispatcheur qualité ne fonctionne pas correctement,monte difficilementà chaque démarrage</t>
  </si>
  <si>
    <t>axe du box 10 en sortie tordu</t>
  </si>
  <si>
    <t>pont mobile, remettre la ligne de vie en état</t>
  </si>
  <si>
    <t>Axe bielle première partie Lv1 à changer</t>
  </si>
  <si>
    <t>Del. Linck, BW4, Pignon moteur - axe pas en face</t>
  </si>
  <si>
    <t xml:space="preserve">Se3, enlever le coffret electrique qui est sur la passerelle </t>
  </si>
  <si>
    <t>Voyant du bouton allumage éclairage connexes Hs</t>
  </si>
  <si>
    <t>Connexes</t>
  </si>
  <si>
    <t>Changer pignons Rqm3 (pignon moteur)</t>
  </si>
  <si>
    <t>Remettre peignes sur 1° rouleau RSO</t>
  </si>
  <si>
    <t>Changer peignes Lv1</t>
  </si>
  <si>
    <t>Broyeur refente, bande qui monte les plaquettes HS</t>
  </si>
  <si>
    <t>Schilcher, Remettre en état la clef de reglage du trieur</t>
  </si>
  <si>
    <t>Weinig, Tendeur moteur avant le poste de tronçonnage HS</t>
  </si>
  <si>
    <t>Canter, Main courante escalier au-dessus de SE2 à ressouder</t>
  </si>
  <si>
    <t>Salim</t>
  </si>
  <si>
    <t>1er poste éboutage SW, Enrouleur tuyau d'air HS</t>
  </si>
  <si>
    <t>Brucks, Tubulator 587, vis sans fin à remettre en état</t>
  </si>
  <si>
    <t>Evacuation exterieure</t>
  </si>
  <si>
    <t>Del. Söderhamn, Bavette d'entrée et sortie capot à changer</t>
  </si>
  <si>
    <t>Ali</t>
  </si>
  <si>
    <t>Del. Söderhamn, Chaîne moteur Qm30a à tendre</t>
  </si>
  <si>
    <t>LV1, Ressouder l'axe couper au niveau de la bielle + renfort</t>
  </si>
  <si>
    <t>Empileuse HW, 4 boutons de déplacement des lattes HS</t>
  </si>
  <si>
    <t>Del. Linck, Barrière de sécurité de Qm14 à regler</t>
  </si>
  <si>
    <t>Broyeur refente - changer le contre-couteau</t>
  </si>
  <si>
    <t>Weinig, Refaire la barrière de sécurité de la passerelle du dépileur</t>
  </si>
  <si>
    <t>Kp1, Rlx extracteur, Fuite au niveau du vérin</t>
  </si>
  <si>
    <t>PAG U, Ejecteur 28 disjoncté</t>
  </si>
  <si>
    <t>Stenner, Changer le pignon moteur du train de rouleaux de sortie (transfert d'éjection)</t>
  </si>
  <si>
    <t xml:space="preserve">Zd2, trou dans cône d'ejection </t>
  </si>
  <si>
    <t>rajouter picots sur rouleaux entrée et sortie ecorceuse</t>
  </si>
  <si>
    <t>canter : changer ou réparer enrouleur S1</t>
  </si>
  <si>
    <t>tendeur Kl3 à remettre en l'état, arret technique</t>
  </si>
  <si>
    <t>GAGNIERE</t>
  </si>
  <si>
    <t>HAINZL</t>
  </si>
  <si>
    <t>Fuite à un vérin rouleau presseur avant le rabo du haut, changer les joints</t>
  </si>
  <si>
    <t>En haut des turbines nettoyage de la lumière</t>
  </si>
  <si>
    <t>Lumière Hs près des filtres en bas</t>
  </si>
  <si>
    <t>Silo sciure remettre les portes en état + le jointement des portes pour que la sciure ne sorte plus</t>
  </si>
  <si>
    <t>HW330, Valider la tension des courroies des rouleaux d'alignement (les changer si HS)</t>
  </si>
  <si>
    <t>Vz2, Roulement linéaire bouchée</t>
  </si>
  <si>
    <t>Grande Longueur</t>
  </si>
  <si>
    <t>SF + DD</t>
  </si>
  <si>
    <t>Fourche 1210 : remettre un nouveau revêtement anti dérapage</t>
  </si>
  <si>
    <t>VULCA</t>
  </si>
  <si>
    <t xml:space="preserve">Schilcher, mettre bagues d'arrêts sur axes éjecteurs </t>
  </si>
  <si>
    <t>PAG U, Fuite hydraulique sur le groupe du Brucks</t>
  </si>
  <si>
    <t>Remplacer les vitres de l'algeco chauffeur</t>
  </si>
  <si>
    <t xml:space="preserve">Söderhamns, mettre une fenêtre </t>
  </si>
  <si>
    <t>Manque un bras au coliseur 26 le dernier coté armoire electrique, arret technique</t>
  </si>
  <si>
    <t>Retendre chaine moteur BT1</t>
  </si>
  <si>
    <t>empileuse HW changer enrouleur pneumatique</t>
  </si>
  <si>
    <t>PAG U, Portique, Caméra coté Urmatt-Schirmeck ne fonctionne pas</t>
  </si>
  <si>
    <t>Del Linck, Sa1, Déflecteur dans la trémie sous Sa1 à ressouder</t>
  </si>
  <si>
    <t>250HW, Chaînes à raccourcir + tendeur tordu à remettre en état</t>
  </si>
  <si>
    <t>Empileuse changer déclencheur lattes. (ne fonctionne plus correctement fenêtre au niveau de la vis trop grande)</t>
  </si>
  <si>
    <t>Usure anormale pignon couronne coté Schirmeck Bruche</t>
  </si>
  <si>
    <t>Sb4, Protection de cellule arraché à remettre</t>
  </si>
  <si>
    <t>Contrôle câble d'alimentation sortie du bornier</t>
  </si>
  <si>
    <t>Bande BTH4 fraisage</t>
  </si>
  <si>
    <t>Déplacer les tuyaux de graissage devant SR2</t>
  </si>
  <si>
    <t>Unité Latte</t>
  </si>
  <si>
    <t>Portique, 2ème chariot de la guirlande à changer (1 patte tordue)</t>
  </si>
  <si>
    <t>Empileuse HW, 2ème butée rouge, Vérin HS</t>
  </si>
  <si>
    <t>Holtec, Remise en état des bras de maintien des colis pour la XXXème fois</t>
  </si>
  <si>
    <t>HW760, 3ème retenus de couche HS</t>
  </si>
  <si>
    <t xml:space="preserve">Les luminaires ne sont pas reliès au réseau de protection </t>
  </si>
  <si>
    <t>bureau D,A,B</t>
  </si>
  <si>
    <t>ROULEAUX EXTRACTEUR CHANGER LES 2 AVANT LA NEIGE</t>
  </si>
  <si>
    <t>Maintenance 500 heures de la ventouse</t>
  </si>
  <si>
    <t>Rb2, devant S2, Changer le pignon tendeur</t>
  </si>
  <si>
    <t>,</t>
  </si>
  <si>
    <t>HW transfert 115 Chaines 3-4-5-6 a raccourcir et retendre</t>
  </si>
  <si>
    <t>Alimentation billon, Deck Fuchs, glissière de chaine cassée sur Rqm4, 1° coté Schirmeck</t>
  </si>
  <si>
    <t>Alimentation  billon</t>
  </si>
  <si>
    <t>Canter, Tôle de protection entre Zd2 et Av3 trouée - Faire le plan d'un élément de remplacement</t>
  </si>
  <si>
    <t>Unités lattes, Scie n°5, 1 chaîne à changer</t>
  </si>
  <si>
    <t>Grue Sennenbogen,fuite de liquide de refroidissement au niveau du système de chauffage de la cabine</t>
  </si>
  <si>
    <t>Grue Sennenbogen,glissiere de reglage de siege conducteur ne bloque plus</t>
  </si>
  <si>
    <t>Box 159, poteau H.S.</t>
  </si>
  <si>
    <t>PAG U, Rqm 3, Tôlage à remettre en état</t>
  </si>
  <si>
    <t>remplacer retour(caoutchouc noir)du convoyeur à taquet noir( après dispatcheur)au 4 eme brin de chaine</t>
  </si>
  <si>
    <t>Graissage automatique sur la cinquième chaine du démêleur 70 désoudé</t>
  </si>
  <si>
    <t>CANTER</t>
  </si>
  <si>
    <t>Vérin de la table voir pour  des nouveaux vérin mieux guider</t>
  </si>
  <si>
    <t>Zd1, Tôle à refixé coté droit (pb d'étanchéité)</t>
  </si>
  <si>
    <t>Alimentation billon, Deck1, Caillebotis à refixer et remplacer</t>
  </si>
  <si>
    <t>SW 870, Chaînes à raccourcir</t>
  </si>
  <si>
    <t>Portique, Contrôle de l'ensemble des motoréducteurs de translation (frein, niveau d'huille)</t>
  </si>
  <si>
    <t>800SW, Point d'accroche à supprimer</t>
  </si>
  <si>
    <t>Weinig, extracteur, Roulement des rouleaux du bas HS</t>
  </si>
  <si>
    <t>Remettre caillebotis manquant sur la passerelle.</t>
  </si>
  <si>
    <t>Remetre vis d'arrêt d'axes des pinces</t>
  </si>
  <si>
    <t>Remmetre grille d'évacuation d'eau à côté RQM1</t>
  </si>
  <si>
    <t>Etanchéité des paliers des rouleaux KA1 à refaire</t>
  </si>
  <si>
    <t>conges</t>
  </si>
  <si>
    <t>260hw, chaine + pignon + +glissière n°2 HS</t>
  </si>
  <si>
    <t>110hw, ertalon de la 6ème chaine HS</t>
  </si>
  <si>
    <t>Unité lattes, Bth102, Mise en place d'un blocage en cas de chute de pression</t>
  </si>
  <si>
    <t>Unité lattes</t>
  </si>
  <si>
    <t xml:space="preserve"> </t>
  </si>
  <si>
    <t>As1, palier HS sur le double éjecteur</t>
  </si>
  <si>
    <t>Déligneuse Linck</t>
  </si>
  <si>
    <t>5° vérin des rouleaux presseurs joint spi étanchéité à refaire</t>
  </si>
  <si>
    <t>Stockage choix 2 zone derrière les algécos, Plusieurs protections des pylônes d'éclairage sont à refixer</t>
  </si>
  <si>
    <t>Remettre peignes sur LV2</t>
  </si>
  <si>
    <t>Réception</t>
  </si>
  <si>
    <t>RQM1, Chaîne à tendre</t>
  </si>
  <si>
    <t>Annuler - On ne remet pas la barrière</t>
  </si>
  <si>
    <t>Tremie KR1 à ressouder</t>
  </si>
  <si>
    <t>Hall</t>
  </si>
  <si>
    <t>déligneuse linck, manque 1 protection sur le codeur de rotation de qm16 ( coté SW )</t>
  </si>
  <si>
    <t>PAG U, Bt1, Roulement HS sur rouleaux en caoutchouc</t>
  </si>
  <si>
    <t>Finir fiche</t>
  </si>
  <si>
    <t>Weinig, Faire 2 déflecteurs sur le train de rouleau avant le poste de tronçonnage pour que les bottes suivent bien la ligne de cellule</t>
  </si>
  <si>
    <t>PC Microtec Me6, 2ème fois obliger de débrancher la prise pour pouvoir mettre en route</t>
  </si>
  <si>
    <t xml:space="preserve">Nuit </t>
  </si>
  <si>
    <t>Broyeur refente, Pigon à changer sur un des rouleaux du bas</t>
  </si>
  <si>
    <t>PAG U, Brucks, La rotation ne s'arrête pas</t>
  </si>
  <si>
    <t>Weinig, Extracteur à remettre en état</t>
  </si>
  <si>
    <t>Fuite hydraulique sur centrale KR2</t>
  </si>
  <si>
    <t>Transfert d'alimentation QM1, changer les chaines</t>
  </si>
  <si>
    <t>WEINIG, COSTA et STENNER, réglage de l'heure des Kinsley</t>
  </si>
  <si>
    <t>Brucks 90, Bande déchirée au niveau de la rustine</t>
  </si>
  <si>
    <t>Remy</t>
  </si>
  <si>
    <t>HW480, Jeu dans le clavetage du pignon d'entraînement</t>
  </si>
  <si>
    <t>Zd1, Petite règle du canter Zd1, 1 vis à extraire + regle à refixer</t>
  </si>
  <si>
    <t>elevateur 68.fouche décallé</t>
  </si>
  <si>
    <t>elevateur68.surchauffe anormale</t>
  </si>
  <si>
    <t>SW720, Le transfert s'arrête et il faut valider les portes de sécurités de Bth4 et 5 en haut</t>
  </si>
  <si>
    <t>Bac de traitement n°6, plateforme de la pompe de brassage à refaire</t>
  </si>
  <si>
    <t>WC springer (à coté du bureau de JLV et SY) Changer les robinets des toilettes</t>
  </si>
  <si>
    <t>Qm8, 2ème tôle de réception des bois à resouder</t>
  </si>
  <si>
    <t xml:space="preserve">bande 310, n'est pas intégrée dans l'automatisme pour l'arrêt </t>
  </si>
  <si>
    <t>Grappin grue 1,8m2, Vérin MASA HS</t>
  </si>
  <si>
    <t>Rqm17, Tendre + recaler un taquet</t>
  </si>
  <si>
    <t xml:space="preserve">remettre le coffret électrique du bac 3 en état </t>
  </si>
  <si>
    <t xml:space="preserve">Costa, train de rouleau 06, réglage de la détection </t>
  </si>
  <si>
    <t>HW empileuse buté mobile hs</t>
  </si>
  <si>
    <t>empileuse sw, réparation de la porte sectionnelle</t>
  </si>
  <si>
    <t xml:space="preserve">Portis </t>
  </si>
  <si>
    <t>Del. Linck, Bw4, Ring block du pignon d'entraînement à changer</t>
  </si>
  <si>
    <t>Alimentation Billon</t>
  </si>
  <si>
    <t>ZV3</t>
  </si>
  <si>
    <t>PAG U, Lame Kr2 à repastiller</t>
  </si>
  <si>
    <t>Se3, un taquet HS</t>
  </si>
  <si>
    <t xml:space="preserve">Stock arrosé, sécuriser les zones de pompage </t>
  </si>
  <si>
    <t xml:space="preserve">Costa, refaire la sécurité du dépileur de la costa coté stenner </t>
  </si>
  <si>
    <t>Stock billon, trou important dans le chemin principal</t>
  </si>
  <si>
    <t>Deck</t>
  </si>
  <si>
    <t>Kp1, refaire l'étanchétité</t>
  </si>
  <si>
    <t xml:space="preserve">résorber les fuites hydrauliques au niveau du verin de direction </t>
  </si>
  <si>
    <t>fenwick 68</t>
  </si>
  <si>
    <t xml:space="preserve">remplacer les bandages ou les pneumatiques usés ou détériorés </t>
  </si>
  <si>
    <t>baumann n°44</t>
  </si>
  <si>
    <t>Weinig, Support cellule HS aux rouleaux introducteurs hydrauliques</t>
  </si>
  <si>
    <t>SW1080, Support cassé de la 4ème chaîne entrée classeur (alignement)</t>
  </si>
  <si>
    <t>730SW, Renforcer le support du moteur</t>
  </si>
  <si>
    <t>Weinig, Commander un support pour les 2 premiers rouleaux superieurs dans la Weinig</t>
  </si>
  <si>
    <t xml:space="preserve">Refente, scellement des regard </t>
  </si>
  <si>
    <t>Schilcher, Empileuse 6ème fourche, rouleau HS</t>
  </si>
  <si>
    <t>Schilcher, Bande butée avant donneur empileuse, Combler l'espace au niveau de la butée metal</t>
  </si>
  <si>
    <t>Cercleuse HW, Chaîne porte-cable à refixer</t>
  </si>
  <si>
    <t>Fraisage, tôle de balustrade devant la scie Ku13 à ressouder</t>
  </si>
  <si>
    <t>Qm8, chaîne à tendre</t>
  </si>
  <si>
    <t>canter</t>
  </si>
  <si>
    <t xml:space="preserve">Trieur HW, poste qualité 1, tendre les chaînes à galets </t>
  </si>
  <si>
    <t>remettre en état la poignée de la porte accés sortie empileuse</t>
  </si>
  <si>
    <t xml:space="preserve">Costa, remettre le transfert d'alimentation en état </t>
  </si>
  <si>
    <t xml:space="preserve">110HW, 2ème bras, glissière feraille arrachée </t>
  </si>
  <si>
    <t xml:space="preserve">cercleuses, remettre les crémaillères de positionnement des magasins à carrelet en état et revoir la fixation </t>
  </si>
  <si>
    <t>LOGISTIQUE fenwick n°59, pneumatique à voir</t>
  </si>
  <si>
    <t>Scierie démare (ligne de sciage) sans que la zone Brucks ne fonctionne</t>
  </si>
  <si>
    <t>Rqm10, Roulemen,t HS 3° chaine devant Sb4</t>
  </si>
  <si>
    <t>Del Linck, Zv10, disjoncteur du rouleau Zv10-sa1 sous calibrer à remplacer</t>
  </si>
  <si>
    <t>STW1, Tendre les chaînes du carrousel</t>
  </si>
  <si>
    <t xml:space="preserve">Trieur SW, porte à mettre au niveau de la terrasse </t>
  </si>
  <si>
    <t>Costa, Regler le frein moteur du train de rouleau 06</t>
  </si>
  <si>
    <t xml:space="preserve">recaler chaîne à barre du trieur (ejection du box 43 trop tard) equipe de nuit ou pause </t>
  </si>
  <si>
    <t>Remettre tole pliée sur Rqm3 + changer peigne</t>
  </si>
  <si>
    <t>Changer boulons de fixation motuer + réducteur Be1</t>
  </si>
  <si>
    <t>HW, Dépileur, Tôle sur les bras du dépileur à mettre - Annulé</t>
  </si>
  <si>
    <t>Annulé</t>
  </si>
  <si>
    <t>trieur</t>
  </si>
  <si>
    <t xml:space="preserve">PH K </t>
  </si>
  <si>
    <t>Faire une tole sur le bras de l'ascenseur coté grande tole qui guide les colis quand il monte pour éviter aque les lattes tombent sous l'ascenceur</t>
  </si>
  <si>
    <t>SW 730 : 2e pignon transfert coté BTH2 à changer</t>
  </si>
  <si>
    <t>Weinig, Mettre en place un bouton de reglage (sur le pupitre de commande du dépileur) de la tempo de la cellule du train de rouleau après le poste de tronçonnage</t>
  </si>
  <si>
    <t>Holtec, Le chariot peut se déplacer pendant la descente de la scie</t>
  </si>
  <si>
    <t>cercleuse: manque toujours les ailerettes de guidage des traverses(les 2 premier).Albert avait commandé les pièces car pas en stocks.</t>
  </si>
  <si>
    <t>Bac n°3, pas d'infos au kientzle</t>
  </si>
  <si>
    <t>Bacs, revoir les ficelles de déclenchement des bacs</t>
  </si>
  <si>
    <t>REMISE EN ETAT DE TOUS LES CABLES ELECTRIQUE + LES TUYAUX D AIRES SOUS LA CERCLEUSE</t>
  </si>
  <si>
    <t>remettre caillebotis en face de SB1 ( KL1 A )</t>
  </si>
  <si>
    <t>PAG U, Sortie Nicholson, Réparer le poteau bois HS</t>
  </si>
  <si>
    <t>remettre silent bloc sur FL1B (bras tapent le bâti)</t>
  </si>
  <si>
    <t>HW790, Scie mobile, support du capot à redresser</t>
  </si>
  <si>
    <t xml:space="preserve">Empileuse HW, 860HW, mettre une baguette 30mm pour rehausser </t>
  </si>
  <si>
    <t>Kl1a, Retour à changer</t>
  </si>
  <si>
    <t>Sr2, Remettre des courroies sur l'arbre</t>
  </si>
  <si>
    <t>TB</t>
  </si>
  <si>
    <t>Bruit anormal dans le volant du bas + vibration</t>
  </si>
  <si>
    <t>Somatec</t>
  </si>
  <si>
    <t>Remettre vis de fixation capot de protection</t>
  </si>
  <si>
    <t>cercleuse HW</t>
  </si>
  <si>
    <t xml:space="preserve">Schilcher, voir problème de marche arrière </t>
  </si>
  <si>
    <t>Empileuse HW : sous le plancher au niveau de la retenue de couche, près de la bande et du tuyau sprinkleur fuite hydraulique</t>
  </si>
  <si>
    <t>HOLTEC : redresser butée tordue</t>
  </si>
  <si>
    <t>Vérin presseur latéral voir pour le redresser</t>
  </si>
  <si>
    <t>souder les gonts de la trappe de la goulotte au niveau de la bande étage 0</t>
  </si>
  <si>
    <t>PAG U, Boxe 109, Poteau à remettre en état</t>
  </si>
  <si>
    <t xml:space="preserve">Weinig, changer les tôles des rabots gauche-supérieur, pour que la sciure puisse bien partir </t>
  </si>
  <si>
    <t xml:space="preserve">MASA </t>
  </si>
  <si>
    <t xml:space="preserve">KL5, remplacer les glissières fixe HS </t>
  </si>
  <si>
    <t xml:space="preserve">compresseur, problèmes au démarrage </t>
  </si>
  <si>
    <t>ESM</t>
  </si>
  <si>
    <t>BAC N°1, glissière pour chariots HS</t>
  </si>
  <si>
    <t xml:space="preserve">Empileuse SW, sortie directe, déplacer le boitier de commande du volet roulant pour la rendre accéssible </t>
  </si>
  <si>
    <t xml:space="preserve">Mât de 25ml, caméra à réparer </t>
  </si>
  <si>
    <t xml:space="preserve">SOVEC </t>
  </si>
  <si>
    <t xml:space="preserve">Donneur HW, tendeur 1er bras HS </t>
  </si>
  <si>
    <t>Qm32a, Raccourcir la chaine ou prolonger les tendeurs</t>
  </si>
  <si>
    <t>latteur 2 empileuse HW</t>
  </si>
  <si>
    <t>chaine à toit sous 720 après transfert 008 changer ertalon car les pièces (63/175) partent de travers</t>
  </si>
  <si>
    <t>Nicholson, Ertalons à changer de guidage du rotor HS, + rectifier les glissières</t>
  </si>
  <si>
    <t>SILO CONNEXES : butée camions HS</t>
  </si>
  <si>
    <t>As5, Palier de l'éjecteur double HS + tige de liaison tordue</t>
  </si>
  <si>
    <t>RQM1, Glissière de chaine à remettre en état</t>
  </si>
  <si>
    <t>RQM4, Glissière de chaine à remettre en état</t>
  </si>
  <si>
    <t>PAG, Ejecteur 15 Box 28</t>
  </si>
  <si>
    <t>Régler la hauteur du train de rouleaux devant Anhi (Ad1a et AD1b)</t>
  </si>
  <si>
    <t>Motoreducteur à changer - Amélioration</t>
  </si>
  <si>
    <t>weinig, butée sortie des tables à renforcer</t>
  </si>
  <si>
    <t>Costa, Rouleau presseur du transfert n°4, pas de vis HS sur les 2 cotés (soudé en provisoire)</t>
  </si>
  <si>
    <t>Costa, Roulement HS su le transfert n°6</t>
  </si>
  <si>
    <t>Bande</t>
  </si>
  <si>
    <t>Del. Söderhamn, Trémie de Ku12 à resouder</t>
  </si>
  <si>
    <t>Canter, Dv1 Sortie, Fuite au niveau du moteur gauche</t>
  </si>
  <si>
    <t>refixer prise 230v deck 2 collecteur SW opérateur 1 ( étudier un emplacement protégé )</t>
  </si>
  <si>
    <t>Profibus 10-11-12 (hyd 11-12-13) en défaut 4x dans les 10 derniers jours</t>
  </si>
  <si>
    <t xml:space="preserve">RQM 7 FORTE USURE SUR LES PIGNONS DE L AXE MOTRICE </t>
  </si>
  <si>
    <t>MODIFICATION DE L ECLAIRAGE EXTERIEUR POUR AVOIR L ECLAIRAGE INTERIEUR NIVEAU TAMIS</t>
  </si>
  <si>
    <t>Contrôler chaines d'entrainement des centreurs</t>
  </si>
  <si>
    <t>Contrôler le réducteur</t>
  </si>
  <si>
    <t xml:space="preserve">PL, sous plancher des chaînes à toit de Bth4, Bth5, électrovanne à remettre en état + protection car opérateur marche dessus </t>
  </si>
  <si>
    <t xml:space="preserve">Trieur HW, revoir le mesurage largueur </t>
  </si>
  <si>
    <t>Schilcher, signalisation bourrage aux boxes HS</t>
  </si>
  <si>
    <t>RQM4  premiere chaine guide  H,S a ressoudé</t>
  </si>
  <si>
    <t xml:space="preserve">Schilcher, empileuse, remplacement des pignons Hs du descenseur </t>
  </si>
  <si>
    <t>ZV1 axe 4, Pb de positionnement (changer le servo)</t>
  </si>
  <si>
    <t>HW115, Rempacer/refixer les ertalons des chaînes de manutention (sous 110HW)</t>
  </si>
  <si>
    <t>Ejecteur Bruks deuxième partie : un palier à remettre</t>
  </si>
  <si>
    <t>remettre guide à galet , tombée chaîne à toit ; arrivée de SW</t>
  </si>
  <si>
    <t>Empileuse, tendeur du 4eme brin de chaîne du déméleur 2 sortie+ tige filtée tordu</t>
  </si>
  <si>
    <t>Conditionnement / logistique, mise en place mirroir selon consignes PHK</t>
  </si>
  <si>
    <t>Opérateur</t>
  </si>
  <si>
    <t>söderhamns, contrôler l'étancheïté des presseurs 1 et 2</t>
  </si>
  <si>
    <t>Brucks 470, Boitier de validation du fil rouge de la bande coté droit HS</t>
  </si>
  <si>
    <t>Atelier engins canter, Modification de l'éclairage</t>
  </si>
  <si>
    <t>Bth2, Roulement arrière gauche HS</t>
  </si>
  <si>
    <t>Kl2, Glissière de retour à changer</t>
  </si>
  <si>
    <t>Aqh2, Réaligner les transferts Qm4 et AQh2</t>
  </si>
  <si>
    <t>Kr2, graissage chaîne rouleaux coniques HS</t>
  </si>
  <si>
    <t xml:space="preserve">bT3, la bande patine par temps de pluie </t>
  </si>
  <si>
    <t>Broyeur 530, Fixation du vérin au capot HS + fissure sur le capot</t>
  </si>
  <si>
    <t>Local 1 SW, Variateur pos 130 à remettre en état</t>
  </si>
  <si>
    <t>Poste 4 HW palier 4 superieur du donneur HS</t>
  </si>
  <si>
    <t>746HW, Bande d'alignement HS</t>
  </si>
  <si>
    <t>HW empileuse 870 latteur 6/4/2 plaque a ressouder</t>
  </si>
  <si>
    <t>Holtec, Refaire tous les caillebotis du plancher</t>
  </si>
  <si>
    <t>Expédition, Bac de traitement grande longueur, Glissière de protection à ressouder</t>
  </si>
  <si>
    <t>Ressouder ferplat de la grille sur Qm9 (sous Se2) Risque les bois coincent</t>
  </si>
  <si>
    <t>Costa, boîte électrique du dépileur cassée</t>
  </si>
  <si>
    <t>As1, 1 cellule shuntée sur barrière</t>
  </si>
  <si>
    <t>Mettre grille sur évacuation d'eau à coté Rqm1</t>
  </si>
  <si>
    <t>URGENT</t>
  </si>
  <si>
    <t>Stenner, Changer les 4  vis à pas carré + écrou servant à positionner les guides</t>
  </si>
  <si>
    <t>MKV, Manque 1 bouchon de serrage sur une electrovanne au niveau du rouleau interieur à droite + légère fuite</t>
  </si>
  <si>
    <t>S2 Fraise haute et droite, bruit de roulement</t>
  </si>
  <si>
    <t>Vibration importante au niveau du moteur reducteur ZV10</t>
  </si>
  <si>
    <t>empileuse: transfert 1210,chaîne à raccourcir puis retendre(cha^ne après trimmeur)</t>
  </si>
  <si>
    <t>Tole de la table extracteur HS à refaire une neuve "urgent"</t>
  </si>
  <si>
    <t>PAG LV1b disjonctions moteur  (frein?)</t>
  </si>
  <si>
    <t>PAG FL1b fuites sur tuyau rigide avant vérin</t>
  </si>
  <si>
    <t>elevateur 57 fourches à changer - fin de vie - urgent</t>
  </si>
  <si>
    <t>Changer silent bloc butée chariot ANH2</t>
  </si>
  <si>
    <t xml:space="preserve">Alimentation billons, Sb1, fixation du mur bêton à revoir </t>
  </si>
  <si>
    <t>Se3, Néon HS au dessus de Se3</t>
  </si>
  <si>
    <t>Vz4, Axe réducteur + fixation cardan à changer</t>
  </si>
  <si>
    <t>remettre soufflettes de nettoyage des cameras me7</t>
  </si>
  <si>
    <t>HW, retourneur du recyclage, Support cellule à l'arrière à ressouder et redresser</t>
  </si>
  <si>
    <t>Grue Fucks, capot moteur coté droit ne tient plus</t>
  </si>
  <si>
    <t>Engin</t>
  </si>
  <si>
    <t>SOMATEC</t>
  </si>
  <si>
    <t>4 vasques de luminaires sont cassées au dessus de la Weinig</t>
  </si>
  <si>
    <t xml:space="preserve">refente </t>
  </si>
  <si>
    <t>Kunert Q18</t>
  </si>
  <si>
    <t xml:space="preserve">Un presse étoupe est cassé sur le pupitre PUP6 au R,D,C </t>
  </si>
  <si>
    <t xml:space="preserve">REFENTE </t>
  </si>
  <si>
    <t xml:space="preserve">LA VASQUE DU LUMINAIRE EST MANQUANTE DANS LE LOCAL DU COMPRESSEUR </t>
  </si>
  <si>
    <t>bac n°1 ( grand ), fuite à la base</t>
  </si>
  <si>
    <t xml:space="preserve">Kf7, changer la chaîne </t>
  </si>
  <si>
    <t>OK 12/07/2011</t>
  </si>
  <si>
    <t>Stenner, Remise en état des rouleaux</t>
  </si>
  <si>
    <t>Weinig, Rlx de mise en bottes à changer jusqu'à la cercleuse</t>
  </si>
  <si>
    <t>Costa, Chaine porte-cable, Changer les câbles HS + pneumatique</t>
  </si>
  <si>
    <t>Alimentation billon, Kl2, Jonction glissière fortement usées</t>
  </si>
  <si>
    <t>Alimentation billon, Kl1a, Retour HS</t>
  </si>
  <si>
    <t xml:space="preserve">ZD1, revoir le cheminement du câble codeur </t>
  </si>
  <si>
    <t>HW 4130 pignon HS</t>
  </si>
  <si>
    <t>Roulement H-S sur le transfert n°11 le premier bras coté costa vers le dépileur, arret technique</t>
  </si>
  <si>
    <t>Contrôle du moteur du bas, il varie en intensité</t>
  </si>
  <si>
    <t>WEINIG ROULEMENT HS SUR LES 2 PREMIER ROULEAUX DE LA TABLE</t>
  </si>
  <si>
    <t>déméleur 140 HW (1er poste), changer ertalon sous chaînes URGENT</t>
  </si>
  <si>
    <t>chaîne trieur 1080(passant au-dessus des boxs),3ème et 4 ème sont très détendu,font énormément de bruit.Risque de sauté 1 pas</t>
  </si>
  <si>
    <t>soucis technique avec les rouleaux sorti de cerclage. Avec les carrelets en bout, colis bloque entre les deux rouleaux</t>
  </si>
  <si>
    <t>redresser les latteurs car les lattes ne sont pas alignés au colis</t>
  </si>
  <si>
    <t>remettre en état tous les codeurs des latteurs(7 m souvent en défaut</t>
  </si>
  <si>
    <t>baumann 44 jeu dans le mat - sortie de mat brulale - mat frotte contre le chassie - butée de mat en haut manque caoutchouc</t>
  </si>
  <si>
    <t xml:space="preserve">Weinig, remplacer les glissières de chaîne après la machine </t>
  </si>
  <si>
    <t xml:space="preserve">Bande 140 à remplacer </t>
  </si>
  <si>
    <t>net-co</t>
  </si>
  <si>
    <t xml:space="preserve">Costa, table sortie machine à refaire </t>
  </si>
  <si>
    <t>Stenner Aspiration : voire pour l'étanchéiter de l'entonnoire de scieur                  Nicolas : il faut améliorerela fixation et refaire la porte</t>
  </si>
  <si>
    <t>Brucks 470, Tôlage à reprendre à la chute 460 sur 470</t>
  </si>
  <si>
    <t>HW collecteur</t>
  </si>
  <si>
    <t>Steph Eschbach</t>
  </si>
  <si>
    <t>Compresseur refente, mettre des panneaux cotés weinig pour éviter que les lattes qui vont au broyeur rentre dans la salle du compresseur et tombe derrière le tamis</t>
  </si>
  <si>
    <t>Batiment refente, remettre le bardage coté silo plaquette</t>
  </si>
  <si>
    <t>PAG, Box 11 à remettre en état</t>
  </si>
  <si>
    <t>PAGU, Taquets manquant sur Kf7</t>
  </si>
  <si>
    <t>PAGU, Réparer tôles percées sur kf3</t>
  </si>
  <si>
    <t>Weinig, Empileuse à lattes, 2 bras HS</t>
  </si>
  <si>
    <t xml:space="preserve">Vz2, Vz3 et Vz4, manque 2 protections de codeur linéaire </t>
  </si>
  <si>
    <t>Alimentation, Taquet Kl4 à remplacer</t>
  </si>
  <si>
    <t>Weinig, 2 rouleau dans la machine à changer</t>
  </si>
  <si>
    <t>1080SW, Boitier d'arrêt d'urgence cassé</t>
  </si>
  <si>
    <t>SW Classeur</t>
  </si>
  <si>
    <t>As5, Un graisseur impossible à graisser sur l'éjecteur du milieu</t>
  </si>
  <si>
    <t xml:space="preserve">Bruchs, roulement du 1er retourneur HS, manque 1 chaine, fixation Vblock </t>
  </si>
  <si>
    <t xml:space="preserve">Scie Kr2, remettre le bardage en état </t>
  </si>
  <si>
    <t>HW Cotrieur</t>
  </si>
  <si>
    <t>Empileuse ertalon scie fixe à changer</t>
  </si>
  <si>
    <t>Remettre en état tus les tendeurs des chaines du pont 3130</t>
  </si>
  <si>
    <t>delig, link</t>
  </si>
  <si>
    <t>Limiteur de charge shunté, à remettre en état</t>
  </si>
  <si>
    <t>Costa, Refaire les platines des pignons du transfert N°11 - (DOUBLE AVEC 2685)</t>
  </si>
  <si>
    <t>Costa, Platine du transfert 11 à refaire - (DOUBLE AVEC 2291)</t>
  </si>
  <si>
    <t>Refente, Holtec, Remise en état des roulements de la bielle</t>
  </si>
  <si>
    <t>Unité lattes, Remettre en état la trappe jonction OA-Del. Linck</t>
  </si>
  <si>
    <t>Alimenter le distributeur des cellules de la table à rouleaux avec de l'air</t>
  </si>
  <si>
    <t>JONCTION 290-320, ajouter un marche pieds pour monter dans le vibrant ( tuyau sprinkleur )</t>
  </si>
  <si>
    <t xml:space="preserve">Holtec, remettre les vibrants en état </t>
  </si>
  <si>
    <t xml:space="preserve">Rqm3, remettre le graissage en état </t>
  </si>
  <si>
    <t xml:space="preserve">As1, remettre l'axe éjecteur en état </t>
  </si>
  <si>
    <t>Strapack, Valider le fonctionnement de la vieille cercleuse</t>
  </si>
  <si>
    <t>Me2, en défaut le matin au démarrage</t>
  </si>
  <si>
    <t>Brucks 460, Tambour d'entrainement à remettre en état</t>
  </si>
  <si>
    <t>Costa, Refixer le moteur de la montée/descente du col de cygne</t>
  </si>
  <si>
    <t>Weinig, Valider le fonctionnement de la seconde cercleuse et la mettre en place</t>
  </si>
  <si>
    <t>OB + DD</t>
  </si>
  <si>
    <t>Evier bouché au local WC a coté du bureau contremaitre</t>
  </si>
  <si>
    <t>Fuite d'huile sur le vérin de la presse de la cercleuse HW</t>
  </si>
  <si>
    <t>Cercleuse HW</t>
  </si>
  <si>
    <t>Remise en place de butées cahoutchou sur les bras plaqueurs de l'empileuse HW</t>
  </si>
  <si>
    <t>Prévoir remplacement du tuyau hydraulique de la dernière butée ligne de bois ( butée rouge ) côté Urmatt sur l'empileuse HW</t>
  </si>
  <si>
    <t>Unité lattes, Bruit anormal sur le moteur Bt103-M003</t>
  </si>
  <si>
    <t xml:space="preserve">Weinig, changer la lumiere dans la machine </t>
  </si>
  <si>
    <t>Hall, revoir l'éclairage du hall</t>
  </si>
  <si>
    <t>scierie fait</t>
  </si>
  <si>
    <t>trieu à faire</t>
  </si>
  <si>
    <t>trieur fait</t>
  </si>
  <si>
    <t xml:space="preserve">MKV, bruit anormal sur axe de scie </t>
  </si>
  <si>
    <t>LINCK</t>
  </si>
  <si>
    <t>Del Linck, fuite d'air sur les vérins des retourneur BW3 &amp; BW4</t>
  </si>
  <si>
    <t xml:space="preserve">SCHILCHER </t>
  </si>
  <si>
    <t>Remplacer les interrupteurs Z040M1et  2050</t>
  </si>
  <si>
    <t xml:space="preserve">schilcher </t>
  </si>
  <si>
    <t xml:space="preserve">affutage </t>
  </si>
  <si>
    <t xml:space="preserve">Un presse étoupe et enlevé sur le coffret transformateur woodtronic  </t>
  </si>
  <si>
    <t xml:space="preserve">Un câble est endommagé dans le distributeur de gazole </t>
  </si>
  <si>
    <t xml:space="preserve">station carburant </t>
  </si>
  <si>
    <t>Dv3, reparer la porte de sécurité devant Ar3a</t>
  </si>
  <si>
    <t>Changer pignon usé sur Ar24</t>
  </si>
  <si>
    <t>SE2:chaine SE2 HS (maillon beaucoup de jeu),Prevoir remplacement</t>
  </si>
  <si>
    <t xml:space="preserve">prévoir un dispositif d'immobilisation de l'appareil HORS SERVICE </t>
  </si>
  <si>
    <t xml:space="preserve">remplacer l'affichage des consignes de sécurité qui sont illisible </t>
  </si>
  <si>
    <t xml:space="preserve">remettre la potence de niveau </t>
  </si>
  <si>
    <t xml:space="preserve">engin palan DEMAG </t>
  </si>
  <si>
    <t xml:space="preserve">placer un bac à chaîne, dévriller la chaîne </t>
  </si>
  <si>
    <t>HW, Vibreur scie 430, Tôle à ressouder</t>
  </si>
  <si>
    <t>Bt51, Modification du système d'entraînement de la petite chaîne triplex</t>
  </si>
  <si>
    <t>Remmtre bouton commande pont en état</t>
  </si>
  <si>
    <t>Tendre chaîne Be1A + réglage des cames</t>
  </si>
  <si>
    <t>Changer filtre Hydrau sous Anh2</t>
  </si>
  <si>
    <t>Remettre fixationdu cable puissance portique</t>
  </si>
  <si>
    <t>Evacuer dechets métalliques suite interventions RQM2 + Kf4</t>
  </si>
  <si>
    <t>Extérieur</t>
  </si>
  <si>
    <t>Changer jauge centrale RQM1</t>
  </si>
  <si>
    <t>Silents blocs sous BT1 HS : soudure + tôlage</t>
  </si>
  <si>
    <t>Manu + Christain</t>
  </si>
  <si>
    <t>Se2 glissière de la chaine à remettre en état</t>
  </si>
  <si>
    <t>Manu</t>
  </si>
  <si>
    <t>Changer maillons sous taquets chaînes RQM3</t>
  </si>
  <si>
    <t>Refaire joints sur ventouse + contrôle fuite d'huile sur le robot</t>
  </si>
  <si>
    <t xml:space="preserve">selon remarques apave, remettre l'éclairage au dessus de Zv10 en état </t>
  </si>
  <si>
    <t>Brucks 190, Chaîne moteur, Changer les pignons + chaîne</t>
  </si>
  <si>
    <t>ZD1, Töle coté gauche à changer dans le cône (actuellement soudure provisoire du 24/09)</t>
  </si>
  <si>
    <t>Retourneur 350 HW remettre le cable des contrepoint</t>
  </si>
  <si>
    <t>Del Soderham : séparateur derriere lame de tronçonnage tordu</t>
  </si>
  <si>
    <t>Porte qualité 3 scie ne s'arrête pas</t>
  </si>
  <si>
    <t>Redémarage ordi obligé reset</t>
  </si>
  <si>
    <t>Kl1b, Unité de freinage HS à remplacer</t>
  </si>
  <si>
    <t>Grande longueur, Soufflage de la cellule entre Bt6c et les rouleaux HS</t>
  </si>
  <si>
    <t>Annulé impossible - telephone numérique et non analogique</t>
  </si>
  <si>
    <t>Annulé - En cours dans les fiches d'amélioration</t>
  </si>
  <si>
    <t>WC à coté de l'affutage. Interrupteur HS (lumière)</t>
  </si>
  <si>
    <t>masa</t>
  </si>
  <si>
    <t>Dv1, 1 cellule du DV1 ne fonctionne plus</t>
  </si>
  <si>
    <t>Changer axes rouleaux fous et roulements</t>
  </si>
  <si>
    <t>Refaire revêtement antidérapant rouleau coin fendeur + fixation néon au dessus de ZV10</t>
  </si>
  <si>
    <t>Réaligner transfert OA/OB</t>
  </si>
  <si>
    <t>Weinig, Ar2, Rouleau en nid d'abeille à changer</t>
  </si>
  <si>
    <t>Ressouder peignes sur rouleau conique Kr2</t>
  </si>
  <si>
    <t>WC Trieur à coté du bureau de JLV et SY - Pb d'éclairage</t>
  </si>
  <si>
    <t>Ar1, Tendeur à remettre en état</t>
  </si>
  <si>
    <t>Weinig, fuite d'air au vérin presseur dans la machine ( entrée + sortie )</t>
  </si>
  <si>
    <t>Costa, Glissière du dépileur, voir pour coller les 2 boulons</t>
  </si>
  <si>
    <t>élévateur 34. frein décalé (freine plus à droite qu a gauche)</t>
  </si>
  <si>
    <t xml:space="preserve">Weinig, presseur latéral, voir pour changer les ressorts et les roulements </t>
  </si>
  <si>
    <t>EXPED, Fenwick N°34 phares avant ne fonctionne pas</t>
  </si>
  <si>
    <t>Ejecteur 15, Boxe 27-28, Ejecteur disjoncte</t>
  </si>
  <si>
    <t>Refente, silo sciure, Fermeture du silo à revoir</t>
  </si>
  <si>
    <t>Canter, S1, Cable codeur coté droit à refixer</t>
  </si>
  <si>
    <t>FUCHS : stabilisateur HS, Nicolas : organiser pour vendredi 22 octobre 2010</t>
  </si>
  <si>
    <t>FUCHS : plus de petite vitesse</t>
  </si>
  <si>
    <t>FRONTALE n°27 : révision à faire</t>
  </si>
  <si>
    <t>Reste à réaliser en cumul</t>
  </si>
  <si>
    <t>Journée</t>
  </si>
  <si>
    <t xml:space="preserve">SC </t>
  </si>
  <si>
    <t>Extraire les vis HS sur les fourches qui maintiennent les peignes et les remplacer</t>
  </si>
  <si>
    <t>Dans S2 sur le bati tole fissurée pliée à remplacer, frotte contre le rouleau</t>
  </si>
  <si>
    <t>Ressouder axe 3° partie Fl1</t>
  </si>
  <si>
    <t>Changer pignons + couronne + chaine entrainement Rqm1 + Rqm2</t>
  </si>
  <si>
    <t>Ejecteur box 43+50 à redresser</t>
  </si>
  <si>
    <t>Broyeur, prolonger la tôle en sortie du vibrant pour éviter les coincements dans la grille</t>
  </si>
  <si>
    <t>Schicher, Ejecteur du boxe 3 HS</t>
  </si>
  <si>
    <t>Kl5, Retour de chaine très usé</t>
  </si>
  <si>
    <t>Se1, Remplacer les picots sur les rouleaux presseurs</t>
  </si>
  <si>
    <t>Luc</t>
  </si>
  <si>
    <t>Changer rotules d'orientation des deux côtés</t>
  </si>
  <si>
    <t>Stenner, Roulement HS sur le volant du bas</t>
  </si>
  <si>
    <t>Del. Linck, Capot gauche de l'introducteur de KP1 à refixer</t>
  </si>
  <si>
    <t>Ad1, roulement HS</t>
  </si>
  <si>
    <t>réparation de l'embrayage du rouleau à l'entrée de la chaine de triage</t>
  </si>
  <si>
    <t>HW transfert 70 : chaine d'entrainement à tendre</t>
  </si>
  <si>
    <t>Weinig, Transfert après dépileur 003, Mise en place d'une résistance de freinage</t>
  </si>
  <si>
    <t>Alimentation billon, Porte RQM1 (S101), Jeu dans le vérou qui s'ouvre tout seul</t>
  </si>
  <si>
    <t>Chariot pour courson à remettre en état</t>
  </si>
  <si>
    <t>Courson</t>
  </si>
  <si>
    <t>HW 550, Barrière de protection sur plancher déssoudé sur support 1</t>
  </si>
  <si>
    <t>PAG U, Boxe 55, Manque 1 poteau</t>
  </si>
  <si>
    <t>PAG U, Boxe 55</t>
  </si>
  <si>
    <t>Del Linck, Finir la caméra montrant ZV10 (Chemin de câble, chaterton)</t>
  </si>
  <si>
    <t>Del Linck</t>
  </si>
  <si>
    <t>TM</t>
  </si>
  <si>
    <t>Weinig, Refixer les grilles de sécurité avec des boulons (pas de tirfon)</t>
  </si>
  <si>
    <t>Weinig, Refixer le volet rouge près des lames de scies</t>
  </si>
  <si>
    <t>WEINIG NETTOIYAGE DU SABO PRESSEUR AU DESSUS DES LAMES DE SCIE</t>
  </si>
  <si>
    <t>WEINIG CHANGER TOUTE LES CHAINE DE QM5</t>
  </si>
  <si>
    <t>Empileuse HW, Soudure sur palier de la 3ème fourche HS + boulon sectionné</t>
  </si>
  <si>
    <t>Bac de traitement, Plaques anti-éclaboussures à ressouder sur certains bacs
Bac de traitement, Ficelles de déclenchement de cycle à refixer</t>
  </si>
  <si>
    <t>Dispatcheur 200SW, Réaligner les bras superieurs</t>
  </si>
  <si>
    <t>Cercleuse HW, lame ne se retire pas assez vite ou tête se lève trop vite donc souvent des arrêts pour feuillard cassé.</t>
  </si>
  <si>
    <t>RQM2, Tôle sur RQM2 coté scierie à redresser + souder</t>
  </si>
  <si>
    <t>Costa, Mise en place d'une règle pour le lattage tous les 40 cm à l'empileuse</t>
  </si>
  <si>
    <t xml:space="preserve">Weinig, refaire la marche de l'escalier HS et le poteau de l'évacuation des colis HS </t>
  </si>
  <si>
    <t xml:space="preserve">AMK </t>
  </si>
  <si>
    <t xml:space="preserve">BT3, remplacer la bande </t>
  </si>
  <si>
    <t>Bt1, Tambour moteur à regarnir</t>
  </si>
  <si>
    <t>Weinig, Remettre la vitre sur le capot machine</t>
  </si>
  <si>
    <t xml:space="preserve">Sibois </t>
  </si>
  <si>
    <t xml:space="preserve">Weinig, vitre entrée machine HS </t>
  </si>
  <si>
    <t>Changer le siège, a faire on garde cet engin</t>
  </si>
  <si>
    <t>elevateur n°12</t>
  </si>
  <si>
    <t>FENWICK</t>
  </si>
  <si>
    <t>Refaire axes des pinces de sortie  KR2.</t>
  </si>
  <si>
    <t>Del. Linck, Qm17, le pignon fou de la 9ème chaîne est à changer</t>
  </si>
  <si>
    <t xml:space="preserve">trieur SW 3 eme roue arriere fait du bruit , feraille touche de temps en temps la roue </t>
  </si>
  <si>
    <t>Empileuse HW, Jeu dans le clavetage du chariot des fourches</t>
  </si>
  <si>
    <t>HW empileuse</t>
  </si>
  <si>
    <t>Brucks 310, Bande d'évacuation sous la scie 970 est ouverte sur 50%</t>
  </si>
  <si>
    <t>Costa, Roulement de l'arbre du haut HS</t>
  </si>
  <si>
    <t xml:space="preserve">poste 1 HW, mettre des courroies de remplacement sur l'axe des rouleaux hélicoïdaux </t>
  </si>
  <si>
    <t xml:space="preserve">110hw, barre déssoudée </t>
  </si>
  <si>
    <t xml:space="preserve">110hW, redresser bras rouge 3 + fixation </t>
  </si>
  <si>
    <t xml:space="preserve">caterpillar </t>
  </si>
  <si>
    <t xml:space="preserve">remettre en service l'essui glace avant </t>
  </si>
  <si>
    <t xml:space="preserve">afficher le tableau des charges de levage au poste de conduite </t>
  </si>
  <si>
    <t>sennebogen 735</t>
  </si>
  <si>
    <t xml:space="preserve">remettre en service le limiteur de course de translation </t>
  </si>
  <si>
    <t xml:space="preserve">pont roulant SADAMEC </t>
  </si>
  <si>
    <t>palier aqm1 HS sur la 10eme chaine</t>
  </si>
  <si>
    <t>Alimentation billon, Jonction de la bande mitraille HS</t>
  </si>
  <si>
    <t>PAGU, Be1, Manque 1 ertalon</t>
  </si>
  <si>
    <t>remplacer courroie 1 du retourneur(niveau scie 300) et voir 5 et 6</t>
  </si>
  <si>
    <t>HW Empileuse, La table intermédiaire n'est pas en position</t>
  </si>
  <si>
    <t>HW poste 130</t>
  </si>
  <si>
    <t>Alimentation billons, PORTIQUE, fuite sur vérin pince</t>
  </si>
  <si>
    <t xml:space="preserve">Trieur HW, transfert 250, recaller la 2ème chaîne </t>
  </si>
  <si>
    <t>Tubulator 90, Roulement HS sur un petit rouleau</t>
  </si>
  <si>
    <t>COLLECTEUR HW, vérou de porte sortie canter 110, 115, faux contact + réalignement</t>
  </si>
  <si>
    <t>Empileuse SW, rouleaux à regarnir sur 1190SW</t>
  </si>
  <si>
    <t>Refente, Fuite au niveau du ventilateur de reprise du grand cyclone</t>
  </si>
  <si>
    <t>Lasarus</t>
  </si>
  <si>
    <t>Kp1, Remettre en place la protection du rouleau d'entrée</t>
  </si>
  <si>
    <t>Vérifier moto réducteur avant gauche de l'avance cabine</t>
  </si>
  <si>
    <t>de jour (tunnel d'évacation sous la route)</t>
  </si>
  <si>
    <t>6eme roue en haut (entre poste 1 et poste 2), abîmé tout du long, limaille de fer et bord coupant au niveau des galets de guidage</t>
  </si>
  <si>
    <t>arbre du bas : changer la portée des roulements HS</t>
  </si>
  <si>
    <t>Weinig, 3 guide chaine en ertalon HS à la sortie Weinig, + tension des chaines à faire</t>
  </si>
  <si>
    <t>PAG U, Brucks, Défaut alarme rotation dans les gros bois</t>
  </si>
  <si>
    <t>alignement des colis empilés à la cercleuse  hw ne fonctionnent pas</t>
  </si>
  <si>
    <t>elevateur 11.perdu toute l' eau du radiateur peut etre percée</t>
  </si>
  <si>
    <t>ELEVATEU N°81 FUITE HYDROLIQUE SUR LE MAT</t>
  </si>
  <si>
    <t>Weinig, Empileuse à latte, voir pour commender un motoréducteur pour la montée/descente</t>
  </si>
  <si>
    <t>Marc tonin</t>
  </si>
  <si>
    <t>Francis rodrigues</t>
  </si>
  <si>
    <t>Equipe de nuit</t>
  </si>
  <si>
    <t>Masa</t>
  </si>
  <si>
    <t>Dominique D</t>
  </si>
  <si>
    <t>Dominique L</t>
  </si>
  <si>
    <t xml:space="preserve">  KL1a  fissure a ressouder dans le canal niveau de la liaison KL1 a et KL1 b</t>
  </si>
  <si>
    <t>remettre en place tôle de protection des moteurs RQM 2</t>
  </si>
  <si>
    <t>soudure deflecteur entre la bande 470 et la tombe dans le  vibreur 480</t>
  </si>
  <si>
    <t>modifier la table de vidange des caisses le vibreur 510  la touche a chaque mouvement</t>
  </si>
  <si>
    <t xml:space="preserve">weinig, moteur toupie gauche, remettre le ventilateur en état </t>
  </si>
  <si>
    <t>DC</t>
  </si>
  <si>
    <t xml:space="preserve">Boxe mitraille, remettre la butée en état </t>
  </si>
  <si>
    <t>RQM3, Soudure à faire dans la partie haute</t>
  </si>
  <si>
    <t>Demande 4 chariots pour les gabarits à lattes et carrelets avec 4 roue directionnel qui supporte 3 tonnes</t>
  </si>
  <si>
    <t>Nicolas</t>
  </si>
  <si>
    <t>empileuse, fourche se lèvent pas entièrement et partent ."Electrovanne ?".Urgent</t>
  </si>
  <si>
    <t>WC Trieur coté bureau trieur, Bouton variateur HS</t>
  </si>
  <si>
    <t>Me6, remplacer laser HS</t>
  </si>
  <si>
    <t>Trimmer SW, Frein à changer sur les lames</t>
  </si>
  <si>
    <t>SW empileuse</t>
  </si>
  <si>
    <t>Mk, tôle percée en dessous du peigne à remplacer</t>
  </si>
  <si>
    <t>fenetre coter voie rapide est tomber cadre h,s ( en face de la soderhamm)</t>
  </si>
  <si>
    <t xml:space="preserve">Kf4, taquets à remettre </t>
  </si>
  <si>
    <t>Quentin + Julien</t>
  </si>
  <si>
    <t>AUDIER</t>
  </si>
  <si>
    <t>8° vérin et 7° des scies du trimmer joint spi étanchéité de tige de vérin à refaire</t>
  </si>
  <si>
    <t>BATIMENT TRIEUR H W COTE STENNER , REMISE EN ETAT DU TUYAU  DE LA GOUTIERE EN FACE DE LA STENNER</t>
  </si>
  <si>
    <t>Turbine qui monte la sciure au silo HS à changer</t>
  </si>
  <si>
    <t>SYDE</t>
  </si>
  <si>
    <t>Turbine d'aspiration HS à changer</t>
  </si>
  <si>
    <t xml:space="preserve">Stenner, remplacer les rouleaux de l'introducteur de la machine </t>
  </si>
  <si>
    <t>Söderhamn, Remettre le bras du pupitre en état</t>
  </si>
  <si>
    <t>Weinig, Rouleau accompagnateur HS</t>
  </si>
  <si>
    <t>Weinig, Manque capot de protection au moteur, des rouleaux excentré AR3</t>
  </si>
  <si>
    <t>Sb7, Patte moteur à changer (fissures)</t>
  </si>
  <si>
    <t>WEINIG REDRESSE LA GRILLE DE SECURITE POUR POUVOIRE FERME LA BARRIERE SOUS LE DEPILEUR ? ATTENTION SECURITE CHINTE</t>
  </si>
  <si>
    <t>As1-Kl3, Fuite sur le distributeur de graissage centralisé de Kl3</t>
  </si>
  <si>
    <t>cercleuse:beaucoup d'arrêt a cause de cerclage à faire en manuel en fin de paquet. Voir paramètre</t>
  </si>
  <si>
    <t>cercleuse:Changer galet sur coulissage de la croix jaune</t>
  </si>
  <si>
    <t>740SW, Guide rail du démelleur de la 4ème chaine à refixer</t>
  </si>
  <si>
    <t>Transfert 115, 3° chaine ertalon H.S. + tendre + 4° chaine à tendre</t>
  </si>
  <si>
    <t>Faire campagne pour refixer et remettre en état tous les grillages de sécurité</t>
  </si>
  <si>
    <t>Canter+Trieur</t>
  </si>
  <si>
    <t>bacs de traitement: n° 7 entrée de câble sur groupe chaufant à revoir. N°8 2 presse étoupe mal fixés sur groupes chauffants. N°4 chauffage relais à refixer sur le coffret.</t>
  </si>
  <si>
    <t xml:space="preserve">FR </t>
  </si>
  <si>
    <t xml:space="preserve">Scierie, mettre 2 PANNEAUX D'AFFICHAGE EN PLUS </t>
  </si>
  <si>
    <t>Weinig, Grille de sécurité coté armoire électrique à refaire</t>
  </si>
  <si>
    <t>Alimentation billon, Glissière retour à remettre en état (cornière + ertalon)</t>
  </si>
  <si>
    <t>Canter, Sr2, Bande butée, La jonction se décolle</t>
  </si>
  <si>
    <t>Eboutage fraisage</t>
  </si>
  <si>
    <t>Costa, support cellule "monté-descente" du train de rouleaux 06 HS</t>
  </si>
  <si>
    <t xml:space="preserve">bureaux à faire </t>
  </si>
  <si>
    <t>bureaux fait</t>
  </si>
  <si>
    <t>engins à faire</t>
  </si>
  <si>
    <t>engins fait</t>
  </si>
  <si>
    <t>WEINIG, table empileuse, changer les glissières de la monté/descente</t>
  </si>
  <si>
    <t>Remise en état câcble cellule chaine à toit 737 SW</t>
  </si>
  <si>
    <t>Deck 2 scierie, faire protection cable le long du deck côté Strasbourg, URGENT</t>
  </si>
  <si>
    <t>Montants brucks fissurés</t>
  </si>
  <si>
    <t xml:space="preserve">Butée d'alignement colis à redresser URGENT </t>
  </si>
  <si>
    <t>HOLTEC</t>
  </si>
  <si>
    <t>PAG U, Boxe 48</t>
  </si>
  <si>
    <t>PAG U, Boxe 32</t>
  </si>
  <si>
    <t>Del. Linck, Bth3, Quand la bande se leve, le rouleau ne monte plus</t>
  </si>
  <si>
    <t>Mauvais contact phare ligne tri</t>
  </si>
  <si>
    <t>Stenner, Mise en place d'une prise 220V à coté du Kinsley</t>
  </si>
  <si>
    <t>Cédric + DD</t>
  </si>
  <si>
    <t>Rlx droits et gauches</t>
  </si>
  <si>
    <t>840 HW4 eme buté rouge a changé ou a regler</t>
  </si>
  <si>
    <t>trimmer sw :Chaines a taquet sur lames HS</t>
  </si>
  <si>
    <t>Trieur SW, SW1080 amortisseur 4 sur boxe 2 HS</t>
  </si>
  <si>
    <t xml:space="preserve">empileuse SW, 1190SW, avancer de 1 pas les 5 chaînes pour la synchronisation </t>
  </si>
  <si>
    <t>20SW &amp; 27SW, Glissière retour à changer</t>
  </si>
  <si>
    <t xml:space="preserve">déligneuse linck, manque 1 protection sur le codeur de rotation de qm15 </t>
  </si>
  <si>
    <t>Brucks 320, Passage sous collecteur, panneau sous la bande décroché</t>
  </si>
  <si>
    <t>Portique, Remplacer la chaussette</t>
  </si>
  <si>
    <t>Vuca-Concept</t>
  </si>
  <si>
    <t>Costa, Moteur de l'axe du bas (montée/descente) HS, à changer urgent car l'axe descend</t>
  </si>
  <si>
    <t>elevateur 68 fumee d echappement retour dans la cabine</t>
  </si>
  <si>
    <t>Fuite sur un tuyau de graissage (sortie affutage vers SW)</t>
  </si>
  <si>
    <t>Alimentation billons, tôle entre 1ere et 2ème chaîne Rqm2 HS</t>
  </si>
  <si>
    <t>2006SW, Neon HS au dessus de la bande de jonction</t>
  </si>
  <si>
    <t xml:space="preserve">Trieur SW, chaines accélératrice devant trieur à retendre </t>
  </si>
  <si>
    <t>Kl5, resouder la butée</t>
  </si>
  <si>
    <t>Weinig, remettre le moto-réducteur des langues en état pour stock</t>
  </si>
  <si>
    <t>Costa, Fuite sur le vérin du transfert n°10 coté Stenner</t>
  </si>
  <si>
    <t>PAG U, Reboucher les 2 saignées sous Bt3</t>
  </si>
  <si>
    <t>Chariot de positionnement, Jeu dans l'axe et le pivot du vérin</t>
  </si>
  <si>
    <t>PAG U, Détecteur de mitraille à controler</t>
  </si>
  <si>
    <t>Weinig, Barrière de sécurité du dépileur à refixer</t>
  </si>
  <si>
    <t>CD + CM</t>
  </si>
  <si>
    <t>Ar22, Rouleau à changer</t>
  </si>
  <si>
    <t>Alimenatation billon</t>
  </si>
  <si>
    <t xml:space="preserve">Nettoyer les plages de contactfixes et mobiles. Remettre en place les chambres de soufflage des tros pôles </t>
  </si>
  <si>
    <t>poste SEREM</t>
  </si>
  <si>
    <t>THERMO</t>
  </si>
  <si>
    <t>WEINIG</t>
  </si>
  <si>
    <t>révision à faire - toujours le problème de marche arrière</t>
  </si>
  <si>
    <t>N° 27</t>
  </si>
  <si>
    <t>Consommation d'eau élevée</t>
  </si>
  <si>
    <t>N° 34</t>
  </si>
  <si>
    <t>2 boutons magasin latteur (3 et 4) HS</t>
  </si>
  <si>
    <t>Empileuse HW</t>
  </si>
  <si>
    <t>bande 746 se décolle</t>
  </si>
  <si>
    <t>poignée de réglage du presseur de la toupie gauche HS dans la machine</t>
  </si>
  <si>
    <t>convoyeur de jonction 250 : toutes les chaines à tendre + recaler</t>
  </si>
  <si>
    <t>KL3</t>
  </si>
  <si>
    <t>Retendre la chaine</t>
  </si>
  <si>
    <t>PAG U, Bardage le long de Kl2 à réparer</t>
  </si>
  <si>
    <t>Schilcher, boxe 15, éjection trop HAUT</t>
  </si>
  <si>
    <t xml:space="preserve">Schilcher, boxe 44, butée à refaire </t>
  </si>
  <si>
    <t>Broyeur refente, Fuite à l'aspiration</t>
  </si>
  <si>
    <t>Bac n°1, Support des colis à modifier suivant prescription</t>
  </si>
  <si>
    <t>PAG U, Boxe 153, Poteaux HS</t>
  </si>
  <si>
    <t>Bande 330, La jonction se décolle, voir pour la recoller ou changer la bande</t>
  </si>
  <si>
    <t>Empileuse SW</t>
  </si>
  <si>
    <t>Vulca concept</t>
  </si>
  <si>
    <t xml:space="preserve">matérialiser les barrières de cellules </t>
  </si>
  <si>
    <t>heng</t>
  </si>
  <si>
    <t xml:space="preserve">Cabine canter, infiltration d'eau </t>
  </si>
  <si>
    <t>Briand</t>
  </si>
  <si>
    <t>Alimentation billon, Bt1, Bande mitraille à changer</t>
  </si>
  <si>
    <t>Schilcher, Chaine à toit 2010SW HS</t>
  </si>
  <si>
    <t>Kl2, Glissière HS à la jonction de la partie fixe et mobile</t>
  </si>
  <si>
    <t>Weinig, Changer les cames excentriquede la montée/descente du rouleau Ar8</t>
  </si>
  <si>
    <t>Broyeur refente, Mise en place d'un inter-vérrouillage sur la grosse porte du broyeur</t>
  </si>
  <si>
    <t>usure importante sur le pignon KL3 avant boxe mitraille</t>
  </si>
  <si>
    <t>motorola 98 haut parleur H,S</t>
  </si>
  <si>
    <t>EMPILEUSE SW graisseur centralise ( interieur ) H,S</t>
  </si>
  <si>
    <t xml:space="preserve">Kf4, glissière supérieure dans l'arrondi à remplacer </t>
  </si>
  <si>
    <t xml:space="preserve">s2, vanne principale nettoyage cellules à refaire </t>
  </si>
  <si>
    <t xml:space="preserve">Sb5, protection têtes sprinkleurs </t>
  </si>
  <si>
    <t>Canter, tendre chaine deck portique</t>
  </si>
  <si>
    <t>Soderhamn : remplacer la fixation du vérin du deuxième presseur (coté Urmatt)</t>
  </si>
  <si>
    <t>Weinig, Reparamétrer le mesurage des longueurs pour le programmation du cerclage</t>
  </si>
  <si>
    <t>OB</t>
  </si>
  <si>
    <t>Stenner, Porte de l'armoire de l'imprimante ne s'ouvre plus</t>
  </si>
  <si>
    <t>Canter, Qm8, Tole à ressouder à la chute de Qm8</t>
  </si>
  <si>
    <t>Remettre tôle délecteur sur BT8 + renforcer la fixation</t>
  </si>
  <si>
    <t>04/09/212</t>
  </si>
  <si>
    <t>"urgent" Plus d' éclairage aux boxs tout le long du trieur.</t>
  </si>
  <si>
    <t>scilcher</t>
  </si>
  <si>
    <t>redresser et réaligner les fourches de l' empileuse</t>
  </si>
  <si>
    <t>790 SW : retendre chaine d'entrainement</t>
  </si>
  <si>
    <t>Cercleuse HW, Chaîne moteur du 982 à raccourcir - URGENT</t>
  </si>
  <si>
    <t>Weinig, Vérin presseur HS, Mise en botte</t>
  </si>
  <si>
    <t>Weinig, finir de changer les rouleaux de la Weinig</t>
  </si>
  <si>
    <t xml:space="preserve">déligneuse linck, souflettes à remplacer </t>
  </si>
  <si>
    <t>Vibrant sous Holtec, Axe bielle + écrou à voir</t>
  </si>
  <si>
    <t>SKE fait</t>
  </si>
  <si>
    <t>Alimentation billon, RQM13, Tôle avant la tombée dans SB5 entre la 4ème et 5ème chaîne, plus de vis</t>
  </si>
  <si>
    <t>Bande mitraille, 1 trou au niveau de la jonction</t>
  </si>
  <si>
    <t>Empileuse HW, Refixer le caillbotis arraché</t>
  </si>
  <si>
    <t>Zv1, 2ème bras de centrage se bloque (servo à changer)</t>
  </si>
  <si>
    <t xml:space="preserve">PLACE de chargement, câbles dénudés au sol </t>
  </si>
  <si>
    <t>HW330, Bande à recaler</t>
  </si>
  <si>
    <t>Alimentation billons, revoir le déflecteur à l'entrée de MS1</t>
  </si>
  <si>
    <t>Train de rouleau 06 voire pour supprimer la tempo des capteurs monté descente</t>
  </si>
  <si>
    <t>Retendre chaine rouleaux d'amenage</t>
  </si>
  <si>
    <t>noel</t>
  </si>
  <si>
    <t>refente à faire</t>
  </si>
  <si>
    <t>refente fait</t>
  </si>
  <si>
    <t>PAG à faire</t>
  </si>
  <si>
    <t>PAG fait</t>
  </si>
  <si>
    <t>scierie à faire</t>
  </si>
  <si>
    <t>PAG U, Nicholson, Problème d'écorcage</t>
  </si>
  <si>
    <t>1 galet HS Sb1 coté Strasbourg</t>
  </si>
  <si>
    <t>BAC DE TRAITEMENT : réviser le chauffage des bacs et l'isolation de l'arrivée d'eau avant l'hiver</t>
  </si>
  <si>
    <t>Stenner, Train de rouleau de l'alimentation colis, refixer les pignons</t>
  </si>
  <si>
    <t>fuite sur électrovanne</t>
  </si>
  <si>
    <t>Soderhamm</t>
  </si>
  <si>
    <t>5e chaine, roulement et pignon HS</t>
  </si>
  <si>
    <t>QM17</t>
  </si>
  <si>
    <t>Tendre chaine rouleaux d'alignement</t>
  </si>
  <si>
    <t>ANH1</t>
  </si>
  <si>
    <t>Costa, Voir pour changer de type de "télérupteur" pour améliorer la durée de vie</t>
  </si>
  <si>
    <t>Schilcher, 1er virage, mettre les tendeurs manquant</t>
  </si>
  <si>
    <t>Alimentation billon, RQM5, Tôle cotée Schirmeck HS + RQM4</t>
  </si>
  <si>
    <t>Usure non suffisante + pb hydraulique et d'automatisme à regler avant</t>
  </si>
  <si>
    <t>Del. Söderhamn, Chaîne moteur du démêleur à tendre</t>
  </si>
  <si>
    <t>Bt2, 4ème rouleau coté voie rapide HS</t>
  </si>
  <si>
    <t>Zd2, Boucher les trous dans la trémie</t>
  </si>
  <si>
    <t>Alimentation billon, tuyau descente ep HS</t>
  </si>
  <si>
    <t>Cercleuse bouton du kienzle n°3 hs</t>
  </si>
  <si>
    <t>Remettre en état moteur de la bande 330 axe + réducteur</t>
  </si>
  <si>
    <t>Cédric</t>
  </si>
  <si>
    <t>1080SW, Refaire les contacteurs bourrage aux boxes</t>
  </si>
  <si>
    <t>Deck Portique, Passerelle HS</t>
  </si>
  <si>
    <t>aspiration refente : refaire les grande porte du silo scieur pour la xxxx iem x</t>
  </si>
  <si>
    <t>Bande Brucks 215, Jonction à refaire (déchirée trsv sur 15-20cm)</t>
  </si>
  <si>
    <t>Sw</t>
  </si>
  <si>
    <t>Stenner, Peindre une regle de mesure de mètre en mètre rouge et les intervalles de 50cm en blancs sur le sol là ou ù on empile les colis</t>
  </si>
  <si>
    <t>Bt6c, refaire la bande</t>
  </si>
  <si>
    <t>Rqm10</t>
  </si>
  <si>
    <t>Pallier n°3 roulement HS, à changer</t>
  </si>
  <si>
    <t>HW, Connexion moteur du boxe 8 à refaire + protéger les câbles à la sortie des passages de câble près des moteurs</t>
  </si>
  <si>
    <t>Weinig, rouleau accompagnateur HS</t>
  </si>
  <si>
    <t xml:space="preserve">sENNENBOGEN, n°39, SUPPORT GRAPPIN HS </t>
  </si>
  <si>
    <t xml:space="preserve">Rqm4, protection moteur ouest tombé </t>
  </si>
  <si>
    <t xml:space="preserve">HW poste 3, guidage des roues sur retourneur 3 à régler </t>
  </si>
  <si>
    <t>sb5 motoréducteur à contrôler</t>
  </si>
  <si>
    <t>PAG U, Tendre les chaînes du Brucks</t>
  </si>
  <si>
    <t>Raymond</t>
  </si>
  <si>
    <t>SW, poste 2, remplacer la planche de tri</t>
  </si>
  <si>
    <t>Suite à l'étiquette rouge N°5385 faire une nouvelle table d'éjection (Voir Michel Gagnière)</t>
  </si>
  <si>
    <t>fuite graissage centralisé sous KF5</t>
  </si>
  <si>
    <t>Graissage 1° chaine Rqm3 à remettre en état</t>
  </si>
  <si>
    <t>Alim</t>
  </si>
  <si>
    <t>Mauvais dégagement butée Anh2</t>
  </si>
  <si>
    <t>CANTER : relever les barrières de surhauteur entrée canter 2 et S2            attention au qualibrage</t>
  </si>
  <si>
    <t>Ok</t>
  </si>
  <si>
    <t xml:space="preserve">KL3, glissières fixe  à remplacer </t>
  </si>
  <si>
    <t>Alimentation billon, As5, Axe frotte sur le tôlage</t>
  </si>
  <si>
    <t>Holtec, Bras de butée des colis à refaire + alignement de tous les bras</t>
  </si>
  <si>
    <t>Weinig, Refermer le boitier + électrovanne de Bd1 avant l'hiver + isolation</t>
  </si>
  <si>
    <t>Wenig</t>
  </si>
  <si>
    <t>remettre en état les contre-poids des chaines du déméleur , n' arrête pas de sauter</t>
  </si>
  <si>
    <t>transfert 250, remplacer les ertalons en haut sauf la 1 et la 4eme chaine(déjà fait)</t>
  </si>
  <si>
    <t>Dernier latteur empileuse HW fonctionne pas bien</t>
  </si>
  <si>
    <t>Refaire pointe sur rouleaux supérieur</t>
  </si>
  <si>
    <t>Tendre chaine</t>
  </si>
  <si>
    <t>Caillebotis lames metalliques à ressouder</t>
  </si>
  <si>
    <t>Tendre chaine moteur côté gauche</t>
  </si>
  <si>
    <t xml:space="preserve">wEINIG, remplacer axes + douilles à billes mise en bottes </t>
  </si>
  <si>
    <t>1190 Sw, encodeur lageur des pièces , voir roulement</t>
  </si>
  <si>
    <t>Mettre des charnières sur les capots de chaine du transfert Rlx 05</t>
  </si>
  <si>
    <t>WEINIG TUBINE DE L APIRATION ROULEMENT HS COTE POULIE , GROSSE VIBRATION</t>
  </si>
  <si>
    <t>Kl5, entrée du retour à refaire</t>
  </si>
  <si>
    <t>AS2</t>
  </si>
  <si>
    <t>Changer ferplat d'usure</t>
  </si>
  <si>
    <t>KL5</t>
  </si>
  <si>
    <t xml:space="preserve">identifier les organes de service en fonction des mouvements commandés </t>
  </si>
  <si>
    <t>fenwick n°61</t>
  </si>
  <si>
    <t xml:space="preserve">remplacer les chaînes de levage qui présentent un allongement excessif </t>
  </si>
  <si>
    <t>febwick n° 57</t>
  </si>
  <si>
    <t xml:space="preserve">remplacer les bandages ou pneumatiques usés ou détériorés </t>
  </si>
  <si>
    <t>fenwick 57</t>
  </si>
  <si>
    <t>coulissement ouverture/fermeture HS</t>
  </si>
  <si>
    <t xml:space="preserve">BRUCKS, le bras presseur descend à l'arrêt </t>
  </si>
  <si>
    <t>M Orgel</t>
  </si>
  <si>
    <t xml:space="preserve">Alimentation billons, KA1, remettre les pignons de la chaîne d'entrainement en état </t>
  </si>
  <si>
    <t>Del. Söderhamn, Trémie sortie Vibrant 220, Tôle HS</t>
  </si>
  <si>
    <t>Priorité</t>
  </si>
  <si>
    <t>bureau, porte HS</t>
  </si>
  <si>
    <t>PAG U, Bt3, Manque 1 rouleau coté Kr2</t>
  </si>
  <si>
    <t>Kienzle empileuse SW, Pb d'alimentation électrique (faux contact)</t>
  </si>
  <si>
    <t>Alimentation billon, Supprimer la traverse pour la cellule entre Kl2 et Bt1</t>
  </si>
  <si>
    <t>Del. Söderhamn, Axe gauche "clac" anormal roulement à voir</t>
  </si>
  <si>
    <t>Zd2 coté droit, fuite sur vérin</t>
  </si>
  <si>
    <t xml:space="preserve">GS </t>
  </si>
  <si>
    <t xml:space="preserve">DS </t>
  </si>
  <si>
    <t>BOXE coursons HW, remettre la tôle HS</t>
  </si>
  <si>
    <t>Usure sur 1er et 4 eme rouleau avance + chaîne claque</t>
  </si>
  <si>
    <t>Premier bras Mz1 tordu</t>
  </si>
  <si>
    <t>Plancher sous lattes refaire + prolonger tole</t>
  </si>
  <si>
    <t>737 SW 1er pignon d'entrainement à changer + 5m de brun de chaine</t>
  </si>
  <si>
    <t>Algeco commercial, chauffage et éclairage à revoir</t>
  </si>
  <si>
    <t>ZV1-ZA3</t>
  </si>
  <si>
    <t>ZV1-ZA4</t>
  </si>
  <si>
    <t>Rouleaux sup canter</t>
  </si>
  <si>
    <t>Qm8, refaire le tôlage à la tombée du qm8 + souder tôle hs sur Qm8</t>
  </si>
  <si>
    <t>remettre en etat bavette sortie AV2</t>
  </si>
  <si>
    <t xml:space="preserve">Cercleuse HW, problème de positionnement des colis 6,50 et 7,00 ml </t>
  </si>
  <si>
    <t>HW 550 relever le reglage des graisseurs des glissieres</t>
  </si>
  <si>
    <t xml:space="preserve">fuite hydraulique sur le verin de la sennebogen signaler depuis janvier </t>
  </si>
  <si>
    <t>HOLTEC GRILLE DE SECURITE HS A REPARER URGENT D URGENT</t>
  </si>
  <si>
    <t>Dél Linck</t>
  </si>
  <si>
    <t>Poste 3 Arrêt hydraulique sans raison-AFF "rupture canalisation en baisse pression"</t>
  </si>
  <si>
    <t>Box 5 éjecteur fait du bruit</t>
  </si>
  <si>
    <t xml:space="preserve">TUBULATOR 70, trous dans la bande, à surveiller </t>
  </si>
  <si>
    <t>AS2 : palier 2e taquet fendu (HS)</t>
  </si>
  <si>
    <t>alimentation billon</t>
  </si>
  <si>
    <t>Del. Linck, Qm17, Jeu sur clavetage du pignon codeur</t>
  </si>
  <si>
    <t>Faire des nouveaux rouleaux presseurs avant et après la cercleuse un peut plus long (le rouleau doit faire la largeur de la botte)</t>
  </si>
  <si>
    <t>cercleuse Weinig</t>
  </si>
  <si>
    <t>néon HS au bureau méthodes</t>
  </si>
  <si>
    <t>bureau</t>
  </si>
  <si>
    <t>Weinig, Changer les axes des rouleaux excentriques + les paliers</t>
  </si>
  <si>
    <t>HALL TRAITEMENT : reviser lampes certaines ampoules sont à changer</t>
  </si>
  <si>
    <t>Pont de la grue Fuchs fissuré (coté beche)</t>
  </si>
  <si>
    <t>Grue Fuchs</t>
  </si>
  <si>
    <t>Epileuse HW : bras de couhe accrochent quand changement de longueur     700 -&gt; moins</t>
  </si>
  <si>
    <t>SW 1080 : amortisseur 4 sur boxe 2 HS</t>
  </si>
  <si>
    <t>Remonter la cellule de détection en sortie de Bt3</t>
  </si>
  <si>
    <t>Weinig, Train de rouleau après le poste de tronçonnage, came excentrique de la monté/descente HS (voir pour en refaire + changer les galets)</t>
  </si>
  <si>
    <t xml:space="preserve">kr, REMETTRE la boîte pour expédier les lames en état </t>
  </si>
  <si>
    <t>Weinig, Cardan du 2ème rouleaux à changer</t>
  </si>
  <si>
    <t>140 HW : frein moteur à remettre en état</t>
  </si>
  <si>
    <t>Trieur : 140 HW</t>
  </si>
  <si>
    <t>batterie elevateur 68 hs a changer d'urgence</t>
  </si>
  <si>
    <t>fuite importante sur radiateur - roulette ar à changer - porte cassée</t>
  </si>
  <si>
    <t>N° 45</t>
  </si>
  <si>
    <t>retendre toutes les chaines des scies mobiles + la fixe</t>
  </si>
  <si>
    <t>Empileuse SW 1200</t>
  </si>
  <si>
    <t>tôle dessoudée</t>
  </si>
  <si>
    <t>vibreur 280</t>
  </si>
  <si>
    <t>voir pour les baisses d'aire</t>
  </si>
  <si>
    <t>compresseur</t>
  </si>
  <si>
    <t>Weinig - toiture</t>
  </si>
  <si>
    <t>Eternit faîtière cassé coté Holtec + contrôle des fuites de toute la toiture</t>
  </si>
  <si>
    <t>Remplacer chaines d'entrainement</t>
  </si>
  <si>
    <t>SW 1200</t>
  </si>
  <si>
    <t xml:space="preserve"> bras ejecteurs brucks a remettre</t>
  </si>
  <si>
    <t>Portique, Contrôle des charbons de l'enrouleur du grappin</t>
  </si>
  <si>
    <t>Bt6b à tendre - Dv1 fuite sur rouleau hydraulique</t>
  </si>
  <si>
    <t>cercleuse SW</t>
  </si>
  <si>
    <t xml:space="preserve">assurer le fonctionnement de l'éclairage de la zone de travail </t>
  </si>
  <si>
    <t>baumann n°46</t>
  </si>
  <si>
    <t>baumann 46</t>
  </si>
  <si>
    <t>remplacer les chaînes de levage primaire</t>
  </si>
  <si>
    <t>REMISE EN ETAT DES ROULEAUX SORTIE COLIS APRES L EMPILAGE</t>
  </si>
  <si>
    <t>PAG Kf7 : mise en place bavettes sur tôlage sous Kr1</t>
  </si>
  <si>
    <t>Convoyeur 08 ressouder la tole au niveau des dernieres chaines</t>
  </si>
  <si>
    <t>Recharger butées du balancier des rouleaux d'entré</t>
  </si>
  <si>
    <t>Remettre picots sur rouleaux entrée et sortie écorceuse</t>
  </si>
  <si>
    <t>écorceuse</t>
  </si>
  <si>
    <t>Rouleau sortie BTH3 remettre les vis au niveau de la fixation elastique</t>
  </si>
  <si>
    <t>Convoyeur 08 derniere chaine pignon retour HS</t>
  </si>
  <si>
    <t>Refixer les tuyaux de springler au niveau de QM32A etQM32B</t>
  </si>
  <si>
    <t>Fixations rigides hydrauliques à remettre en état. Centrale de As1</t>
  </si>
  <si>
    <t>Taquets à remettre raclette Kf3 + Kf4</t>
  </si>
  <si>
    <t>Benjamin</t>
  </si>
  <si>
    <t>790HW, Chaîne à taquet retour, 1ère chaîne à changer</t>
  </si>
  <si>
    <t>En double avec 4014</t>
  </si>
  <si>
    <t>PAG U, Kr1, le portillon ne tient pas bien fermé</t>
  </si>
  <si>
    <t>Broyeur, Poignée de l'armoire électrique du broyeur HS</t>
  </si>
  <si>
    <t>passage Apave</t>
  </si>
  <si>
    <t>ouvrir le sur la sortie sup</t>
  </si>
  <si>
    <t>urgent</t>
  </si>
  <si>
    <t>de jour</t>
  </si>
  <si>
    <t>Remplacer ferplat de glissement</t>
  </si>
  <si>
    <t xml:space="preserve">Trieur Sw, empileuse, refroidissement du groupe hydraulique </t>
  </si>
  <si>
    <t>Gilles</t>
  </si>
  <si>
    <t>Stenner, Remise en état de l'armoire électrique (câblage)</t>
  </si>
  <si>
    <t>Stenner, Déplacement des barrières de cellule</t>
  </si>
  <si>
    <t>HW350, Trou dans le plancher</t>
  </si>
  <si>
    <t xml:space="preserve">Costa, LA ROULETTES des ml ne marche pas bien, à contrôler </t>
  </si>
  <si>
    <t>Empileuse HW axe buté 790 HS</t>
  </si>
  <si>
    <t>Söderhamn, 1 silentblock sur la 1ère tôle du transfert d'amenage HS</t>
  </si>
  <si>
    <t>Affutage, Changer les filtres de la ventilation du local affutage</t>
  </si>
  <si>
    <t>Ressouder le guide en ferraille sous la bande des lattes (en bout)</t>
  </si>
  <si>
    <t>HW dépileur</t>
  </si>
  <si>
    <t>Soudure charpente sous RQM3</t>
  </si>
  <si>
    <t>AMECA</t>
  </si>
  <si>
    <t>Redresser rail côté voie rapide au niveau du Brucks</t>
  </si>
  <si>
    <t>Del. Söderhamn, 2ème rlx presseur devant les scies HS</t>
  </si>
  <si>
    <t>l'éjection sur les pupitres ne marche pas tous le temps voir pourquoi</t>
  </si>
  <si>
    <t>stenner</t>
  </si>
  <si>
    <t>Dépileur voir pour que les lattes ne puisse plus Tomber en bas de l'ascenseur</t>
  </si>
  <si>
    <t>Sb2, Chaînes du contrepoids coté droit, tension non équilibrée</t>
  </si>
  <si>
    <t>Weinig, Remettre chaine du dernier presseur à la mise en botte</t>
  </si>
  <si>
    <t>Tendre chaine moteur Be1a</t>
  </si>
  <si>
    <t>4130 pignon 1 Hs</t>
  </si>
  <si>
    <t>Changer vérin bras Brucks</t>
  </si>
  <si>
    <t>WEINIG, Rabo du bas, moteur ne passe pas en étoile</t>
  </si>
  <si>
    <t xml:space="preserve">Alimentation billons, terminer les branchements des traceurs pour l'eau </t>
  </si>
  <si>
    <t>Stenner, Peindre une regle de mesure de mètre en mètre rouge et les intervalles de 50cm en blancs au dessu du dépileur</t>
  </si>
  <si>
    <t xml:space="preserve">Weinig, faire une butée sur le 1er transfert pour positionner les colis </t>
  </si>
  <si>
    <t xml:space="preserve">bande 230, remettre le câble d'alimentation en état </t>
  </si>
  <si>
    <t>Av1, tôle déflecteur de plaquettes après Av1, coté gauche HS</t>
  </si>
  <si>
    <t>HW290, Vérifier le guidage des roues</t>
  </si>
  <si>
    <t>GK</t>
  </si>
  <si>
    <t>Se2, Remettre en place la main courante au-dessus de Se2 + mettre marche intermédiaire</t>
  </si>
  <si>
    <t>Kp1 rlx extracteur, Accouplement des 2 rlx du bas à changer</t>
  </si>
  <si>
    <t>Améca</t>
  </si>
  <si>
    <t>Kp1, rlx extracteur, Fixation du rlx presseur avec le vérin soudée</t>
  </si>
  <si>
    <t>DS + SF</t>
  </si>
  <si>
    <t>Expedition, Protection poteau incendie sortie directe HW</t>
  </si>
  <si>
    <t>Weinig, Remettre en état le dernier rouleaux de la table dans la weinig</t>
  </si>
  <si>
    <t>Alimentation billon, Kl4, Manque 1 taquet</t>
  </si>
  <si>
    <t>Alimentation billon, Rqm4, Chaînes à tendre</t>
  </si>
  <si>
    <t>Weinig, Roulement du 3ème rouleau de la table HS</t>
  </si>
  <si>
    <t>Brucks 420, Jonction à recoller</t>
  </si>
  <si>
    <t xml:space="preserve">Trieur SW, poste 2, cellule d'arrêt entre 870 et 880 ne fonctionne pas correctement </t>
  </si>
  <si>
    <t>Trieur Schilcher, boxe 10, éjecteur tordu</t>
  </si>
  <si>
    <t>Weinig, Axe du rlx acompaganteur à changer</t>
  </si>
  <si>
    <t>Pause</t>
  </si>
  <si>
    <t>Eclairage</t>
  </si>
  <si>
    <t>Weinig, Bande du dépileur qui remonte les lattes, le cable moteur est dénudé</t>
  </si>
  <si>
    <t>jeu sur les rotules des vérins presseurs</t>
  </si>
  <si>
    <t>refermer un trou sur le bati AV1 ( entre ZD1 ET AV1 )</t>
  </si>
  <si>
    <t>refaire bavette sous la tete du canter 1 coter droite</t>
  </si>
  <si>
    <t>F1  coter voie rapide , sortie de fraisage mettre des bavettes                       entre F1 et AR8</t>
  </si>
  <si>
    <t xml:space="preserve">revoir l eclairage sur la ligne </t>
  </si>
  <si>
    <t>Weinig, Fixation du sico, presseur au dessu des lames à refixer correctement</t>
  </si>
  <si>
    <t>Del. Linck, Glissières des chaînes de RQM12 (démêleur) fortement usées</t>
  </si>
  <si>
    <t>Söderhamn, Axe d'entraînement du démêleur - jeu dans les pignons</t>
  </si>
  <si>
    <t>Faqthi</t>
  </si>
  <si>
    <t>devant sortie empileuse,zone pavéerefaire du béton car il y a un gros trou, risque d' accident.URGENT</t>
  </si>
  <si>
    <t>Rouleau presseur du haut avant le rabot du haut, axe hs + bague hs</t>
  </si>
  <si>
    <t>Weinig, Axe codeur du train de rouleau avant la cercleuse</t>
  </si>
  <si>
    <t>Stenner, Intervérouillage à mettre sur la porte coté éjection</t>
  </si>
  <si>
    <t>faire le plus important</t>
  </si>
  <si>
    <t>Changer accouplement et roulement des rouleaux inférieurs de sortie</t>
  </si>
  <si>
    <t>290 1 courroie retourneur à changer</t>
  </si>
  <si>
    <t>Porte automatique courson, Porte ne fonctionne pas bien (Urgent Bruit)</t>
  </si>
  <si>
    <t>Stenner, Faire un capot de protection sur la chaine moteur duplex des éjecteurs</t>
  </si>
  <si>
    <t xml:space="preserve">1200sw, raccourcir la chaine moteur </t>
  </si>
  <si>
    <t>Unitée lattes, Palier de la vis sans fin du positionnement de la butée de mise à longueur HS</t>
  </si>
  <si>
    <t>Entrée cône déligneuse Linck déflecteur tordu (entre vibreur 510 et le cône)</t>
  </si>
  <si>
    <t>Remettre en état table canter 1</t>
  </si>
  <si>
    <t>Weinig, Commander la nouvelle porte pour le rabot du haut (ou la redresser)</t>
  </si>
  <si>
    <t>Weinig, Vitre cassée sur le Kinsley</t>
  </si>
  <si>
    <t>HW330, Remettre en état l'amortisseur de la bande butée</t>
  </si>
  <si>
    <t>Brucks vibrant 520 : valider le fonctionnement du contrôleur de marche + signalisation</t>
  </si>
  <si>
    <t xml:space="preserve">Bandes 300 et 340, enlever les déflecteurs </t>
  </si>
  <si>
    <t>760HW, Remise en état du cablage de tous les détecteurs du séparateur de rang</t>
  </si>
  <si>
    <t>Sb5, 1 galet HS</t>
  </si>
  <si>
    <t>1 pignon fou chaine Ka1(Rc) à redresser</t>
  </si>
  <si>
    <t>Baflanc limiteur de hauteur près Bth2, plié à ressouder</t>
  </si>
  <si>
    <t>Phare éclairant le deck portique ne fonctionne pas</t>
  </si>
  <si>
    <t>Brucks 360, mettre un fer plat à la tombée de la 340</t>
  </si>
  <si>
    <t>HW 250, Chaînes à raccourcir</t>
  </si>
  <si>
    <t>Trieur SW, Pignon 1 sur 4130 à changer</t>
  </si>
  <si>
    <t>1ere marche de l'escalier exterieur pour l'accès au trieur - 1 vis à remettre</t>
  </si>
  <si>
    <t>Brucks 410, Tôlage HS à la chute</t>
  </si>
  <si>
    <t>Weinig, Frein moteur du rabot du haut à contrôler</t>
  </si>
  <si>
    <t xml:space="preserve">Trieur sw, remise à l'état standard de tous les détecteurs bourrage au boxe </t>
  </si>
  <si>
    <t>KR2, Refixer les capotages</t>
  </si>
  <si>
    <t>Compteur de vitesse ne marche pas sortie machine</t>
  </si>
  <si>
    <t>Diminuer graissage chaine avance</t>
  </si>
  <si>
    <t>trémie Kr1 à ressouder</t>
  </si>
  <si>
    <t>Soudure Bt2 à refaire</t>
  </si>
  <si>
    <t xml:space="preserve">830sw, remplacer la bande </t>
  </si>
  <si>
    <t>Alimentation billon, Jonction Kl2 à refaire</t>
  </si>
  <si>
    <t>PAG U, Centrale Hydraulique de la Nicholson, Accouplement à changer</t>
  </si>
  <si>
    <t>Kl2, Remettre en état la sur-hauteur de Kl2</t>
  </si>
  <si>
    <t>Refente : remettre en place les étiquettes sur les pupitres Costa/Stener/Weinig/Aspiration/broyeur</t>
  </si>
  <si>
    <t>Alimentation billon, RQM5, Tôle sur la paroi à refixer</t>
  </si>
  <si>
    <t>butée d' alignement des paquets empileuse, ne se règle plus seul obligé de régler en manuel ce qui peut expliquer la casse réghulières des verrins.</t>
  </si>
  <si>
    <t>montée rapide du dépileur recyclage  ne fonctionne plus, juste marche lente</t>
  </si>
  <si>
    <t>Alimentation Billon, Pb de connexion sur la caméra du deck 1</t>
  </si>
  <si>
    <t>HW scie 200</t>
  </si>
  <si>
    <t>HW 340 : faire un système ERTALON pour chaines au niveau retour poutre basse</t>
  </si>
  <si>
    <t>Zv10, Dernier vérin presseur à remettre en état</t>
  </si>
  <si>
    <t>Del. Söderhamn, 1er presseur descend tout seul</t>
  </si>
  <si>
    <t>Se2, Töle de réception coté gauche HS</t>
  </si>
  <si>
    <t>cercleuse. Poussoir de traverse tordu</t>
  </si>
  <si>
    <t xml:space="preserve">Bacs, fuite sur alimentation d'eau </t>
  </si>
  <si>
    <t xml:space="preserve">Déligneuse Linck, fissures dans le tôlage vers le vibrant </t>
  </si>
  <si>
    <t xml:space="preserve">Phare brucks n'éclaire plus </t>
  </si>
  <si>
    <t>Weinig, 3eme rouleaux de la table, roulement HS</t>
  </si>
  <si>
    <t>Weinig, Contrôle des roulements des petits rouleaux dans la weinig</t>
  </si>
  <si>
    <t>Brucks 300, Jonction à refaire (pont)</t>
  </si>
  <si>
    <t>Weinig, Galet des excentriques à changer sur le transfert après le poste de tronconnage</t>
  </si>
  <si>
    <t>Changer pignon récepteur 2ème partie RQM1</t>
  </si>
  <si>
    <t>Bac de traitement, Passerelle entre les bacs 5 &amp; 6 déteriorée - à refaire</t>
  </si>
  <si>
    <t>Weinig, Transfer rlx 02, rouleau cannélé bouge, changer le palier + axe du 2ème rouleaux avant la weinig</t>
  </si>
  <si>
    <t>déligneuse linck, manque 1 protection sur le codeur de rotation de qm14b B050 ( coté SW )</t>
  </si>
  <si>
    <t>Grande longueur, 1 er bras à roulettes tombée à ressouder</t>
  </si>
  <si>
    <t>Voie d'accès bureau expé, Ampoules à remplacer sur pylone d'éclairage</t>
  </si>
  <si>
    <t>HW empileuse, retendre les chaines du chariot</t>
  </si>
  <si>
    <t>Sb5,6,7, refixer les caillebotis</t>
  </si>
  <si>
    <t>Passerelle Schilcher-Springer, remettre en état l'éclairage</t>
  </si>
  <si>
    <t>SW 1100 B1 : chaines transfert à retendre</t>
  </si>
  <si>
    <t xml:space="preserve">SW, boxe 38, remettre le boxe en fonction </t>
  </si>
  <si>
    <t xml:space="preserve">Aspiration, modifier la tempo de vibration des sacs </t>
  </si>
  <si>
    <t>Alimentation Tôle déssouder à la tombée de Rqm5</t>
  </si>
  <si>
    <t>BAC DE TRAITEMENT : toutes les pompes de brossage sont à reviser ou à remplacer</t>
  </si>
  <si>
    <t>fuite raccord 2eme moteur RQM3</t>
  </si>
  <si>
    <t>Fuites rigides hydrauliques centrale AS1</t>
  </si>
  <si>
    <t>Kl4, tole de chaque coté SB3-SB4 dessoudées</t>
  </si>
  <si>
    <t>Changer retour de chaine Kl1b</t>
  </si>
  <si>
    <t>Transfert 1000 Sw butée inférieur à ressouder</t>
  </si>
  <si>
    <t>Portique, Phare cassé de la cabine + problème de translation</t>
  </si>
  <si>
    <t>Clanche de la porte sécurité Hw poste 1 accès démeleur à changer (tordu)</t>
  </si>
  <si>
    <t>refaire tous les déflecteurs de sciure sur les toupies gauche et droite</t>
  </si>
  <si>
    <t>chaîne d' entraînement à taquet dans trimmer à changer</t>
  </si>
  <si>
    <t>Holtec, Mettre une ou deux lumières contre le bardage pour mieux voir les coupes</t>
  </si>
  <si>
    <t>alimentation billons, boxe mitraille, connexion cellule à revoir</t>
  </si>
  <si>
    <t xml:space="preserve">Refente, capoter là où il ya les courroies + les aligner correctement </t>
  </si>
  <si>
    <t>Broyeur refente, capoté là où il y a la grande chaîne coté silo plaquette</t>
  </si>
  <si>
    <t>Weinig, Blocage de l'écran de l'ordinateur - voir pour changer le PC</t>
  </si>
  <si>
    <t xml:space="preserve">Trieur SW, poste 1, tuyau de soufflage à réparer </t>
  </si>
  <si>
    <t>Soudure à faire sur 1er éjecteur? 2e bras</t>
  </si>
  <si>
    <t>KL6</t>
  </si>
  <si>
    <t xml:space="preserve">Changer rotules d'orientation des deux côtés </t>
  </si>
  <si>
    <t>ZV1-ZA1</t>
  </si>
  <si>
    <t>Refixer l'armoire du poste de commande</t>
  </si>
  <si>
    <t>Alimentation billons, régler le graissage centralisé</t>
  </si>
  <si>
    <t>Costa, Voir pour augmenter le débit d'air dans les vérins de la table de sortie</t>
  </si>
  <si>
    <t>Trieur SW, 1er et 2ème chaîne à toît 20, ertalon HS</t>
  </si>
  <si>
    <t>Schilcher, selon remarques apave, mettre le schéma électrique à jour dans le local</t>
  </si>
  <si>
    <t>Weinig, Déplacer le bouton de la cellule de l'introducteur hydraulique pour le bois sec (2m)</t>
  </si>
  <si>
    <t>1080SW, Palier HS sur l'axe de retour</t>
  </si>
  <si>
    <t>Date d'annulation</t>
  </si>
  <si>
    <t>En double</t>
  </si>
  <si>
    <t xml:space="preserve">WEINIG TRAIN DE ROULEAU ALIMENTATION MACHINE ROULEAU MOTEU + MOTEUR + PIGNION TENDEUR FAIRE L ALIGNEMENT </t>
  </si>
  <si>
    <t>Balz, Changer les joints des pales d'aspiration</t>
  </si>
  <si>
    <t>MK, Contre manchon du haut à nettoyer (bcp de mal à le rentrer)</t>
  </si>
  <si>
    <t>Semelle moteur KR1 fendue</t>
  </si>
  <si>
    <t>Automatisme KA1 ne fonctionne pas en mode recyclage</t>
  </si>
  <si>
    <t>Dv2, Tige du vérin de positionnement du rouleau de gauche soudée (à remttre en état)</t>
  </si>
  <si>
    <t xml:space="preserve">CERCLEUSE HW, faire une seconde alimentation pneumatique pour l'agrapheuse </t>
  </si>
  <si>
    <t>REMY</t>
  </si>
  <si>
    <t xml:space="preserve">bACS, remplacer les marches HS pour accès à la passerelle principale </t>
  </si>
  <si>
    <t>PAG U, Ka1, dernier pignon de renvoi (roulement HS)</t>
  </si>
  <si>
    <t>OZ</t>
  </si>
  <si>
    <t xml:space="preserve">costa, fin de course de réglage des arbres de scie à changer </t>
  </si>
  <si>
    <t>Fermeture pinces XR2 avant coupe trop lente</t>
  </si>
  <si>
    <t>Weinig, Palier ertalon à changer sur la table de l'extracteur</t>
  </si>
  <si>
    <t>Schilcher, Réparation PC bureau schilcher</t>
  </si>
  <si>
    <t>Trimmer SW, Problème de déplacement des lames 2 + 3</t>
  </si>
  <si>
    <t>Del. Linck, Anh1a &amp; Ahk1a, Fuite hydraulique</t>
  </si>
  <si>
    <t>Empileuse Retendre chaîne support des latteurs (à chaques extrémités)</t>
  </si>
  <si>
    <t>Un pied à refixer box 39</t>
  </si>
  <si>
    <t>Vérifier hydraulique des pinces de KR2 + ANH2</t>
  </si>
  <si>
    <t>train de rouleaux 1000 sw preparer 2 courroies de remplacement</t>
  </si>
  <si>
    <t>Canter, PC de Me1, Problème au démarrage, erreur 0311-AE Flexible disk drive</t>
  </si>
  <si>
    <t>Se1, Remplacement des bavettes à l'entrée du séparateur</t>
  </si>
  <si>
    <t>Sb2, Galets HS</t>
  </si>
  <si>
    <t>CD + Munich</t>
  </si>
  <si>
    <t>Trieur HW, changer et refixer le laser du poste 3 d'éboutage HW</t>
  </si>
  <si>
    <t>Se3, Bas-flancs à ressouder</t>
  </si>
  <si>
    <t>Weinig, Armoire électrique, changer les contacteurs des petites fourches (matche avant + arrière)</t>
  </si>
  <si>
    <t>Weing</t>
  </si>
  <si>
    <t>Weinig, Remettre interupteur sur la machine de la montée/descente du rabot du haut</t>
  </si>
  <si>
    <t>Trieur SW, poste qualité 1, changer les 2 dernières courroiesdu train de rouleaux ( + vérifier les autres )</t>
  </si>
  <si>
    <t>elevateur58. porte gauche ne ferme plus attaché avec feuillard</t>
  </si>
  <si>
    <t>Elevateur 58.les fourches bloquent par moment, obligés faire des manœuvre pour débloquer.</t>
  </si>
  <si>
    <t>Elevateur 57.lumière droite(avant) ne fonctionne pas</t>
  </si>
  <si>
    <t>Refente, Broyeur, Fuite à l'aspiration de la turbine</t>
  </si>
  <si>
    <t>HW 115  : glissière de retour des chaines entammée par les chaines - ERTALON sur glissières travers</t>
  </si>
  <si>
    <t>Alimentation billons : gouttière cassée à coté du carrousel</t>
  </si>
  <si>
    <t>Schilcher, donneur qualité, poutre fendue</t>
  </si>
  <si>
    <t>Support d'accumulteur AS5 cassé</t>
  </si>
  <si>
    <t>Jeu important dans le palier superieur AS5éjecteur court cote Schirmeck</t>
  </si>
  <si>
    <t>Weinig, empileuse, faire des bras pour que les bottes ne tombent plus en bas sous l'empileuse</t>
  </si>
  <si>
    <t>Ampoules à changer allées DE-IJ-MN-ST-TU-VW-WX + 4 phares dans l'allée centrales + regler le détecteur du phare rack grande longueur pour qu'il dure plus longtemps</t>
  </si>
  <si>
    <t xml:space="preserve">Ampoule à changer sur le batiment du trieur HW à du coté du rack métal </t>
  </si>
  <si>
    <t>Weinig, Remettre en état le reglage de monté/descente de la table d'entré</t>
  </si>
  <si>
    <t>Schilcher, Element hydraulique à changer au niveau de l'ascenseur de l'empileuse (laminage de l'huile hydraulique)</t>
  </si>
  <si>
    <t>SW 737 : pignon 2-3-4 à changer coté 4130</t>
  </si>
  <si>
    <t>Remettre tole contre projection à la sortie écorceuse</t>
  </si>
  <si>
    <t xml:space="preserve">Portique, REMETTRE les connexions de la caméra NE en état </t>
  </si>
  <si>
    <t xml:space="preserve">Détecteur de mitraille, modifier le support </t>
  </si>
  <si>
    <t>Brucks hacheuse 240, bruit anormal sur le moteur</t>
  </si>
  <si>
    <t xml:space="preserve">Alimentation billons, Sb2, mise en place d'axes de galets excentriques </t>
  </si>
  <si>
    <t>dépileur trieur HW et SW: remettre les butées de protections des chaines avant le dépileur</t>
  </si>
  <si>
    <t>hw+sw</t>
  </si>
  <si>
    <t>RQM1, 1 Töle à ressouder</t>
  </si>
  <si>
    <t>phare zone schilscher ne marche plus</t>
  </si>
  <si>
    <t>Zd1, Revoir l'étanchéité dans les petits bois, Tout sort du coté droit</t>
  </si>
  <si>
    <t>Jeu dans roulement des volets 4 et 6 (près de Zv10)</t>
  </si>
  <si>
    <t>SW Empileuse, Plancher à refaire</t>
  </si>
  <si>
    <t>expédition</t>
  </si>
  <si>
    <t>Empileuse HW, Positionnement pont n°3 dans les 7m</t>
  </si>
  <si>
    <t>SF + (Microtec)</t>
  </si>
  <si>
    <t>Empileuse SW, 3° chaine Demeleur tendeur HS.</t>
  </si>
  <si>
    <t>Trieur SW</t>
  </si>
  <si>
    <t xml:space="preserve">remplacer les bras de fourches dont le talon est usé </t>
  </si>
  <si>
    <t xml:space="preserve">mise en place d'un système de retenue du conducteur ,remettre en état le gyrophare </t>
  </si>
  <si>
    <t>fennwick n°34</t>
  </si>
  <si>
    <t xml:space="preserve">réparer le dispositif de sécurité de présence du conducteur </t>
  </si>
  <si>
    <t>fennwick n°12</t>
  </si>
  <si>
    <t xml:space="preserve">remplacer les bandages ou pneumatique usés </t>
  </si>
  <si>
    <t xml:space="preserve">remplacer la soudure faite au niveau de la direction par la goupille adéquate </t>
  </si>
  <si>
    <t xml:space="preserve">remplacer la vitre brisée </t>
  </si>
  <si>
    <t>Remettre en place deux fils dans la salle de réunion du premier étage</t>
  </si>
  <si>
    <t>boitier jaune pour marche BT51, BT52 et AR3 ne fonctionne pas bien</t>
  </si>
  <si>
    <t>Francis</t>
  </si>
  <si>
    <t>Sw1080, Chaîne centrale détendue par rapport aux autres</t>
  </si>
  <si>
    <t>cercleuses, modificationchauffage ( thermostat ) sur le groupe hydraulique</t>
  </si>
  <si>
    <t>KL4 Tendeur de chaine URGENT</t>
  </si>
  <si>
    <t>as2 rotule éjecteur long HS</t>
  </si>
  <si>
    <t>ALIMENTATION</t>
  </si>
  <si>
    <t>manque un ertalon sous taquet de KL5</t>
  </si>
  <si>
    <t>SCHILCHER Box 6 verin ejecteur hs</t>
  </si>
  <si>
    <t>Del. Söderhamn</t>
  </si>
  <si>
    <t>Weinig, Rouleau presseur après la cercleuse, ressouder la barre + redresser la fixation du rouleau</t>
  </si>
  <si>
    <t>Remettre une hélice à la soufflerie écorceuse</t>
  </si>
  <si>
    <t>Canter DV2, Problème bloquer</t>
  </si>
  <si>
    <t>Alimentation, Caméra 1 grand m^t ne peut plus tourner "bloquer"</t>
  </si>
  <si>
    <t>Portique, Remise en état des ballais de nettoyage des rails</t>
  </si>
  <si>
    <t>Jonction 250/260 1er ertalon HS</t>
  </si>
  <si>
    <t>Costa, Retendre les chaînes des transferts (entrée + sortie)</t>
  </si>
  <si>
    <t>Unité lattes, modification du guidage de l'alimentation des gabarits de lattes ( butée à l'entrée )</t>
  </si>
  <si>
    <t>Empileuse Remettre à niveau les latteurs trop incliné</t>
  </si>
  <si>
    <t>Costa, Voir pour commander un nouveau rotor pour l'arbre de scie</t>
  </si>
  <si>
    <t>PAG U, Kr2, Fuite hydraulique</t>
  </si>
  <si>
    <t>Annulé - Fiche à refaire si les fuites s'agravent</t>
  </si>
  <si>
    <t>elevateur68 , couvercle bani d' huile cassé , à remplacer</t>
  </si>
  <si>
    <t>INSLATION DU PRISE ELECTRIQUE DANS L ARMOIRE DE LA TRONCONNEUSE DE LA COSTA POUR LE CHARGEUR DE BATTERIE DE LA CERCLEUSE URGENT LE CHARGEUR ET SOUS LA PLIE</t>
  </si>
  <si>
    <t>PAG U, Kr2, Capot courroie à refixer coté lame</t>
  </si>
  <si>
    <t>Sovec</t>
  </si>
  <si>
    <t xml:space="preserve">BRUCKS, retourneur à refixer </t>
  </si>
  <si>
    <t>Cormnières chaînes RQM1 à refaire</t>
  </si>
  <si>
    <t>Vérifier "parallélisme" du portique (écart de 50 cm lorsqu'on met le portique en butée).</t>
  </si>
  <si>
    <t>Rattrapage erreur de calcul</t>
  </si>
  <si>
    <t>Tendre chaî,e moteur RQM3 (+voir si changement de pignon nécessaire)</t>
  </si>
  <si>
    <t>weinig changer les glisiere de chaine en ertalon de qm2</t>
  </si>
  <si>
    <t>wienig</t>
  </si>
  <si>
    <t>brucks</t>
  </si>
  <si>
    <t>hall</t>
  </si>
  <si>
    <t>Changer ertalons des rouleaux d'entrée</t>
  </si>
  <si>
    <t>Ecorceuse</t>
  </si>
  <si>
    <t>Changer peignes des rouleaux entrée et sorties</t>
  </si>
  <si>
    <t>PAG U, Remise en état des silentblocks, alignement du support de couteaux, remise en état des chaînes en "V"</t>
  </si>
  <si>
    <t>2005SW, Tôlage à reprendre au niveau du tambour arrière</t>
  </si>
  <si>
    <t>Zv4, Fuite au niveau d'un raccord</t>
  </si>
  <si>
    <t>Costa, Roulement HS sur l'arbre du bas</t>
  </si>
  <si>
    <t>empileuse HW, changer la chaine du cadre pose latteurs</t>
  </si>
  <si>
    <t xml:space="preserve">empileuse HW, manque arrêt 4ème fourche </t>
  </si>
  <si>
    <t>Alimentation billob, Kl2, Cellule Kl2-B001, 1 canal shunté</t>
  </si>
  <si>
    <t>roulement HS sur le premier rouleau de la table</t>
  </si>
  <si>
    <t>Canter (sous soderhamm) porte donnant sur le box mitraille arraché (gonds H.S)</t>
  </si>
  <si>
    <t>PAG U, Remise en état des sprinkleurs sortie Nicholson</t>
  </si>
  <si>
    <t>resserrer support de pignon tendeur arbre inférieur en sortie</t>
  </si>
  <si>
    <t>aligner et recalibrer tête 0 et 3 dans Me10</t>
  </si>
  <si>
    <t>DEL link</t>
  </si>
  <si>
    <t>Chariot ANH2 fissuré au niveau de la 6ème butée</t>
  </si>
  <si>
    <t>SW, Bande d'alignement des rouleaux 08SW déchirée</t>
  </si>
  <si>
    <t>Pc empileuse SW, chauffage de l'armoire HS</t>
  </si>
  <si>
    <t>SURPRESSEUR HS URGENT</t>
  </si>
  <si>
    <t>WEINIG CHANGER LES PALIER EN ERTALON DU DONNERE SUR LE TRANSFER QM2 : AXE DE GREMAILLERE</t>
  </si>
  <si>
    <t>HALL CONNEXES : remettre en état ou enlever toutes les cornières de coins de mur</t>
  </si>
  <si>
    <t>SILO SCIEUSE : porte piéton vrillée + fixation au sol (encrage HS) + banière de protection piéton, réellement HS</t>
  </si>
  <si>
    <t>1er palier LV1 coté écorceuse HS</t>
  </si>
  <si>
    <t>Weinig, contrôle de tous les rouleaux dans la weinig</t>
  </si>
  <si>
    <t xml:space="preserve">Eurovia </t>
  </si>
  <si>
    <t>Bt1 HS, à remplacer</t>
  </si>
  <si>
    <t>Weinig, modification de la roulette de mesurage des ml</t>
  </si>
  <si>
    <t>Cercleuse HW : sur dévidoir 1 redresser le rouleau guide feuillard du bas (axe tordu ?)</t>
  </si>
  <si>
    <t>Bande déchirée à la jonction</t>
  </si>
  <si>
    <t>Scie poste 2 : roulement axe moteur HS</t>
  </si>
  <si>
    <t>TRIEUR HW</t>
  </si>
  <si>
    <t xml:space="preserve">Trieur HW, passerelle latérale, néon 4 HS </t>
  </si>
  <si>
    <t>Recyclage Hw, Régler contrepoids 1° retourneur</t>
  </si>
  <si>
    <t xml:space="preserve">Alimentation billons, à la tombée de rqm6, 1ere tôle à redresser </t>
  </si>
  <si>
    <t>FRONTAL N°34 : feux AR recul, fourches usées et verouillage cassé, vidange dépassée +100h</t>
  </si>
  <si>
    <t>Transfert 240 dernière chaine à raccourcir</t>
  </si>
  <si>
    <t>Quentin et Julien</t>
  </si>
  <si>
    <t>REVOIR ECLAIRAGE DE LA LIGNE CANTER SURTOUT NIVEAU SE2</t>
  </si>
  <si>
    <t>Changement du tuyau de graissage centralisé qui est à coté du cardan EV2 (intérieur EV2)</t>
  </si>
  <si>
    <t>Canter EV2</t>
  </si>
  <si>
    <t xml:space="preserve">Kl3, trop forte intensité au niveau du moteur </t>
  </si>
  <si>
    <t>date</t>
  </si>
  <si>
    <t>parc à grumes</t>
  </si>
  <si>
    <t>Springer + DL</t>
  </si>
  <si>
    <t>Costa, Col de cygne, voir pour changer les glisseur d'usure</t>
  </si>
  <si>
    <t>Kf1, taquets cassés</t>
  </si>
  <si>
    <t xml:space="preserve">déligneuse Söderhamns, remplacer les ertalons HS sur les taquets du démêleur </t>
  </si>
  <si>
    <t>Centrale Kr2, Mano à remettre</t>
  </si>
  <si>
    <t>Nicholson, Potence à resserer et changer les vis</t>
  </si>
  <si>
    <t xml:space="preserve">RACLETTE KF3, refaire le tôlage </t>
  </si>
  <si>
    <t>HALL de sciage, trous dans la toiture</t>
  </si>
  <si>
    <t>Ms1, les grosses pattes sonnent</t>
  </si>
  <si>
    <t>Empileuse HW, Semelle des fourches à changer</t>
  </si>
  <si>
    <t>KL1a, 1 ertalon manquant</t>
  </si>
  <si>
    <t>Empileuse SW/HW, Fuite au niveau de la souflette dans l'enrouleur</t>
  </si>
  <si>
    <t>Remettre silent bloc des anti-retours RQM3</t>
  </si>
  <si>
    <t xml:space="preserve">Cercleuse HW, mise en place de grilles entre les brins de transfert après la cercleuse </t>
  </si>
  <si>
    <t>115HW, dernière chaine à fixer</t>
  </si>
  <si>
    <t xml:space="preserve">110HW, remplacer les ertalons </t>
  </si>
  <si>
    <t xml:space="preserve">remettre en place les goupilles d'arrêt des axes </t>
  </si>
  <si>
    <t xml:space="preserve">manitou mt 425 </t>
  </si>
  <si>
    <t xml:space="preserve">placer un dispositif antidérapant sur la pédale de frein </t>
  </si>
  <si>
    <t>Söderhamns, SOUFFLETTE au milieu des bras centreurs HS</t>
  </si>
  <si>
    <t xml:space="preserve">BANDE 310, jonction à refaire </t>
  </si>
  <si>
    <t xml:space="preserve">Brickmann </t>
  </si>
  <si>
    <t>Canter, Bt52 déchirée</t>
  </si>
  <si>
    <t>PAG U, Bt2, Manque 1 boulon à la jonction de la structure</t>
  </si>
  <si>
    <t>PAGU, Un tuyau sous la centrale hydraulique écorceuse à refixer</t>
  </si>
  <si>
    <t>DL + CD</t>
  </si>
  <si>
    <t xml:space="preserve">empileuse HW, mettre une raclette sur déplacement scie mobile </t>
  </si>
  <si>
    <t>Cave de la ligne, tuyau d'air en face des tubulators 160-170 plié</t>
  </si>
  <si>
    <t xml:space="preserve">poste 1 SW, mettre des courroies de remplacement sur l'axe des rouleaux hélicoïdaux </t>
  </si>
  <si>
    <t>Zv1, Vis de fixation des centreurs à changer</t>
  </si>
  <si>
    <t>MKV, 2 clanches de droite HS</t>
  </si>
  <si>
    <t xml:space="preserve">Localhydraulique Linck 1, modifier le cheminement du tuyau d'air </t>
  </si>
  <si>
    <t>PAG U - RQM 3, Tôle à resouder entre les 2 premières chaines + renfort</t>
  </si>
  <si>
    <t>Deligneuse Soderhamn</t>
  </si>
  <si>
    <t>Weinig, Faire le cablage de la cellule au propre de l'introducteur hydraulique</t>
  </si>
  <si>
    <t>Chaine de triage, remplacer le taquet HS</t>
  </si>
  <si>
    <t>Nicholson, remplacer les membranes pneumatiques HS</t>
  </si>
  <si>
    <t>bande 180 hw se decolle</t>
  </si>
  <si>
    <t>Dépileur SW</t>
  </si>
  <si>
    <t>740SW, 3 graisseurs HS</t>
  </si>
  <si>
    <t>boxe beton</t>
  </si>
  <si>
    <t xml:space="preserve">Réfectoire bureaux, éclairage accès à réparer </t>
  </si>
  <si>
    <t>Sb3, galet HS</t>
  </si>
  <si>
    <t>P,A,G</t>
  </si>
  <si>
    <t>Alimentation billon, Ar23, 2ème rouleau à remettre en état</t>
  </si>
  <si>
    <t>Kr2, chape avant du vérin à changer</t>
  </si>
  <si>
    <t>Remettre pièces d'usure sous taquets Rqm3</t>
  </si>
  <si>
    <t>Tendre chaine moteur BT2</t>
  </si>
  <si>
    <t>Charpente sous Rqm3 à ressouder</t>
  </si>
  <si>
    <t>Charpente sous FL1 à ressouder</t>
  </si>
  <si>
    <t>HW 280, Néon HS</t>
  </si>
  <si>
    <t>Ressouder tôle de protection entre rail et mur béton</t>
  </si>
  <si>
    <t>Kl2, Remise en état des taquets - ertalons et plat d'usure en hardox</t>
  </si>
  <si>
    <t xml:space="preserve">déligneuse Linck, remettre le branchement des ordinateurs  en état </t>
  </si>
  <si>
    <t>Schilcher, Courroie plate d'entrainement des rouleaux d'alignement à changer avant l'empileuse</t>
  </si>
  <si>
    <t>PAG U, Nicholson, Chaîne moteur d'avance à retendre</t>
  </si>
  <si>
    <t>115HW, Manque une tuile permiere chaîne</t>
  </si>
  <si>
    <t>Broyeur refente, turbine d'aspiration sciure du crible du tamis du broyeur HS</t>
  </si>
  <si>
    <t xml:space="preserve">S2, temps de freinage trop long </t>
  </si>
  <si>
    <t>Silo connexe, réglage du racleur de la bêche plaquettes</t>
  </si>
  <si>
    <t xml:space="preserve">Portique, mise en place de protection moteur </t>
  </si>
  <si>
    <t>remettre garde fou échelle KF6 en état</t>
  </si>
  <si>
    <t>TRAIN DE ROULEAU QUI MONTE LES PLANCHES DANS LA MACHINE PALIER HS AR7 MOBILE</t>
  </si>
  <si>
    <t>5° brs sur 3130, ertalon à chainger</t>
  </si>
  <si>
    <t>Alimentation billon, As3, Grand flipper, Axe frotte + pièce manquante</t>
  </si>
  <si>
    <t>Bois sous eau, Faire l'étalonnage des Phmetre U+H</t>
  </si>
  <si>
    <t>MZ 1, premier rouleau coté Me6, ne tourne pas rond</t>
  </si>
  <si>
    <t>bras rouge tombé 110 ; 6emle bras cassé</t>
  </si>
  <si>
    <t>Changer ferplat sortie retour KL3</t>
  </si>
  <si>
    <t>axe tombe régulièrement et frotte sur la tôle de KL</t>
  </si>
  <si>
    <t>2° chaine à taquet HS Trop usée Maillon a la limite de la rupture Tres URGENT</t>
  </si>
  <si>
    <t>Costa, Mesureur d'intensité des moteurs de lames ne fonctionne plus (lame du haut et du bas)</t>
  </si>
  <si>
    <t>Usure anormale sur chaîne KL2 (dans le retour)</t>
  </si>
  <si>
    <t>REFAIRE LES PLAQUE DES REGARD ENTRE LES SILO DE LA REFENTE ET LE TRIEUR SPRIGER / URGENT RISQUE D ACCIDENT</t>
  </si>
  <si>
    <t>Portique : caméra coté VR image instable</t>
  </si>
  <si>
    <t>Divers Hg fait</t>
  </si>
  <si>
    <t>Costa, voir pour prolonger le plancher entre la Costa et l'extracteur</t>
  </si>
  <si>
    <t>ELEVATEUR F-60 : vérouillage des fourches à revoir</t>
  </si>
  <si>
    <t>Fixation pied arrière droit BT8 cassée</t>
  </si>
  <si>
    <t xml:space="preserve">Costa, lumière alimentation HS </t>
  </si>
  <si>
    <t>Recherche fiche</t>
  </si>
  <si>
    <t>Canter, Av4, Pb moteur sur le rouleau de gauche</t>
  </si>
  <si>
    <t>Trémie Ku13, Trémie à resouder</t>
  </si>
  <si>
    <t>Poste Fraisage</t>
  </si>
  <si>
    <t>Bande Brucks 140, remise en état des rouleaux de retour</t>
  </si>
  <si>
    <t>LOGISTIQUE, baumann N°43 : boulon cassé support moteur cassé, fuite hydraulique à la transmission, ampoule phare AVG</t>
  </si>
  <si>
    <t>LOGISTIQUE, fenwick n°34 : vidange à faire</t>
  </si>
  <si>
    <t>empileuse Hw, modification latteurs</t>
  </si>
  <si>
    <t>DS</t>
  </si>
  <si>
    <t>Costa, Mise en place d'une prise 220V à coté du Kinsley</t>
  </si>
  <si>
    <t>bruit important pignon coté échelle</t>
  </si>
  <si>
    <t>PAG-portique</t>
  </si>
  <si>
    <t>Del. Linck, He1, collisions entre axe 3x par jour</t>
  </si>
  <si>
    <t>weinig, fuite sur le verin du couloir d'alimentation</t>
  </si>
  <si>
    <t>Déligneuse Söderhamn : axe démêleur haut clavette (jeu) - accouplement</t>
  </si>
  <si>
    <t>Schilcher, Voir problème automate trieur</t>
  </si>
  <si>
    <t>4110 SW 2 pignons a changer axe devant demeleur</t>
  </si>
  <si>
    <t>Weinig, Mettre en place un blocage pour le 2ème vérou de sécurité de la cercleuse</t>
  </si>
  <si>
    <t>déligneuse Linck, TENSION DES chaînes de Qm14,15 et 17</t>
  </si>
  <si>
    <t>Refixer 2° RC depuis écorceuse</t>
  </si>
  <si>
    <t>Remise en état joint spi du compresseur</t>
  </si>
  <si>
    <t>Compreseur accouplement moteur à changer</t>
  </si>
  <si>
    <t>déligneuse linck, sortie déligneuse, refaire le branchement du rouleau de sortie Bth3</t>
  </si>
  <si>
    <t xml:space="preserve">SF </t>
  </si>
  <si>
    <t>UNITE LATTES</t>
  </si>
  <si>
    <t>HW courson : mettre la porte en l'état, vérin porte HS</t>
  </si>
  <si>
    <t>Train de rouleaux d'éjection roulement H-S sur les 2 derniers rouleaux</t>
  </si>
  <si>
    <t>empileuse:quand on bloque les fourches, les séparateurs de couches ne fonctionnent plus et les couches se collent.beaucoup d' arrêt</t>
  </si>
  <si>
    <t>Zv1 presseur 1 jeu dans rouleau</t>
  </si>
  <si>
    <t>Zv1 presseur 2 jeu dans rouleau</t>
  </si>
  <si>
    <t>Zv1 Za2  jeu dans rouleau de droite</t>
  </si>
  <si>
    <t>Zv1 Za2 jeu dans le rouleau de gauche</t>
  </si>
  <si>
    <t>Zv1 Za1 gauche jeu dans les rotules de l'orientation</t>
  </si>
  <si>
    <t>Zv1 Za2 gauche jeu dans les rotules de l'orientation</t>
  </si>
  <si>
    <t>MKV petit rouleau après les lames, jeu dans palier droit</t>
  </si>
  <si>
    <t>MKV rouleaux verticaux entrée jeu dans les 2 rouleaux de gauche</t>
  </si>
  <si>
    <t>Empileuse HW refaire le déclancheur de latte</t>
  </si>
  <si>
    <t>Stenner, remplacer les deux taquets d'ejection HS</t>
  </si>
  <si>
    <t>Déligneuse linck, après Qm14, refaire le chemin de câble selon photo</t>
  </si>
  <si>
    <t xml:space="preserve">Les ailettes de soufflage sont cassees sur les 3 phases </t>
  </si>
  <si>
    <t xml:space="preserve">TGBT SEREM </t>
  </si>
  <si>
    <t>Bac grande longueur, Tige de vérin à changer + remise en état des roulettes de guidage</t>
  </si>
  <si>
    <t>Brucks 460, Tôlage fissuré des 2 cotés à la chute 390 vers 460</t>
  </si>
  <si>
    <t>Weinig, Ajouter une butée pour les 2m</t>
  </si>
  <si>
    <t>3e glissière petite chaine après Rqmè à remplacer HS</t>
  </si>
  <si>
    <t xml:space="preserve">retour kl4 cassé </t>
  </si>
  <si>
    <t>alimentation</t>
  </si>
  <si>
    <t>RQM6 REMETTRE LES JONCTIONS NIVEAU PASSAGE DE L AXE</t>
  </si>
  <si>
    <t>Bt1, manque tôle sur le canal</t>
  </si>
  <si>
    <t>Fuite d'eau devant le local électrique</t>
  </si>
  <si>
    <t>jerome</t>
  </si>
  <si>
    <t>Canter : jeu sur les rotules VZ1</t>
  </si>
  <si>
    <t>PAGU, Fuite hydraulique sous BRUCKS</t>
  </si>
  <si>
    <t>barrière de sécurité coté voie rapide HS à resouder</t>
  </si>
  <si>
    <t>costa</t>
  </si>
  <si>
    <t>fennwick n°58</t>
  </si>
  <si>
    <t>WEINIG REFAIRE LE MOTEUR TOUPIE GUAUCHE</t>
  </si>
  <si>
    <t>COMPRESSEUR REVISION COMPLET + CHANGER LALUMINE</t>
  </si>
  <si>
    <t>Salle de repos à coté du bureau de JLV &amp; SY, évacuation fontaine bouchée</t>
  </si>
  <si>
    <t>changer la poignée de la KH coter droite + contrôle étanchéité</t>
  </si>
  <si>
    <t>Refaire plaque en bois côté droit sur Me7</t>
  </si>
  <si>
    <t>Weinig, 2ème rouleaux de la table, Roulement HS</t>
  </si>
  <si>
    <t>Alimentation billons, As2, remettre l'éjecteur en état ( axe fond de vérin )</t>
  </si>
  <si>
    <t xml:space="preserve">DL </t>
  </si>
  <si>
    <t>Stenner, turbine d'aspiration HS</t>
  </si>
  <si>
    <t xml:space="preserve">Trieur HW, opérateur 2 Hw, remplacer le plancher bois par des caillebottis pour vision des bois de travers </t>
  </si>
  <si>
    <t xml:space="preserve">Connexes, aspiration Stenner, fuite au dessus de l'empilage </t>
  </si>
  <si>
    <t xml:space="preserve">Lazarus </t>
  </si>
  <si>
    <t>MKV, Peigne tordu (accumulation de sciure sur le rouleau)</t>
  </si>
  <si>
    <t xml:space="preserve">Cercleuse HW, rallonger le guide chaînes pignon récepteur </t>
  </si>
  <si>
    <t>Alimenation billon</t>
  </si>
  <si>
    <t>Töle à la tombée de Qm8, vis cassée à remettre</t>
  </si>
  <si>
    <t>Kl2, Retour HS</t>
  </si>
  <si>
    <t>2 roulettes de guidage à changer</t>
  </si>
  <si>
    <t>klaxon fonctionne mal</t>
  </si>
  <si>
    <t>N° 44</t>
  </si>
  <si>
    <t>roulette ARD cassée</t>
  </si>
  <si>
    <t>N° 46</t>
  </si>
  <si>
    <t>06SW, Ertalon de la 3ème et 4ème chaîne à remettre en état</t>
  </si>
  <si>
    <t>RQM 11 à 19 à tendre</t>
  </si>
  <si>
    <t>ZV1-ZA2</t>
  </si>
  <si>
    <t>Empileuse HW, Table intermédiaire, voir pour recharger là ou pose les galets</t>
  </si>
  <si>
    <t>WEINIG, Rouleaux à la cercleuse Strapack, en faire faire 2 en nid d'abeille + rouleau après la cercleuse rouleaux vulcanisés</t>
  </si>
  <si>
    <t>remettre en état les latteurs:blocage profondeurs, blocage latérale et poussoir(priorité le 3) à l' empileuse</t>
  </si>
  <si>
    <t>Del. Linck, Couvercle de l'axe du rouleau d'entrée de Kp1 à refixer</t>
  </si>
  <si>
    <t>Weinig, roulement H-S sur les rouleaux du bas de l'extracteur</t>
  </si>
  <si>
    <t>Canter, Qm8 renfort metallique à ressouder</t>
  </si>
  <si>
    <t>Söderhamn, Ajouter des joints d'étanchéité sur les capots des scies</t>
  </si>
  <si>
    <t>Weinig, Mettre en place un mirroir pour le dépileur (voir ludovic pour le positionnement)</t>
  </si>
  <si>
    <t>Thomas</t>
  </si>
  <si>
    <t>Vérifier distributeur de montée de fraise + filtrer le circuit hydraulique</t>
  </si>
  <si>
    <t>Tôles RQM2 + RQM3 (jonction) à ressouder</t>
  </si>
  <si>
    <t>PARC STOCKAGE SCIAGES : ampoule cassée sur un lampadaire (voir Denis pour le situer)</t>
  </si>
  <si>
    <t xml:space="preserve">Site, bâtiments, protéger les descentes d'EP avec des bois </t>
  </si>
  <si>
    <t xml:space="preserve">LOGISTIQUE, remise en état du boitier de connexion du compresseur des étiquettes + roue </t>
  </si>
  <si>
    <t>Costa &amp; weinig, Tuyau d'aspiration à commander en diamètre 140 et 250</t>
  </si>
  <si>
    <t>Fuchs, Collier à refixer sur le grand mat</t>
  </si>
  <si>
    <t xml:space="preserve">afficher la charge maximale admissible sur la potence </t>
  </si>
  <si>
    <t>engin palan DEMAG</t>
  </si>
  <si>
    <t>Schilcher, Rouleaux hérisson à commander (10 pièces)</t>
  </si>
  <si>
    <t>Broyeur 530, Capot impossible à lever lorsque du bois bloque</t>
  </si>
  <si>
    <t>SILO SCIEUSE : planche d'encadrement de l'ouverture du passage engin à consolider</t>
  </si>
  <si>
    <t>RECOMMANDER DES COURROIES SPA 1500</t>
  </si>
  <si>
    <t>TRIEUR</t>
  </si>
  <si>
    <t>NW</t>
  </si>
  <si>
    <t xml:space="preserve">Alimentation peigne ar24 déssouder </t>
  </si>
  <si>
    <t>ECLAIRAGE EN FACE RQM4 PHARE HS</t>
  </si>
  <si>
    <t>746 TRAIN DE ROULEAU COURROIE HS</t>
  </si>
  <si>
    <t>EMPILEUSE HW</t>
  </si>
  <si>
    <t>tôle de protection des tuyaux hydraulique sur le bras est plié</t>
  </si>
  <si>
    <t>bobcat</t>
  </si>
  <si>
    <t>Stenner, Changer les 4  vis à pas carré + écrou du guide de gauche</t>
  </si>
  <si>
    <t xml:space="preserve">Weinig, commander 2 manchons d'avance </t>
  </si>
  <si>
    <t xml:space="preserve">JS </t>
  </si>
  <si>
    <t>Butée du tendeur de chaine Zv10 côté gauche sens de marche tordu + soudure</t>
  </si>
  <si>
    <t>Ameca</t>
  </si>
  <si>
    <t>Soudure bas flancs Bt1 + Bt2</t>
  </si>
  <si>
    <t>Trimmer SW,Contrôler les roulements linéaires de déplacement des chariots des lames</t>
  </si>
  <si>
    <t>Lame</t>
  </si>
  <si>
    <t>Alimentation billon, Recaler RQM17 (mauvaise position de l'arrêt)</t>
  </si>
  <si>
    <t>Weinig, Rouleaux excentriques, roulement HS + palier</t>
  </si>
  <si>
    <t>Weinig, Presseur HS au conditionnement des bottes</t>
  </si>
  <si>
    <t xml:space="preserve">Weinig, système de graissage Hs, à refaire </t>
  </si>
  <si>
    <t>Fuchs 66, Fuite sur pompe hydraulique</t>
  </si>
  <si>
    <t>vérifier les roulements suite au problème de ce matin</t>
  </si>
  <si>
    <t>empileuse HW</t>
  </si>
  <si>
    <t>Kl4, Fer plat à souder coté gauche au niveau du passage de cellule</t>
  </si>
  <si>
    <t>Vibrant 280, Meuler la soudure à la jonction</t>
  </si>
  <si>
    <t>Zone billons, Protection pylone près de la route à remettre en état</t>
  </si>
  <si>
    <t>Holtec, Changer les cales de "nettoyage"</t>
  </si>
  <si>
    <t>MJ MECA</t>
  </si>
  <si>
    <t>NUT</t>
  </si>
  <si>
    <t xml:space="preserve">Weinig, couloir de mise en bottes, recouper le 3ème tube </t>
  </si>
  <si>
    <t>Supprimer fiche</t>
  </si>
  <si>
    <t>cercleuse.Paquets se déplace sur l' odi mais pas physiquement.</t>
  </si>
  <si>
    <t>KA1 FL1 : axe bougé + éjecteur tordu</t>
  </si>
  <si>
    <t>Canter, Porte cabine, Serrure HS</t>
  </si>
  <si>
    <t>PAG U, Porte latérale gauche de l'écorceuse à couper en deux (haut ouvrant et bas fixe)</t>
  </si>
  <si>
    <t>Tôle Kf3 percée sous écorceuse.</t>
  </si>
  <si>
    <t>As2, palier à changer</t>
  </si>
  <si>
    <t>ZV4-ZAX</t>
  </si>
  <si>
    <t>ZV4-ZA2</t>
  </si>
  <si>
    <t>Costa, Moteur du bas des scies, il disjoncte trop souvent</t>
  </si>
  <si>
    <t>Remplacer le boitier démeleur Z 07OMY</t>
  </si>
  <si>
    <t>Zv1, centreurs 3 et 4, jeu dans les rotules</t>
  </si>
  <si>
    <t xml:space="preserve">Costa, poste qualité, resserrer les vis du moteur et du réducteur </t>
  </si>
  <si>
    <t xml:space="preserve">MT </t>
  </si>
  <si>
    <t>Sanitaire trieur 2 empoules a changer</t>
  </si>
  <si>
    <t>trieur SW nombreux neons a changer</t>
  </si>
  <si>
    <t>PAG U, Bt2, Fixation du graissage HS</t>
  </si>
  <si>
    <t>Fl1, Jeu dans les axes, on cogne dans les V du bruks</t>
  </si>
  <si>
    <t>RACCOURSIRE LE TUYAU D AIRE SOUS LA CERCLEUSE QUI ALIMENTE LA PARTIE EMPILEUSE</t>
  </si>
  <si>
    <t>Portique, Changement des charbons de l'enrouleur</t>
  </si>
  <si>
    <t>hw</t>
  </si>
  <si>
    <t xml:space="preserve">Bth4-Bth5, ajouter de l'éclairage </t>
  </si>
  <si>
    <t>*Courroies de la scie KR1 HS</t>
  </si>
  <si>
    <t>Portique, Lors de petit deplacement le portique se met en défaut</t>
  </si>
  <si>
    <t>Alimentation billons, Sb3, Support IPN sous SB3, à la liaison, vis cassée</t>
  </si>
  <si>
    <t>Portique, la translation ne marche pas bien (bloquage) (même panne que dernière fois)</t>
  </si>
  <si>
    <t>Qm12</t>
  </si>
  <si>
    <t>Remettre taquets sur Qm12</t>
  </si>
  <si>
    <t>Stenner, Le reglage de vitesse ne marche pas</t>
  </si>
  <si>
    <t>SW730, 1er brin de chaîne HS + pignon</t>
  </si>
  <si>
    <t>Schilcher, fuite au niveau du toit à la verticale du plancher au niveau du boxe 7</t>
  </si>
  <si>
    <t>Schilcher, Moteur Hydraulique pour la chaîne avant donneur à vérifier</t>
  </si>
  <si>
    <t>PAG U, Cellule du bas HS à l'entrée de l'écorceuse</t>
  </si>
  <si>
    <t xml:space="preserve">Brucks, soudures à reprendre </t>
  </si>
  <si>
    <t>Broyeur Refente, Silentbloc à changer sur le vibrant avant le broyeur</t>
  </si>
  <si>
    <t>PAGU, Groupe Hydraulique RQM1, fuite sur tuyau</t>
  </si>
  <si>
    <t>HW250, Aligner les chaînes (taquets)</t>
  </si>
  <si>
    <t>Sener</t>
  </si>
  <si>
    <t>Bande brucks 320, trouée</t>
  </si>
  <si>
    <t>Boxe mitraille, Tôle du boxe mitraille HS</t>
  </si>
  <si>
    <t>sur transfert 115 refaire les lames qui font office de caillebotis accident!!!</t>
  </si>
  <si>
    <t>1045 SW bande butée d'alignement a changer</t>
  </si>
  <si>
    <t>Weinig, Transfert d'alimentation, Modifier les cellules pour minimiser les aléas</t>
  </si>
  <si>
    <t>empileuse SW : 1220 soucis avec axe intérieure glissière soucis roulement interieur</t>
  </si>
  <si>
    <t>Weinig, Faire réparer la 2ème cercleuse chez Strapack</t>
  </si>
  <si>
    <t>Strapack</t>
  </si>
  <si>
    <t>Accueil</t>
  </si>
  <si>
    <t>suivi réalisation</t>
  </si>
  <si>
    <t>Graph</t>
  </si>
  <si>
    <t>Del. Söderhamn, Rlx de centrage coté droit à changer</t>
  </si>
  <si>
    <t>Weinig, Recul du bois sur la butée après l'extracteur</t>
  </si>
  <si>
    <t>P.A.G, Fuites hydraulique sur centrale Kr2</t>
  </si>
  <si>
    <t>PAG, Refixer tuyaux rigides + isoler flexibles 2° moteur Rqm3</t>
  </si>
  <si>
    <t>PAGU, Vibration importantes du BRUCKS -&gt; Vérifier soudures</t>
  </si>
  <si>
    <t xml:space="preserve">KL4, remplacer les glissières fixe HS </t>
  </si>
  <si>
    <t>SW1080, 1er Détecteur de travers HS</t>
  </si>
  <si>
    <t>Empileuse Sw, Changer les coulisseaux en bronze des lames</t>
  </si>
  <si>
    <t>Silo, Mettre une lumière dans le virage prêt du silo sciure</t>
  </si>
  <si>
    <t>Stenner, Voir pour mieux guider les chaînes d'éjection</t>
  </si>
  <si>
    <t>Shilcher, démêleur 11 et 12 HS</t>
  </si>
  <si>
    <t>RQm11 à Rqm19, Chaînes à tendre</t>
  </si>
  <si>
    <t>Alimentation billon, As2, 1er bras, jeu dans la rotule</t>
  </si>
  <si>
    <t>NE PAS</t>
  </si>
  <si>
    <t>Del. Söderhamn, 1ère chaîne d'entrée devant les lames détendu (à raccourcir où à changer)</t>
  </si>
  <si>
    <t>Bt8, Tendre la bande du coté moteur (la bande patine le matin)</t>
  </si>
  <si>
    <t>Kp1, Rouleau d'appui avant les scies, roulement HS (6205 2RS1 Qté:2x)</t>
  </si>
  <si>
    <t>cercleuse HW, remplacer la bride moteur du pousse chevrons</t>
  </si>
  <si>
    <t>Bras de réglage hauteur de fraise tordu (voir DB)</t>
  </si>
  <si>
    <t>Ar22, 1 pignon d'entrainement d'un rouleau HS</t>
  </si>
  <si>
    <t>Sa1, Remettre en état le séparateur de planche</t>
  </si>
  <si>
    <t>PAG U, Brucks, Retendre les chaines du Brucks</t>
  </si>
  <si>
    <t>Linck</t>
  </si>
  <si>
    <t>sw remettre des courroies sur axe rouleau d'alignement avant trimmer</t>
  </si>
  <si>
    <t>Remplacer l'anti-retour de BT103 par un morceau qui touche la bande (voir mettre de l'ertalon)</t>
  </si>
  <si>
    <t>Stenner, Grande porte d'évacuation des colis - cellule du milieux cassé</t>
  </si>
  <si>
    <t>Alimentation billon, Phare sur le grand mat coté Urmatt HS</t>
  </si>
  <si>
    <t>Weinig, Vis de reglage HS sur l'introducteur hydraulique</t>
  </si>
  <si>
    <t xml:space="preserve">Kl6, Kl7, refaire le grillage </t>
  </si>
  <si>
    <t>Weinig, Fuite d'air sur le vérin du transfert 01</t>
  </si>
  <si>
    <t>weinig</t>
  </si>
  <si>
    <t>Alimentation billon, Ar21, Le motoréducteur ne fonctionne plus</t>
  </si>
  <si>
    <t>Canter, Av1, Jeu axial dans les rouleaux</t>
  </si>
  <si>
    <t>SB4, 1 galet à changer</t>
  </si>
  <si>
    <t>Schilcher, Boxe 14, Fuite hydraulique</t>
  </si>
  <si>
    <t>cercleuse HW, réparation de la porte sectionnelle</t>
  </si>
  <si>
    <t>remettre grille protection devant pignon moteur KA1</t>
  </si>
  <si>
    <t>enrouleur poste1 HW à changer,tuyau trop courts</t>
  </si>
  <si>
    <t>pont mobile,manque 1 caillebotis .à remttre car risque de chute</t>
  </si>
  <si>
    <t>RQM4, Tôle de protection d'une cellule pliée</t>
  </si>
  <si>
    <t>Rqm4, Tôlage des poteaux à renforcer</t>
  </si>
  <si>
    <t>Expedition</t>
  </si>
  <si>
    <t>Bureau</t>
  </si>
  <si>
    <t>Total</t>
  </si>
  <si>
    <t>Se2, Beaucoup de jeu dans les rotules</t>
  </si>
  <si>
    <t>André</t>
  </si>
  <si>
    <t>Remlettre en état la cellule de déplacement de la lame mobile  (tirer un cable)</t>
  </si>
  <si>
    <t>Changer les silentblocs de la butée du boxe mitraille</t>
  </si>
  <si>
    <t xml:space="preserve">File Nord, mise en place de chainettes pour interdire de passage </t>
  </si>
  <si>
    <t>JONCTION 360-280, tôlage HS</t>
  </si>
  <si>
    <t xml:space="preserve">BK </t>
  </si>
  <si>
    <t>HW, Mettre le grillage de protection du transfert 240HW en état</t>
  </si>
  <si>
    <t>Del. Söderhamn, Changer les joints des axes de scies</t>
  </si>
  <si>
    <t>Refente, revoir l'éclairage - Néon à changer</t>
  </si>
  <si>
    <t>PAG U, Boxe 24</t>
  </si>
  <si>
    <t>changer guide fixe + table mobile (partie amovible de frottement) dans ZD1</t>
  </si>
  <si>
    <t>Canter ZD1</t>
  </si>
  <si>
    <t>PAG U, Boxe 55 à régler</t>
  </si>
  <si>
    <t xml:space="preserve">PORTIQUE, fuite hydraulique sur la pince </t>
  </si>
  <si>
    <t xml:space="preserve">Bande 340, vérifier la solidité de la bande </t>
  </si>
  <si>
    <t>nettoyage des axes rouleaux d entrée mk bloque a 400 ouverture normal 410</t>
  </si>
  <si>
    <t>vérifier freins des chaînes des boxs, chaîne ne s' arrête pas de suite avec la 1, créant des espaces, ce qui gène le remplissage</t>
  </si>
  <si>
    <t>Rampe à refixer des lumière coté Holtec + controler tous les néons</t>
  </si>
  <si>
    <t>ANTI RETOUR HW 2 remettre en état</t>
  </si>
  <si>
    <t>Refaire alignement des lasers dans les mesureurs 6-7-8</t>
  </si>
  <si>
    <t>Elévateur 34. Changer le siège (HS)</t>
  </si>
  <si>
    <t>portique, câble anti-rotation des mofles HS</t>
  </si>
  <si>
    <t>En double avec 4106</t>
  </si>
  <si>
    <t>Portique, Lyre de l'enrouleur du cable d'alimentation, Roulements des rouleaux HS</t>
  </si>
  <si>
    <t>Empileuse HW, La scie mobile n'est plus parralele au bois</t>
  </si>
  <si>
    <t>WEINIG : REMISE EN ETAT DE TOUS LES PRESSEUR DU CONDITIONNEUR DES BOTTES VOIRE POUR LES BAGUE EN BRONZE</t>
  </si>
  <si>
    <t>COSTA VERIN PRESSEUR COURSE TROP COURTE A L EXETRACTEUR APRES LA MACHINE VOIRE POUR LE CHANGER</t>
  </si>
  <si>
    <t>Trieur SW, néon décroché au boxe 31</t>
  </si>
  <si>
    <t>Se1, Bavette à remettre en état (coté S1)</t>
  </si>
  <si>
    <t>COSTA RESOUDER 2 BRAS DE CHAINE SUR LE TRANSFER D ALIMENTATION 01, DES COLIS</t>
  </si>
  <si>
    <t>Changer tous les contre-couteaux</t>
  </si>
  <si>
    <t>ZD1-ZD2</t>
  </si>
  <si>
    <t>Refaire crome sur disque de canter</t>
  </si>
  <si>
    <t>ZD1</t>
  </si>
  <si>
    <t>Recharger le support de protection des fraises</t>
  </si>
  <si>
    <t>S1</t>
  </si>
  <si>
    <t>Sr2, Remplacer les courroies usagées sur les rouleaux de Sr2 - Mise en place de ring blocks</t>
  </si>
  <si>
    <t>Atelier</t>
  </si>
  <si>
    <t>Canter</t>
  </si>
  <si>
    <t>Weinig, Dernier rouleau de la table HS (roulement à changer)</t>
  </si>
  <si>
    <t>Weinig, Fixer et caler le support du rouleau extracteur sortie de machine Weinig (Support d'André)</t>
  </si>
  <si>
    <t>plancher coursons de nouveau HS</t>
  </si>
  <si>
    <t>HW570, Cable acier de sécurité de la rambarde HS</t>
  </si>
  <si>
    <t>PAG U, Kr2, capot superieur étanchéité à revoir</t>
  </si>
  <si>
    <t>Del. Söderhamn, Pignon d'entrainement du limiteur de planche a du jeu</t>
  </si>
  <si>
    <t>Changer les 2 chaines sur les 2 blocs des petits rouleaux d'entrainement</t>
  </si>
  <si>
    <t>OM</t>
  </si>
  <si>
    <t>REPARATION DE LA GOUTTIERE PVC NIVEAU CARROUSEL ET ME2</t>
  </si>
  <si>
    <t>Costa, Rlx presseur dans le cole de cygne de la Costa, Bague en bronze HS + reglage de la hauteur</t>
  </si>
  <si>
    <t>câble des fourches à l' empileuse(sert à valider) à changer</t>
  </si>
  <si>
    <t>Annulé - Modif impossible (vu avec Jean-Michel)</t>
  </si>
  <si>
    <t>Söderhamn, Roulement des chaîne d'amenage avant les scies HS</t>
  </si>
  <si>
    <t>Costa, Aspiration, fuite au dessus de la machine au coude</t>
  </si>
  <si>
    <t>QUI</t>
  </si>
  <si>
    <t>MKV, Bouton de monté/descente de l'axe du bas HS</t>
  </si>
  <si>
    <t>fuite sur verin latteral elevateur 58</t>
  </si>
  <si>
    <t>route d'accès</t>
  </si>
  <si>
    <t>REMISE EN ETAT DE LA CABINE + DES GARDE DE CORPS</t>
  </si>
  <si>
    <t>RESOUDER LA TOLE PRES DE LA BUTE D EJECTION</t>
  </si>
  <si>
    <t>MKV, Modifier la fixation de la plaque avant les rouleaux d'entrée (montage sur pivot + 2 vis) + refixer les électrovannes en dehors de la plaque</t>
  </si>
  <si>
    <t>Costa</t>
  </si>
  <si>
    <t>Holtec</t>
  </si>
  <si>
    <t>Söderhamn</t>
  </si>
  <si>
    <t>Kr2, flexible à changer et à déplacer ou protéger</t>
  </si>
  <si>
    <t xml:space="preserve">Bt3, déplacer codeur </t>
  </si>
  <si>
    <t>costa, introducteur des bois, vis de serrage HS</t>
  </si>
  <si>
    <t xml:space="preserve">BANDE 360, remettre le boitier du contrôleur de rotation en état </t>
  </si>
  <si>
    <t>Empileuse HW, 890HW, régler la position basse des latteurs dans la position standard ( -20mm de la position actuelle )</t>
  </si>
  <si>
    <t>Bande du dépileur HS</t>
  </si>
  <si>
    <t>dispatcheur en disfonctionnement dans les sections double</t>
  </si>
  <si>
    <t>mise en place d'un miroir à la déligneuse linck pour voir Bw3</t>
  </si>
  <si>
    <t xml:space="preserve">Costa, pousseur 08, changer cellule </t>
  </si>
  <si>
    <t>dépileur , toujours obliger de forcer dans les grosses sections , risque de blocage</t>
  </si>
  <si>
    <t>1er poste , bois courbe bloque systématiquement dans la lame</t>
  </si>
  <si>
    <t>Alimentation Billon, Kl4, Retour HS - URGENT</t>
  </si>
  <si>
    <t>gros trous sur la route menant aux expéditions</t>
  </si>
  <si>
    <t>PAG U, Remettre en état le détecteur de sortie de la nicholson (pb par temps froid)</t>
  </si>
  <si>
    <t>PAG, Rouleaux support bande Bt1 à remplacer</t>
  </si>
  <si>
    <t>PàGU</t>
  </si>
  <si>
    <t>PAG, courroie de la Kr1 HS</t>
  </si>
  <si>
    <t>PAG U, Bande mitraille, 1 couche se décolle</t>
  </si>
  <si>
    <t>Refente, broyeur, Lampe à changer + refixer</t>
  </si>
  <si>
    <t>Empileuse HW Bande 786 mecanisme à verifier</t>
  </si>
  <si>
    <t>Remettre l'éclairage en état - allée M, T, L et au desus du bac N°2 + mats d'éclairage</t>
  </si>
  <si>
    <t>Broyeur, Vis sans fin sous broyeur, Roulement très chaud risque d'incendie</t>
  </si>
  <si>
    <t>Collecteur SW</t>
  </si>
  <si>
    <t>Bac de traitement, Contrôle et remise en état des pompes de brassage + filtres</t>
  </si>
  <si>
    <t>retour le 30/06/2011</t>
  </si>
  <si>
    <t>Weinig, capot de protection du transfert d'alimentation, fixation à revoir</t>
  </si>
  <si>
    <t>Rqm6, Axe de retour de la 2ème chaîne à changer (1 palier HS + support à redresser)</t>
  </si>
  <si>
    <t xml:space="preserve">Bacs, ISOLATION DES POMPES DE BRASSAGE </t>
  </si>
  <si>
    <t>Nicholson, Boite à borne du moteur de l'écorceuse à changer</t>
  </si>
  <si>
    <t>RQM14 &amp; 17, Recaler les taquets comme RQM11</t>
  </si>
  <si>
    <t>ZD1, Remplacer le guide</t>
  </si>
  <si>
    <t>Alimentation billon, Sb3, Soudure à reprendre</t>
  </si>
  <si>
    <t>Weinig, Dépileur, Remettre en place les barrières de sécurité en bois</t>
  </si>
  <si>
    <t>Ludovic</t>
  </si>
  <si>
    <t>arret technique</t>
  </si>
  <si>
    <t xml:space="preserve">Trieur sw, plancher au dessus du poste qualité 1 SW à réparer </t>
  </si>
  <si>
    <t>réparer le bouton d'arrêt Me2-Me8 du pupitre cabine Canter</t>
  </si>
  <si>
    <t>Poste 4 HW, refaire tôle neuve dans cône sous scie poste 3 Hw</t>
  </si>
  <si>
    <t>Bureaux méthodes, faire campagne éclairage</t>
  </si>
  <si>
    <t>Alimentation billon, As1, Jeu dans la rotule</t>
  </si>
  <si>
    <t>1200SW, Recalibre le positionnement des lames, PB avec la 4ème</t>
  </si>
  <si>
    <t>Fenwick 79 bouton start ne fonctionne pas correctement</t>
  </si>
  <si>
    <t>Alimentation support du grillage en face de sb4 à coté de la porte à ressouder</t>
  </si>
  <si>
    <t>Söderhamn, Remplacer la chaîne picot d'entrée + prévoir le pignon</t>
  </si>
  <si>
    <t xml:space="preserve">Suivi des travaux : </t>
  </si>
  <si>
    <t>S2, Cellule dans S2 coté droit à nettoyer ou remplacer car obligé de fermer le bati en manuel</t>
  </si>
  <si>
    <t>Changer éjecteur plié boxe 49-50. Voir Dominique L</t>
  </si>
  <si>
    <t>Fixer tôle sur Bt8. Voir Dominique L</t>
  </si>
  <si>
    <t>Changer rouleaux à picot écorceuse    voir si rlx dispo sur Urmatt</t>
  </si>
  <si>
    <t xml:space="preserve">Trieur HW, retourneur près du dépileur, remettre la vis qui manque sur la 2ème roue </t>
  </si>
  <si>
    <t>Stenner, Changer les courroies de l'aspiration en haut</t>
  </si>
  <si>
    <t>Chariot N°46, le mât ne sort plus avec 2 colis 5ml et +</t>
  </si>
  <si>
    <t>Réparer les vannes d'air des enrouleurs de S2, Canter 2 et Canter 1</t>
  </si>
  <si>
    <t>Costa, Electrovanne à changer à l'empileuse Costa</t>
  </si>
  <si>
    <t xml:space="preserve">Söderhamns, faire plans pignons chaînes d'entrée + rouleau </t>
  </si>
  <si>
    <t xml:space="preserve">Costa, refaire chemin de câble entrée costa </t>
  </si>
  <si>
    <t>COSTA CHANGER LES ROULEAUX DE LA TABLE D ENTRENNEMENT</t>
  </si>
  <si>
    <t>Weinig, Refaire l'alignement du train de rouleau d'alimentation</t>
  </si>
  <si>
    <t xml:space="preserve">démêleur HW 140, pas de frein moteur </t>
  </si>
  <si>
    <t>PAGU, Réducteur de souches, bras à changer</t>
  </si>
  <si>
    <t>Alimentation billon, redresser le grillage + porte derrière Sb2</t>
  </si>
  <si>
    <t>Tendre la courroie de la pompe hydraulique</t>
  </si>
  <si>
    <t>Söderhamn, Jeu sur l'axe cannelé de la scie gauche</t>
  </si>
  <si>
    <t>Empileuse SW, Graphitage des fourches à refaire</t>
  </si>
  <si>
    <t>Weinig, Table de réception, Mettre une résistance chauffante - FAIRE UNE CAISSE EN 1ER</t>
  </si>
  <si>
    <t>LV2, Resserer les paliers + remettre en place les blocage de palier manquant</t>
  </si>
  <si>
    <t>PAG U, Réducteur de souche, Poutre support de la fraise HS</t>
  </si>
  <si>
    <t>PAG U, Rouleau KA2, Peigne à refaire</t>
  </si>
  <si>
    <t>Costa, Palier HS sur le pont n°13</t>
  </si>
  <si>
    <t>PAG U, RQM5, Glissières de retour HS</t>
  </si>
  <si>
    <t>Alimentation billon, Toit du chalet du détecteur de mitraille HS</t>
  </si>
  <si>
    <t>Bernard Munich</t>
  </si>
  <si>
    <t>PAG U, Trou dans la toiture</t>
  </si>
  <si>
    <t>PAG U, Fuite hydraulique sur vérin à la scie Kr2</t>
  </si>
  <si>
    <t>PAG U, Soufflerie sortie ecorceuse</t>
  </si>
  <si>
    <t>Se3, 2 taquets pliés</t>
  </si>
  <si>
    <t xml:space="preserve">weinig, vérin presseur empileuse à lattes tordu </t>
  </si>
  <si>
    <t>Trieur Springer, voir disjoncteur 0Q0</t>
  </si>
  <si>
    <t xml:space="preserve">Weinig, coliseur, remettre un echappement sur le distributeur </t>
  </si>
  <si>
    <t>Stenner, Etau coté bati de la machine a du jeu (Reglage toutes les 5 pièces)</t>
  </si>
  <si>
    <t>SW 1086-1087, Vérou de sécurité à changer</t>
  </si>
  <si>
    <t>Alimentation billon, Porte Kl3 (S202) verrou trop dur</t>
  </si>
  <si>
    <t>Diff</t>
  </si>
  <si>
    <t xml:space="preserve">Zd2? Tôle à ressouder dans le cône </t>
  </si>
  <si>
    <t>WEINIG ACOUPLEMENT DE L AVNCE APRES LE 2 IEM REDUCTEUR CHANGER LE PLASTIQUE DE LIAISON</t>
  </si>
  <si>
    <t>WEING</t>
  </si>
  <si>
    <t>Alimentation billon, 2ème pignon chaîne du boxe rejet tordu</t>
  </si>
  <si>
    <t>Batiment refente, fixer les chassis des portes et refixer les cables électriques</t>
  </si>
  <si>
    <t>V : glissières HS + tendre chaîne + graissage à remettre en état</t>
  </si>
  <si>
    <t>Stenner, Mise en place d'un girophare pour signaler l'empillage saturé (avec bouton marche / arrêt)</t>
  </si>
  <si>
    <t xml:space="preserve">Rqm1, problème hydraulique sur l'avance </t>
  </si>
  <si>
    <t>Tendre courroies KR2</t>
  </si>
  <si>
    <t>Remettre un ressort sur le volet RSO</t>
  </si>
  <si>
    <t>Del. Söderhamn, Lune du séparateur de planche dans le démêleur bouge (à refixer sur l'axe)</t>
  </si>
  <si>
    <t>PAG U, Contrôle du reglage du rlx conique dans les grandes longueurs</t>
  </si>
  <si>
    <t>HW 4130 : retendre toutes les chaines du transfert</t>
  </si>
  <si>
    <t>Weinig, Toupie gauche HS , flasque de maintient HS</t>
  </si>
  <si>
    <t>Alimentation des colis sur le transfert 01 refaire l'alignement de la butée</t>
  </si>
  <si>
    <t>Portique, Fin de course de tourelle à remettre en état</t>
  </si>
  <si>
    <t xml:space="preserve">Remplacer le ventilateur défectueux </t>
  </si>
  <si>
    <t xml:space="preserve">bT2, CANAL à ressouder </t>
  </si>
  <si>
    <t>As5, 1 patte d'un palier est cassée sur le double éjecteur</t>
  </si>
  <si>
    <t>déligneuse linck, remettre en état tous les tuyaux pneumatiques au niveau de He1</t>
  </si>
  <si>
    <t xml:space="preserve">110hW, Bras HS, remettre d'urgence </t>
  </si>
  <si>
    <t xml:space="preserve">Collecteur, connexes, jonction 470-480, terminer l'étanchéité </t>
  </si>
  <si>
    <t>Alimentation billon, Support rouleau conique sous Bt1 HS (entrée coté gauche sens d'avance)</t>
  </si>
  <si>
    <t>empileuse , au niveau du déplacement des bras (mise à longueur) tôle à souder côté câble</t>
  </si>
  <si>
    <t>CHANGER LES GLISSIERE AU FOURCHE DE L EMILEUSE + LES GALETS URGENT</t>
  </si>
  <si>
    <t xml:space="preserve">BTMS1, graissage chaîne moteur HS </t>
  </si>
  <si>
    <t>changer diabolo ertalons évitrée écorceuse</t>
  </si>
  <si>
    <t>câbles des cellules sectionnés</t>
  </si>
  <si>
    <t>PAG LV1</t>
  </si>
  <si>
    <t>soudure bas flanc BT2 a l'entrée KR2</t>
  </si>
  <si>
    <t>verifier silent bloc LV1+ soudure LV1_brocks</t>
  </si>
  <si>
    <t>connexion keba trop lente</t>
  </si>
  <si>
    <t>Cumul étiquettes restantes</t>
  </si>
  <si>
    <t>Roulement du 3e rouleau supérieur HS</t>
  </si>
  <si>
    <t>SE2</t>
  </si>
  <si>
    <t>Remettre vis sur bras de glissement sous SE2</t>
  </si>
  <si>
    <t>Manque rouleau latéral gauche</t>
  </si>
  <si>
    <t>Refaire fixation du boitier</t>
  </si>
  <si>
    <t>DV3</t>
  </si>
  <si>
    <t>Roulement rouleau de recentrage après DV3 HS</t>
  </si>
  <si>
    <t>GARE</t>
  </si>
  <si>
    <t>Roulement pignon de renvoi sous AD1 et AD2 HS</t>
  </si>
  <si>
    <t xml:space="preserve">830 Sw, la bande se décolle </t>
  </si>
  <si>
    <t xml:space="preserve">cercleuse Sw, poussoir chevrons, soucis avec les grosses traverses </t>
  </si>
  <si>
    <t xml:space="preserve">SORTIE Bth4, Manque une vis sur le rouleau </t>
  </si>
  <si>
    <t>As2, Remise en état du double éjecteur</t>
  </si>
  <si>
    <t>Brucks 300, Bande trouée</t>
  </si>
  <si>
    <t>Weinig, roulette de l'analyseur de production HS</t>
  </si>
  <si>
    <t>RQM4, Tendre les chaînes</t>
  </si>
  <si>
    <t>RQM5, Tôle à ressouder</t>
  </si>
  <si>
    <t>Refaire le ferplat d'usure sur les taquets de KL2</t>
  </si>
  <si>
    <t>1 galet supérieur côté vallée à changer</t>
  </si>
  <si>
    <t>SB2</t>
  </si>
  <si>
    <t>Contrôler les galets</t>
  </si>
  <si>
    <t>Recentrer 3e brin de chaine</t>
  </si>
  <si>
    <t>Rqm4</t>
  </si>
  <si>
    <t>Aqm1, verifier et remettre en état le moteur d'entraînement + axe du moteur de la 5ème chaine</t>
  </si>
  <si>
    <t>PAG U, Réparer le témoin de niveau des centrales hydrauliques de RQM1 et RQM2</t>
  </si>
  <si>
    <t>Trimmer SW, lame 5, frein HS</t>
  </si>
  <si>
    <t>Zv4 Za3 gauche jeu dans rouleau</t>
  </si>
  <si>
    <t>Zonze 870 HW : fuite d'huile sur flexible au niveau du raccord</t>
  </si>
  <si>
    <t>PAG U, RQM1, fissures sur la butée + pied de la rambarde déssoudé</t>
  </si>
  <si>
    <t>Compresseur refente, Changer l'alumine</t>
  </si>
  <si>
    <t xml:space="preserve">Canter, Ar3a, manque 1 protection sur le codeur de rotation </t>
  </si>
  <si>
    <t>Cercleuse HW, Remise en état du coffret pour l'étiqueteuse</t>
  </si>
  <si>
    <t>FR + SC</t>
  </si>
  <si>
    <t>SB6, Grasseurs HS sur les 2 premiers galets</t>
  </si>
  <si>
    <t xml:space="preserve">110hw, remettre cellule en état </t>
  </si>
  <si>
    <t>Canter : graissage centralisé de la ligne à réarmer tous les matins</t>
  </si>
  <si>
    <t>PAG U, Ejecteur 15, fissure sur 1er bras</t>
  </si>
  <si>
    <t>Changer courrioes Kr2 + renforcer pattes support capot</t>
  </si>
  <si>
    <t>Schilcher, pont de liaison SW-SCHILCHER, néon HS</t>
  </si>
  <si>
    <t xml:space="preserve">Broyeur : bande à plaquette, changer les taquet, rugent les plaquettes ne monte plus </t>
  </si>
  <si>
    <t xml:space="preserve">Weinig, silo sciure, filet HS </t>
  </si>
  <si>
    <t>WEINIG, fuite sur vérin donneur à l'alimentation</t>
  </si>
  <si>
    <t>PAGU, Kl2, Chaîne moteur à tendre</t>
  </si>
  <si>
    <t>TUBULATOR 170, racleur HS</t>
  </si>
  <si>
    <t>Roulement à changer sur rouleau d'entrée GAUCHE de la MK</t>
  </si>
  <si>
    <t>PAG U, Tôle de recouvrement de Bt1 à ressouder</t>
  </si>
  <si>
    <t xml:space="preserve">Unité lattes, remettre le support de cellules Qm106 coté VR en état </t>
  </si>
  <si>
    <t>Microtec</t>
  </si>
  <si>
    <t>Rqm3,soudure des tôles dans le démêleur</t>
  </si>
  <si>
    <t>Service commercial, Radiateur dans le couloir HS</t>
  </si>
  <si>
    <t>Schilcher, Vitesse 3 à reduire à 55pl/min (20% de plus que la vitesse 2)</t>
  </si>
  <si>
    <t>usure anormale sur les roues de la cabine</t>
  </si>
  <si>
    <t>portique</t>
  </si>
  <si>
    <t>Une glissière à remettre 3ème V brucks</t>
  </si>
  <si>
    <t>TABLE INFERIEUR COTE URMATT   CHANGER LES 2 GROS GALETS</t>
  </si>
  <si>
    <t>ÉTÉ</t>
  </si>
  <si>
    <t>Weinig, Qm4, poste qualité, chaîne à découper et glissière à changer sur les petits bras poste qualité</t>
  </si>
  <si>
    <t>Del. Linck, Courroie Bth3 HS</t>
  </si>
  <si>
    <t>PAGU, Bt2, Manque des boulons à la jonction du chassis</t>
  </si>
  <si>
    <t>PAGU, Bande mitraille, Chaîne moteur à raccourcir</t>
  </si>
  <si>
    <t>Weinig, remise en état du bardage de la holtec (la pluie tombe sur les armoires électriques</t>
  </si>
  <si>
    <t>06SW, 2ème tendeur HS</t>
  </si>
  <si>
    <t>Annulé - Inutile si on ne change pas de sens de rotation des lames</t>
  </si>
  <si>
    <t>Trieur HW, poste ébouteur 1, couper la tôle sous transfert 115 car pièces de recyclage accrochent</t>
  </si>
  <si>
    <t>cercleuse hw porte accés feuillard todu à redresser.</t>
  </si>
  <si>
    <t>Axe de scie du bas descent tout le temps il ne garde pas sa position</t>
  </si>
  <si>
    <t>Vibrant Brucks 281, Ressouder et renforcer les tôles</t>
  </si>
  <si>
    <t>Vibrant Brucks 280, Ressouder les tôles</t>
  </si>
  <si>
    <t>Canter, retour Kl2 à changer</t>
  </si>
  <si>
    <t xml:space="preserve">FAIRE UNE PROTECTION SUR LE DEPILEUR DE LA WEINIG POUR QUE LE MAT DE L ELEVATEUR NE RESTE BLOQUE DANS LES BRAS DE CHAINE </t>
  </si>
  <si>
    <t>PAG U, Bt3, La bande patine et il n'y a plus de tension possible</t>
  </si>
  <si>
    <t>test</t>
  </si>
  <si>
    <t>Changer rotule du verin de fermeture</t>
  </si>
  <si>
    <t>AV2</t>
  </si>
  <si>
    <t>Del. Linck, Bande SA1 HS</t>
  </si>
  <si>
    <t>HW 115, 3ème chaîne à raccourcir</t>
  </si>
  <si>
    <t>Remettre le capot de protection entrainement de rouleaux conique entrée KR2</t>
  </si>
  <si>
    <t>Kl4, Manque ertalon sous les taquets</t>
  </si>
  <si>
    <t>Bt5, Rallonger les tendeurs</t>
  </si>
  <si>
    <t>Weinig, Modifier la cellule de détection des colis du dépileur</t>
  </si>
  <si>
    <t>Weinig, Déflecteur de sciure de la toupie gauche et droite HS</t>
  </si>
  <si>
    <t>Weinig, Axe de rouleau entre la toupie gauche et droite HS</t>
  </si>
  <si>
    <t xml:space="preserve">Weinig, axe de scie à changer </t>
  </si>
  <si>
    <t>cercleuse, poussoir de traverses HS</t>
  </si>
  <si>
    <t>cercleuse ,remettre revêtements sur les rouleaux car petit colis patinent</t>
  </si>
  <si>
    <t>PAG U, Ecorceuse, Rlx usés (à modifier comme sur PBL)</t>
  </si>
  <si>
    <t>1 taquet RSO à ressouder</t>
  </si>
  <si>
    <t>Rouleaux BT1 à changer</t>
  </si>
  <si>
    <t>Söderhamn, Pignons à refixer sur l'axe moteur du démêleur</t>
  </si>
  <si>
    <t>Schilcher, Faire une campagne sur l'éclairage interieur - Néon HS</t>
  </si>
  <si>
    <t>Stenner</t>
  </si>
  <si>
    <t>Broyeur</t>
  </si>
  <si>
    <t>Pignon + couronne roue coté enrouleur HS</t>
  </si>
  <si>
    <t>Délai: août 2012</t>
  </si>
  <si>
    <t>D Limong</t>
  </si>
  <si>
    <t>DD + DL</t>
  </si>
  <si>
    <t>retendre chaines chassis latteur empileuse HW</t>
  </si>
  <si>
    <t>EMPILEUSE SW, 1220SW, 7ème et 8ème bras du monte charge à redresser</t>
  </si>
  <si>
    <t>changer silan-bloc du  moteur kl7</t>
  </si>
  <si>
    <t xml:space="preserve">Déligneuse Söderhamn, Qm27b-Adv1, manque capot étanchéïté axe réducteur </t>
  </si>
  <si>
    <t>Brucks 90, Bande déchirée en différents points</t>
  </si>
  <si>
    <t>retourner les chaines  organisation conges</t>
  </si>
  <si>
    <t>idem  à 7515</t>
  </si>
  <si>
    <t>achat en beton</t>
  </si>
  <si>
    <t>a commander</t>
  </si>
  <si>
    <t>Pinces de sortie KR2 à remplacer</t>
  </si>
  <si>
    <t>Axe ejecteur 100 (LV3) à ressouder</t>
  </si>
  <si>
    <t>Refente, Nettoyage du toit à faire + Changer des éternite (fuite d'eau sur les kinsley + machine</t>
  </si>
  <si>
    <t>Söderhamn, 4ème bande verte d'amenage, commence à se déchirer</t>
  </si>
  <si>
    <t>Vulca-Concept</t>
  </si>
  <si>
    <t>Alimentation billon, PW2, Jeu dans les rotules + axes</t>
  </si>
  <si>
    <t>scierie</t>
  </si>
  <si>
    <t>Amélioration</t>
  </si>
  <si>
    <t xml:space="preserve">SW008, mise en place des arrêtoirs </t>
  </si>
  <si>
    <t xml:space="preserve">Schilcher, remplacer la carte automate HS </t>
  </si>
  <si>
    <t xml:space="preserve">Ms1, les pattes sonnent </t>
  </si>
  <si>
    <t>SW730, protection chaine moteur HS</t>
  </si>
  <si>
    <t>réglage du graissage centralisé zone gare QM1 - QM3 puis dégraissage de la zone grandes longueurs (5040) + 5070 et zone béton niveau 0</t>
  </si>
  <si>
    <t>canters</t>
  </si>
  <si>
    <t>PAG U, Bt2, La jonction se décolle</t>
  </si>
  <si>
    <t>Vulca Concept</t>
  </si>
  <si>
    <t xml:space="preserve">Weinig, changer toutes les bagues en bronze des vérins presseurs + tube de guidage des vérins </t>
  </si>
  <si>
    <t xml:space="preserve">Bth2, aligner le vérrou de la porte de sécurité </t>
  </si>
  <si>
    <t xml:space="preserve">Déligneuse Linck, Bth3, manque 1 rouleau retour </t>
  </si>
  <si>
    <t>Alimentation billon, 1 néon derrière Sb6 contre la paroi HS</t>
  </si>
  <si>
    <t>refaire plancher + barrière de sécurité arrivée SW</t>
  </si>
  <si>
    <t>tige de verrin du box 12 hs</t>
  </si>
  <si>
    <t>Kl2, Taquet en ertalon manquant</t>
  </si>
  <si>
    <t>remettre un bocal pneumatique autopurgeant au mesureur epaisseur</t>
  </si>
  <si>
    <t>Déboucher + protéger évacuation d'eau du PàG</t>
  </si>
  <si>
    <t>Changer corniere de la raclettekf3</t>
  </si>
  <si>
    <t>refaire la grille de sécurité de la cercleuse on arrive plus à la fermer correctement</t>
  </si>
  <si>
    <t>tubulators 586-606, bruit sur station tendeur</t>
  </si>
  <si>
    <t>Dépileur HW &amp; SW, repeindre les numéros des transferts (3000 pour HW &amp; 4000 pour SW)</t>
  </si>
  <si>
    <t>Del Linck, 1 vis cassée sur le grillage de sécurité de Qm17</t>
  </si>
  <si>
    <t>Broyeur refente, changer les silentblocs HS</t>
  </si>
  <si>
    <t xml:space="preserve">Be1, resserer les vis des paliers </t>
  </si>
  <si>
    <t>Costa, Appro. Tire palettes 2000Kg</t>
  </si>
  <si>
    <t>Elévateur 34. Manque Porte gauche</t>
  </si>
  <si>
    <t>He2, Remise en état de la trappe (unité latte ou OAOB)</t>
  </si>
  <si>
    <t>Broyeur 530, L'ouverture du capot est possible lorsque le tambour tourne + fusible HS et les vibrants fonctionnent</t>
  </si>
  <si>
    <t>Scierie, Sous Del. Söderhamn, Fixation de tuyau d'eau à refixer</t>
  </si>
  <si>
    <t xml:space="preserve">Tubulator 608, vis de nettoyage hs </t>
  </si>
  <si>
    <t xml:space="preserve">Collecteur, file Est, refaire la descente d'EP au niveau du passage </t>
  </si>
  <si>
    <t xml:space="preserve">Vérifier roues de la cabine </t>
  </si>
  <si>
    <t>Canter, Me7, Manque 6 souflettes des caméras</t>
  </si>
  <si>
    <t xml:space="preserve">Alimentation billons, Sb6, mise en place d'axes de galets excentriques </t>
  </si>
  <si>
    <t>Remettre en état bande 2006</t>
  </si>
  <si>
    <t>Déligneuse Söderhamns, remplacer chaine démêleur HS</t>
  </si>
  <si>
    <t>Se2 Fuite vérin coté Voie Rapide Rouleau plaqueur</t>
  </si>
  <si>
    <t>remettre la derniere chaine sur QM17 ( delig link )</t>
  </si>
  <si>
    <t>Weinig, Passerelle où l'on pose les gabarits de lattes, Poteau tordu</t>
  </si>
  <si>
    <t>Weinig, Remettre en place le rouleau manquant dans la machine (en face du rabot gauche)</t>
  </si>
  <si>
    <t>MKV, Porte de droite, 2ème poignée à remettre en état</t>
  </si>
  <si>
    <t>Sb2, glissière à resouder + galet</t>
  </si>
  <si>
    <t>nuit</t>
  </si>
  <si>
    <t>Demande un girofare pour le téléphone de l'atelier refente</t>
  </si>
  <si>
    <t>SW Empileuse, Regraphiter les rouleaux d'alignement</t>
  </si>
  <si>
    <t>Remettre tôle de canalisation de la sciure dans KR2</t>
  </si>
  <si>
    <t xml:space="preserve">Se2, Bande sous Se2 HS (n°140) </t>
  </si>
  <si>
    <t>Unitée latte, Sectionneur à coté du pupitre OAB HS</t>
  </si>
  <si>
    <t>Weinig, Toupie de gauche, roulement HS</t>
  </si>
  <si>
    <t>Sb2, Roues plastiques des galets du bas à changer</t>
  </si>
  <si>
    <t>Expé</t>
  </si>
  <si>
    <t>Stenner, Dépileur, voir pour que ci une cellule casse, le frein reste fermé</t>
  </si>
  <si>
    <t>Kl4, Manque un ertalon vert sur un taquet</t>
  </si>
  <si>
    <t>rqm6 coté Strasbourg, sur la tôle de descente il y a un trou à boucher</t>
  </si>
  <si>
    <t>alimentation rqm6</t>
  </si>
  <si>
    <t>PAG U, Chaîne de tri à raccourcir</t>
  </si>
  <si>
    <t>Bt2, Refixer le graissage centralisé de la chaîne moteur + valider le fonctionnement du graissage</t>
  </si>
  <si>
    <t>Weinig, rlx d'alimentation, raccourcir les chaînes + contrôle des pignons + chaîne moteur</t>
  </si>
  <si>
    <t>Costa, Trappe de visite du ventilateur de reprise à réparer</t>
  </si>
  <si>
    <t>Fuchs, Rochinger à démonter</t>
  </si>
  <si>
    <t>115HW, 5ème chaine, glissière HS</t>
  </si>
  <si>
    <t>Divers Hg à faire</t>
  </si>
  <si>
    <t>Brucks, Tôle à changer (plan à faire)</t>
  </si>
  <si>
    <t>HW, transfert 115, Bat-flancs à ressouder</t>
  </si>
  <si>
    <t>changer pince + redresseur pince actuelle</t>
  </si>
  <si>
    <t>Retendre les chaines à toit Schilcher</t>
  </si>
  <si>
    <t>S2, Accouplement des fraises gauches à changer</t>
  </si>
  <si>
    <t>Réaligner trieur avec convoyeur à taquets (repère rouge)</t>
  </si>
  <si>
    <t>CS + SF</t>
  </si>
  <si>
    <t>110hw, 115hw, plancher HS</t>
  </si>
  <si>
    <t>Costa, Transfert de sortie, Remettre en état les protections + Faire 2 supports de poumon pour stock</t>
  </si>
  <si>
    <t xml:space="preserve">canter </t>
  </si>
  <si>
    <t xml:space="preserve">kr, préparer les lames pour les envoyer au planage + tension </t>
  </si>
  <si>
    <t>Connexes, remplacement des vis du vibrant 510</t>
  </si>
  <si>
    <t>Protège cellule AV1 tordu + bourrage entre rouleaux</t>
  </si>
  <si>
    <t>Trieur EL SPRINGER 1 : Refaire un escalier</t>
  </si>
  <si>
    <t>qm32 b, ajouter de l'éclairage</t>
  </si>
  <si>
    <t>Unité choix, mise en place de laser pour l'alignement des 4 lames</t>
  </si>
  <si>
    <t>Enrouleur n'accroche plus</t>
  </si>
  <si>
    <t>Soderhamns</t>
  </si>
  <si>
    <t>Elevateur 68 porte chauffeur gauche ferme mal</t>
  </si>
  <si>
    <t>Poste 2 chaine d'entrainement train de rouleaux 850 touche l'axe des rouleaux</t>
  </si>
  <si>
    <t>Batiment cercleuse, Pb d'évacuation des eaux au niveau du batiment cercleuse</t>
  </si>
  <si>
    <t>Grandes longueurs</t>
  </si>
  <si>
    <t>empileuse:latteur numero 3; redresserles maintiens dessous (3) pour améliorer l' éjection.Trop de lattes se tournent</t>
  </si>
  <si>
    <t>empileuse: 2eme latteur bloque lors des déplacement, on doit le déplacer en manuel à chaque changement(pareil pour le 7 mais moins souvent besoin)</t>
  </si>
  <si>
    <t xml:space="preserve">Weinig, train de rouleaux entre Weinig alimentation, fuite vérin donneur </t>
  </si>
  <si>
    <t>PàG</t>
  </si>
  <si>
    <t>Se1, caillebotis à changer</t>
  </si>
  <si>
    <t>Yohan</t>
  </si>
  <si>
    <t>Qm11 ne fonctionne plus</t>
  </si>
  <si>
    <t>Hall de traitement</t>
  </si>
  <si>
    <t xml:space="preserve">Kl4, plaques à ressouder au niveau de la cellule </t>
  </si>
  <si>
    <t>Cercleuse 1 vis cassée sur support bas</t>
  </si>
  <si>
    <t>Trop d'eau dans circuit d'air</t>
  </si>
  <si>
    <t>Bt1, ressouder le déflecteur devant la bande</t>
  </si>
  <si>
    <t>Service expé, ampoules à changer sur pylone vers 50/75 et dans les boxes</t>
  </si>
  <si>
    <t>Toilette : montant de porte cassé (porte donnant accès aux toilettes pissoir)</t>
  </si>
  <si>
    <t>MUNICH</t>
  </si>
  <si>
    <t>déméleur 1 et 2 , toutes les chaînes: vis des taquets à changer,écrou hs,jeu, risque de casse</t>
  </si>
  <si>
    <t>Stenner, Guide Stenner entrée machine bloc, Pourquoi</t>
  </si>
  <si>
    <t>Transfert sortie directe empileuse SW, retendre les chaines</t>
  </si>
  <si>
    <t>Se2, Rambarde escalier au dessu de Se2 fissurée</t>
  </si>
  <si>
    <t xml:space="preserve">WEINIG une entrée de câble à une pédale orange sur le transfert Weinig est défectueuse </t>
  </si>
  <si>
    <t xml:space="preserve">KUNERT Q18 </t>
  </si>
  <si>
    <t>fd</t>
  </si>
  <si>
    <t>Refente, Weinig, Stenner, Fuite d'aspiration au dessusde la passerelle au milieu du batiment</t>
  </si>
  <si>
    <t>Aspiration</t>
  </si>
  <si>
    <t xml:space="preserve">KA1, remplacer la chaîne du train de rouleaux </t>
  </si>
  <si>
    <t>Déplacer fiche</t>
  </si>
  <si>
    <t>Weinig, Commander des axes pour le 3ème rouleaux</t>
  </si>
  <si>
    <t>Gérard Staudre</t>
  </si>
  <si>
    <t>Andre Chiavus</t>
  </si>
  <si>
    <t>Scibois</t>
  </si>
  <si>
    <t>Lazarus</t>
  </si>
  <si>
    <t>Heng</t>
  </si>
  <si>
    <t>refaire éclairage sous les boxs</t>
  </si>
  <si>
    <t>350HW, Mettre en place des câbles  de retenu des contre-poids</t>
  </si>
  <si>
    <t>alimentation billons, Kl4, silentblocs à contrôler</t>
  </si>
  <si>
    <t xml:space="preserve">Costa, remplacer les rouleaux extracteurs </t>
  </si>
  <si>
    <t>PAG U, Brucks, Chaines du presseur à tendre</t>
  </si>
  <si>
    <t>Empileuse cerclage ne fonctione plus depuis 1 an</t>
  </si>
  <si>
    <t>Changer la bande qui monte les lattes pour l'hiver. Mettre a taquet</t>
  </si>
  <si>
    <t>remise en place du câble de validation des barrières de cellules pour le cariste il s'est décroché</t>
  </si>
  <si>
    <t>réducteur de l'avance de la cabine HS</t>
  </si>
  <si>
    <t>holtec</t>
  </si>
  <si>
    <t>canter (soderhamm)</t>
  </si>
  <si>
    <t xml:space="preserve">baumann 45 </t>
  </si>
  <si>
    <t xml:space="preserve">remettre en état le mât </t>
  </si>
  <si>
    <t xml:space="preserve">baumann 48 </t>
  </si>
  <si>
    <t xml:space="preserve">remplacer le galet de la chaîne de levage primaire </t>
  </si>
  <si>
    <t xml:space="preserve">pont roulant </t>
  </si>
  <si>
    <t xml:space="preserve">remplacer ou réparer le linguet du crochet </t>
  </si>
  <si>
    <t xml:space="preserve">remplacer les consignes de sécurité illisible </t>
  </si>
  <si>
    <t>1080SW, Chaîne d'entrainement du trieur détendue</t>
  </si>
  <si>
    <t xml:space="preserve">Alimentation billons, Sb1, mise en place d'axes de galets excentriques </t>
  </si>
  <si>
    <t>Unité lattes, isolation d'une conduite d'eau à refaire</t>
  </si>
  <si>
    <t>Changer bande Bt52</t>
  </si>
  <si>
    <t>Costa, Changer l'axe excentrique de la bielle du réducteur du train de rouleau 06</t>
  </si>
  <si>
    <t>réaligner les chaînes, 2eme partie du virage(pas toucher la 1 ere ni la derniere)</t>
  </si>
  <si>
    <t>SW Collecteur</t>
  </si>
  <si>
    <t>SW Empileuse</t>
  </si>
  <si>
    <t>sw</t>
  </si>
  <si>
    <t>vérifier courroies d'entrainement rouleaux d'alignement poste 2 sw</t>
  </si>
  <si>
    <t>silent bloc de la 3e plaque en bas à droite à changer</t>
  </si>
  <si>
    <t>Soderhamn</t>
  </si>
  <si>
    <t xml:space="preserve">Empileuse HW, remplacer les ertalons des scies </t>
  </si>
  <si>
    <t xml:space="preserve">cellules de calcul </t>
  </si>
  <si>
    <t>NE PAS MODIFIER</t>
  </si>
  <si>
    <t>Créer une fiche :</t>
  </si>
  <si>
    <t>Canter Dv2 fuite sur verrin (au dessus)</t>
  </si>
  <si>
    <t>Ralonger le vérin pour décoller les bois avant la fin de l'hiver</t>
  </si>
  <si>
    <t>Faire faire un rouleau strié sur l'extracteur du train de rouleau 04 celui du moteur du bas</t>
  </si>
  <si>
    <t xml:space="preserve">Empileuse Hw, réparer le plancher </t>
  </si>
  <si>
    <t>Defaut automatisme entre FL1 et LV1</t>
  </si>
  <si>
    <t>Remettre éclairage intérieur du portique</t>
  </si>
  <si>
    <t>Canter, Rqm5, Capot de protection du moteur à refixer</t>
  </si>
  <si>
    <t>Sb2, le bati du SB frotte contre la partie mobile</t>
  </si>
  <si>
    <t>PAG U, Courroie de Kr2 à changer</t>
  </si>
  <si>
    <t>empileuse:bande 340 à remplacer + vérifier le chassis</t>
  </si>
  <si>
    <t>cercleuse: fissure entre les 2 vis du milieu( vis maitien de presse qui casse, 2 x en 1 mois) du maintien de la croix sur le montant</t>
  </si>
  <si>
    <t>cercleuse: axe centrale de la croix jaune( lié au verrin presse) a beaucoup de jeu , travail en force</t>
  </si>
  <si>
    <t>HALL CONNEXES : reboucher le trou des silo plaquette à l'angle du stock avec GSB</t>
  </si>
  <si>
    <t xml:space="preserve">115hw, dent HS sur pignon </t>
  </si>
  <si>
    <t>Bt101, Bande à changer (trouée)</t>
  </si>
  <si>
    <t>Refente, Broyeur, Il faut regler la temporisation d'ouverture de la porte de la zone de sécurité après l'arrêt complet du rotor</t>
  </si>
  <si>
    <t xml:space="preserve">Alimentation billons, alignement des vérrous de sécurité </t>
  </si>
  <si>
    <t>Canter 2, changer les courroies d'entrainement coté gauche</t>
  </si>
  <si>
    <t>Ali + nuit</t>
  </si>
  <si>
    <t xml:space="preserve">Ligne de triage, retendre la chaîne </t>
  </si>
  <si>
    <t>Brucks 430, Jonction à recoller</t>
  </si>
  <si>
    <t>Brucks, Tubulator 606, Moteur à remettre en état pour stock</t>
  </si>
  <si>
    <t>Remettre en état AS4</t>
  </si>
  <si>
    <t>Retendre chaines Qm17</t>
  </si>
  <si>
    <t>Zv10, Jeu dans les roulements des volets de Zv10</t>
  </si>
  <si>
    <t>PAG U, Remettre les pupitres exterieurs 2 et 3 en état au parc à grumes</t>
  </si>
  <si>
    <t>HW746, Bande butée, Pb mécanique au niveau de la surface de glisse</t>
  </si>
  <si>
    <t>Av4, Rouleau de droite ne tourne plus (axe à refaire)</t>
  </si>
  <si>
    <t>Alarme incendie, modifier message d'erreur ( Linck et Springer )</t>
  </si>
  <si>
    <t>RQM 8 derriere erthalon 3 silenblocs h,s</t>
  </si>
  <si>
    <t>Rouleau introducteurs hydraulique porte d'arbre ou roulement Hs sur celui du bas</t>
  </si>
  <si>
    <t xml:space="preserve">Broyeur 530, lampeHS après 2ème détecteur de mitraille </t>
  </si>
  <si>
    <t xml:space="preserve">As3, fuite sur le 1er vérin </t>
  </si>
  <si>
    <t>SW Collceteur</t>
  </si>
  <si>
    <t>cône e délignure : tôle de butée à remplacer</t>
  </si>
  <si>
    <t>déligneuse soderhamn</t>
  </si>
  <si>
    <t>Porte de sécurité sous Bth2 à réaligner</t>
  </si>
  <si>
    <t xml:space="preserve">déligneuse Linck, transfert Qm11, protection pour éviter choc vérin central mât triplex </t>
  </si>
  <si>
    <t xml:space="preserve">bT51, modifier la position du racleur </t>
  </si>
  <si>
    <t xml:space="preserve">Costa, mettre des échappements rapides sur les vérins de la table de sortie de la Costa </t>
  </si>
  <si>
    <t>Weinig, Fuite sur le vérin du poste de tronçonnage</t>
  </si>
  <si>
    <t>FUCHS : manque une fenaille sur la bèche</t>
  </si>
  <si>
    <t>SRM VENIR REPRENDRE LA CERCLEUSE STRAPACK EN PANNE A SRM POUR LA REPARER</t>
  </si>
  <si>
    <t>SRM WEINIG</t>
  </si>
  <si>
    <t>Stenner, Modifier le tendeur de chaîne du transfert d'éjection (Rosta, pneumatique, Hydraulique)</t>
  </si>
  <si>
    <t>Cercleuse SW : Souder la barre de cellule au niveau des rouleaux près du guide feuillard. Voir Fabien</t>
  </si>
  <si>
    <t>Deligneuse Linck (sortie), Transfert 00/8, 2 pignons tendeur HS à changer sur 3° en partant de la fin</t>
  </si>
  <si>
    <t>Broeyur 530, Remise en état du capot axe coté voie rapide</t>
  </si>
  <si>
    <t>RQM5, Retendre (raccourcir) les chaînes</t>
  </si>
  <si>
    <t>Alimentation Billon, RQM1, Pb de puissance sur le moteur de RQM1 (contrôle du frein à faire)</t>
  </si>
  <si>
    <t>Canter, BT1, un rouleau du retour fait du bruit</t>
  </si>
  <si>
    <t>Tendre les chaines moteur des rouleaux d'entrée des fraises des deux côtés</t>
  </si>
  <si>
    <t>Mettre la disjonction des bandes 130 et 135 sur le voyant des tamis niveau cabine canter</t>
  </si>
  <si>
    <t>Remise en état de l'image des grandes longueurs niveau cabine canter</t>
  </si>
  <si>
    <t>Fenwick 59 porte gauche HS   siege HS</t>
  </si>
  <si>
    <t xml:space="preserve">cOSTA, remettre le boitier electrique du pousseur en état </t>
  </si>
  <si>
    <t>site, portes sectionnelles, reperer et démonter les portes HS et les stocker</t>
  </si>
  <si>
    <t>non pas ok</t>
  </si>
  <si>
    <t>22/06/2011 ok</t>
  </si>
  <si>
    <t xml:space="preserve">Costa, Extracteur à reculer </t>
  </si>
  <si>
    <t>elevateur 61 refaire bavette</t>
  </si>
  <si>
    <t>élévateur 61 essieux arriere a changer URGENT</t>
  </si>
  <si>
    <t>Ertalon scie fixe a changer</t>
  </si>
  <si>
    <t>SW737, ertalon relevé sur la 3ème chaîne, la chaîne a du mal à accroché le pignon et risque de dérailler</t>
  </si>
  <si>
    <t>Rqm7, tension des chaînes + protection flexible</t>
  </si>
  <si>
    <t xml:space="preserve">éjecteur Fl1, remettre en état </t>
  </si>
  <si>
    <t xml:space="preserve">Ecorceuse, régler le centreur </t>
  </si>
  <si>
    <t xml:space="preserve">Kr1, courroies HS </t>
  </si>
  <si>
    <t>Portique, Pignon moteur à coté enrouleur "H-Bruche) HS</t>
  </si>
  <si>
    <t>Weinig, Mettre un bouton de reglage de la cellule de l'introducteur hydraulique (sur le pupitre du dépileur)  + faire le cablage correctionnel</t>
  </si>
  <si>
    <t xml:space="preserve">Alimentation billons, refixer la tôle HS du boxe mitraille </t>
  </si>
  <si>
    <t>Local springer 2, grille local hydraulique HS</t>
  </si>
  <si>
    <t>Canter, MKV, 2ème rouleau de gauche dans Kv1 HS</t>
  </si>
  <si>
    <t>Alimentation billon, Boxe mitraille, Tôle du fond défoncé</t>
  </si>
  <si>
    <t>broyeur, grille HS</t>
  </si>
  <si>
    <t>Broyeur, contre fer HS</t>
  </si>
  <si>
    <t>déméleur 1 niveau empileuse , contrepoids 2 eme chaîne appui sur le côté(tordu) , risque de dérailler + casse</t>
  </si>
  <si>
    <t>Weinig, axe de mise à plat des lattes HS</t>
  </si>
  <si>
    <t>Sb2, revoir le passage de câble sous Sb2</t>
  </si>
  <si>
    <t>Sw940, fuite sur une électrovanne</t>
  </si>
  <si>
    <t>HW 920 : retendre les chaines</t>
  </si>
  <si>
    <t>Weinig, Compteur de vitesse HS sur la barrière</t>
  </si>
  <si>
    <t>Weinig, Rlx extracteurs à changer (nid d'abeille + peigne)</t>
  </si>
  <si>
    <t>Hall de traitement, Lampes d'éclairage HS dans les boxes, F - L  - Q - R (1 x)</t>
  </si>
  <si>
    <t>PAG U, Rlx conique ne tient pas en position</t>
  </si>
  <si>
    <t>Trieur HW, revoir les glissières ertalons du transfert 100 ( jonction 100-115 )</t>
  </si>
  <si>
    <t xml:space="preserve">Dv1, Dv2, protection cellules </t>
  </si>
  <si>
    <t>empileuse SW dans trimmer,redresser 2 guides (entre chaînes) tordu et mettre à niveau</t>
  </si>
  <si>
    <t>Del. Söderhamn, Capot de scie, ouverture à refaire + remettre en état</t>
  </si>
  <si>
    <t>POSTE 3: remplacer tous les ertalons du transfert 290(après retourneur)</t>
  </si>
  <si>
    <t>trieur: remplacer tous les supports de cellule pliés des premières parties de chaînes dans les boxs</t>
  </si>
  <si>
    <t>SW box 38 4eme ejecteur a redresser</t>
  </si>
  <si>
    <t>Del. Söderhamn, Poutre de mesurage, Nettoyer l'interieur des poutres</t>
  </si>
  <si>
    <t>Local Sprinkleur</t>
  </si>
  <si>
    <t>Service Commercial, Radiateur à refixer</t>
  </si>
  <si>
    <t>Canter, Boite à vis des S à refaire</t>
  </si>
  <si>
    <t>Date de validation</t>
  </si>
  <si>
    <t>Kl4, 1 peigne sur un taquet est manquant</t>
  </si>
  <si>
    <t>Canter, Av4, Axe du rouleau extracteur de droite HS (moteur tourne mais pas le rouleau)</t>
  </si>
  <si>
    <t>HW 890 : bras d'alignement fuite vérin</t>
  </si>
  <si>
    <t xml:space="preserve">Canter, réparation plancher devant et à l'intérieur affûtage </t>
  </si>
  <si>
    <t>Se2, Axe du 1er rouleau plastique en partant de Dv3 coté gauche à remplacer</t>
  </si>
  <si>
    <t xml:space="preserve">Bacs, 2 ficelles de démarrage HS + entretien dosatron </t>
  </si>
  <si>
    <t>Changer les peignes deligneuse link ( 5 premiers ) sur tous les STH</t>
  </si>
  <si>
    <t>Changer les erthalons des chaines a plat transfert 737</t>
  </si>
  <si>
    <t>trieur sw</t>
  </si>
  <si>
    <t>Remettre en état le garde corp à côté des chaines à toit à Schilcher</t>
  </si>
  <si>
    <t>Suite au début d'incendie sur Bt5, merci de vérifier tous les rouleaux de support et de renvoi de toutes les bandes</t>
  </si>
  <si>
    <t>elevateur 61 : graisseur latteral HS</t>
  </si>
  <si>
    <t xml:space="preserve">elevateur 58 : Lateral (verin) ne fonctionne pas en charge </t>
  </si>
  <si>
    <t>HW, Retourneur 1, Galet sur roue mal reglé</t>
  </si>
  <si>
    <t>Stenner, Retourner le train de rouleau d'entrée</t>
  </si>
  <si>
    <t>SCHILCHER 4eme bande acceleratrice devant trieur, ertalon a changer</t>
  </si>
  <si>
    <t>Canter/Trieur, Modifier le fonctionnement de l'ensemble des portes "Portis", la montée/descente ne doit fonctionner qu'avec une action maintenu sur un bouton</t>
  </si>
  <si>
    <t>Portis</t>
  </si>
  <si>
    <t>Faux contact chemin de câble alimentation</t>
  </si>
  <si>
    <t xml:space="preserve">Recenter le 4e brin de chaine et vérifier le roulement. </t>
  </si>
  <si>
    <t>Manque taquets sur toutes les chaines.</t>
  </si>
  <si>
    <t>Manque taquets sur toutes les chaines</t>
  </si>
  <si>
    <t>Rqm5</t>
  </si>
  <si>
    <t>alimentation billons, Sb3, silentblocs moteur HS</t>
  </si>
  <si>
    <t>Costa, Transfert n°11, 3ème chaîne, pignon HS + platine tordue</t>
  </si>
  <si>
    <t>Costa, Reglage de l'axe du scie du haut ne fonctionne plus</t>
  </si>
  <si>
    <t xml:space="preserve">rendre le tableau étanche aux poussières </t>
  </si>
  <si>
    <t>TGBT SEREM</t>
  </si>
  <si>
    <t>BTH1 dechirée sur coté gauche + trou au milieu</t>
  </si>
  <si>
    <t>canter S2</t>
  </si>
  <si>
    <t>Ertalon scie fixe 2 à changer</t>
  </si>
  <si>
    <t>790 HW</t>
  </si>
  <si>
    <t>Weinig, train de rouleaux du poste de tronçonnage, motoréducteur HS</t>
  </si>
  <si>
    <t>élévateur34. lumières arrière défectueuses.</t>
  </si>
  <si>
    <t>Refaire le mur de planche derrière ordi car cassé =&gt; humidité</t>
  </si>
  <si>
    <t>lumière signalisation des boxs + lumières travers (girophares) ne fonctionnent plus</t>
  </si>
  <si>
    <t>Ph Munck</t>
  </si>
  <si>
    <t>EVS</t>
  </si>
  <si>
    <t>empileuse hw : changer ertalon scie fixe</t>
  </si>
  <si>
    <t>porte d'entrée coursons , sous  escalier fermeture hs</t>
  </si>
  <si>
    <t>porte d'entré empileuse HW / SW fermeture HS</t>
  </si>
  <si>
    <t>Empileuse HW, Ertalon scie fixe 2 à changer</t>
  </si>
  <si>
    <t>46, La sécurité du mat de fonctionne plus et le mat reste en haut quelque fois</t>
  </si>
  <si>
    <t>STENNER TURBINE: TRES GROSSE VIBRATION DANS LA TURBINE</t>
  </si>
  <si>
    <t>STENNER</t>
  </si>
  <si>
    <t>Del. Linck, Capot tombée sur le presseur d'entrée de Kp1</t>
  </si>
  <si>
    <t>empileuse HW reglage des latteurs(tendre coté URMATT)</t>
  </si>
  <si>
    <t>Bureau production, faire changer / réparer le distributeur de savon dans les WC hommes</t>
  </si>
  <si>
    <t>Ph K.</t>
  </si>
  <si>
    <t>PAG U, RQM2, Fuite hydraulique sur distributeur</t>
  </si>
  <si>
    <t>Scierie, Ad1, glissière HS</t>
  </si>
  <si>
    <t>PORTIS</t>
  </si>
  <si>
    <t>Söderhamn, Changer le rouleau moletté avant les scies</t>
  </si>
  <si>
    <t>SW collecteur</t>
  </si>
  <si>
    <t xml:space="preserve">Trieur HW, pignon de retour du 1er transfert du recyclage HW à réaligner </t>
  </si>
  <si>
    <t>PAG U, Cellule entrée écorceuse HS</t>
  </si>
  <si>
    <t>JFR</t>
  </si>
  <si>
    <t>RQM4, Manque des taquets sur RQM4</t>
  </si>
  <si>
    <t>Aspiration moteur au-dessus du tamis plaquettes 2 fuites sur les coudes</t>
  </si>
  <si>
    <t>PAG U, Bt1, Jeu sur le pignon d'entraînement de la bande</t>
  </si>
  <si>
    <t>Portique, Translation trop lente</t>
  </si>
  <si>
    <t>Portique, Démarrage translation avec accoups</t>
  </si>
  <si>
    <t>Portique, Fin de course du treuil trop haut</t>
  </si>
  <si>
    <t>ressouder les  2 barres manquantes dans les demeleurs</t>
  </si>
  <si>
    <t>empileuse SCHILCHER Galet interrieur fourche a changer</t>
  </si>
  <si>
    <t xml:space="preserve">930SW, Chaine accélératrice à changer </t>
  </si>
  <si>
    <t xml:space="preserve">Trieur HW, poste qualité, modifier la position du laser pour éviter d'éblouir l'opérateur </t>
  </si>
  <si>
    <t>Vérifier lubrification peut-être bouchée</t>
  </si>
  <si>
    <t>Rqm7</t>
  </si>
  <si>
    <t>Une vis tombée de la grue</t>
  </si>
  <si>
    <t>GRUE</t>
  </si>
  <si>
    <t>poste4 hw, bande d' alignement après dispatcheur ne démarre pas synchro avec le trieur, pièces part en travers</t>
  </si>
  <si>
    <t>empileuse hw , axe bas sous verrin presseur a beaucoup de jeu</t>
  </si>
  <si>
    <t>Remonter rouleau de recentrage devant S2</t>
  </si>
  <si>
    <t xml:space="preserve">Scie 200HW, les rouleaux presseurs ne tiennent plus en position Haute </t>
  </si>
  <si>
    <t>Weinig : changer tous les pignons de chaine des rouleaux de l'avance de la WEINIG</t>
  </si>
  <si>
    <t>bute 480 HW soucis mecanique sur glissiere</t>
  </si>
  <si>
    <t>Rouleaux de sortie Bth3 fixation HS coté Urmatt</t>
  </si>
  <si>
    <t>été</t>
  </si>
  <si>
    <t>ELEVATEUR N° 81 PROBLEME A LA 2 IEM RAMPE ELLE CLAC A LA DESCENTE AMORTISSEUR DE VERIN</t>
  </si>
  <si>
    <t xml:space="preserve">Bande 350, le câble d'arrêt d'urgence de la bande ne fonctionne plus </t>
  </si>
  <si>
    <t>SCHILCHER 4 eme glissiere partie 2 virage  HS</t>
  </si>
  <si>
    <t>Trieur HW QUALITE : il manque un interrupteur pour éteindre l'écran</t>
  </si>
  <si>
    <t>Bt2, Soudure à refaire sur les tôles de recouvrement de la bande coté gauche vers Kr2</t>
  </si>
  <si>
    <t>Rouleaux srtie écorceuse bloquent lors de la montée au démarage</t>
  </si>
  <si>
    <t>Changer écran de contrôle Bt1</t>
  </si>
  <si>
    <t>Rouleaux sortie écorceuse bloquent lors de la montée au démarage</t>
  </si>
  <si>
    <t>Kl4, Ressouder ferplat de glissement</t>
  </si>
  <si>
    <t>Oe</t>
  </si>
  <si>
    <t>Refaire escalier d'accès à l'écorceuse</t>
  </si>
  <si>
    <t>REMETTRE EN ETAT LA PASSERELLE SOUS SB2</t>
  </si>
  <si>
    <t>REMETTRE EN ETAT LE FREIN TRANSFERT  5060 ( GRANDE LONGUEUR )</t>
  </si>
  <si>
    <t>Ar10, Chaîne à tendre et ou raccourcir</t>
  </si>
  <si>
    <t>transfert 830,après 1er poste SW,1 ertalon complètement plié,chaçine passe hors du guide. À changer ertalon</t>
  </si>
  <si>
    <t>costa : voir pour 2 manchons d'avance</t>
  </si>
  <si>
    <t>chaçîne 557, toutes les chaînes à racourcir sauf les 2 dernieres car tendeur au bout</t>
  </si>
  <si>
    <t>chaîne 190, chaîne 3/4/5 à racourcir car tendeur au bout</t>
  </si>
  <si>
    <t>Weinig, Bras de chaîne 14.1, Poste qualité, Voir pour remettre le couvercle sur le boitier électrique correctement (risque d'électrocution)</t>
  </si>
  <si>
    <t>barrière de sécurité à refixer sur la passerelle à l'endroit où on pose les gabarits de lattes</t>
  </si>
  <si>
    <t>Kv1, Impossibilité de graisser les axes des rouleaux de Kv1 (entrée) depuis la mise en place du ski</t>
  </si>
  <si>
    <t>Bt14, Pont à faire</t>
  </si>
  <si>
    <t>06SW, 2 Néon HS</t>
  </si>
  <si>
    <t>Anh1a reste en position basse</t>
  </si>
  <si>
    <t>support du système de surhauteur KL2 HS (cêté voie-rapide)</t>
  </si>
  <si>
    <t>Refaire route en facve box chute</t>
  </si>
  <si>
    <t>ext</t>
  </si>
  <si>
    <t>Redresser 1/2 lune Lv2</t>
  </si>
  <si>
    <t>Un pied box 43 à ressouder</t>
  </si>
  <si>
    <t>Soudure à refaire sur fers plats + axe Fl1</t>
  </si>
  <si>
    <t>Soudure Bt3 à refaire (trou)</t>
  </si>
  <si>
    <t>mur stock maintenance enfoncé au niveau de la  station arrière de tubulator 70 cause bobcat ?</t>
  </si>
  <si>
    <t>Raclette sous écorceuse à controler et tendre</t>
  </si>
  <si>
    <t xml:space="preserve">Weinig, BLOCAGE TOUPIE GAUCHE </t>
  </si>
  <si>
    <t>Trieur HW, virage, grillage HS</t>
  </si>
  <si>
    <t>protection tuyau DV3 à changer</t>
  </si>
  <si>
    <t>ejecteur BE1 ne trouve pas sa position   -&gt; tension chaine</t>
  </si>
  <si>
    <t>codeur BRUCKS a vérifié        TTU</t>
  </si>
  <si>
    <t>2eme rouleau BT3 (depuis KR2) à refixer</t>
  </si>
  <si>
    <t>changer pompe remplissage centrale ecorceuse</t>
  </si>
  <si>
    <t>vérifier vérins bras écorceuse</t>
  </si>
  <si>
    <t>Empileuse HW, Révision des galets de la table intermédiaire</t>
  </si>
  <si>
    <t>canter Se2</t>
  </si>
  <si>
    <t>refaire les fixations de la roue des 1ére pâles du doneur. Se décale trop souvent</t>
  </si>
  <si>
    <t>Broyeur Brucks 520, Caillebotis à refixer</t>
  </si>
  <si>
    <t>Del. Linck, Qm15, 1 tuyau d'air à changer (fuite)</t>
  </si>
  <si>
    <t>dernière</t>
  </si>
  <si>
    <t>Recaler chaine à taquets après dispatcheur</t>
  </si>
  <si>
    <t>Support caillebotis dessouder (entre Bt4 et Bt5 à l'étage)</t>
  </si>
  <si>
    <t>Trieur Sw coté costa, liaison au sol du paratonnerre arrachée</t>
  </si>
  <si>
    <t>SAP</t>
  </si>
  <si>
    <t>Brucks 607, racleur du tambour arrière à régler</t>
  </si>
  <si>
    <t>jeu dans les rotules des vérins HE1</t>
  </si>
  <si>
    <t>Kf7, Grille séparation sciure, bruit anormal</t>
  </si>
  <si>
    <t xml:space="preserve">Eclairage au Brucks </t>
  </si>
  <si>
    <t>2e rouleau de la table dans la machine ne garde pas la position haut. Le bois bloque</t>
  </si>
  <si>
    <t xml:space="preserve">Portique, remplacer les mouffles de la griffe </t>
  </si>
  <si>
    <t>Weinig, Empileuse à bottes, galet HS coté poste de tronçonnage</t>
  </si>
  <si>
    <t>Rouleaux à changer sur BT1</t>
  </si>
  <si>
    <t>Changer vérin 2ème éjecteur Brucks (prévoir vérin de rechange)</t>
  </si>
  <si>
    <t xml:space="preserve">déplacer la pointeuse </t>
  </si>
  <si>
    <t>Serveurs info, onduleur HS</t>
  </si>
  <si>
    <t>Remettre en état tous les garde corp le long de la passerelle, deck grue-boxe mitraille + caillebotis</t>
  </si>
  <si>
    <t>Refaire toutes les lumières au dessus du poste qualité</t>
  </si>
  <si>
    <t>ressoudé tube ( chemin de câble sortie KP1 niveau bras de séparation )</t>
  </si>
  <si>
    <t xml:space="preserve">Ecorceuse, porte coté portique, remise en état des vérrous </t>
  </si>
  <si>
    <t>Changer chaines d'entrainement rouleaux de sortie</t>
  </si>
  <si>
    <t>MKV</t>
  </si>
  <si>
    <t>TOLE DE GUIDAGE DU BOIS TOMBEE DE CHAINE A TOIT SUR TRANSFERT 70 A REFIXER</t>
  </si>
  <si>
    <t>PAGU, rouleau de bande Bt1 à refixer</t>
  </si>
  <si>
    <t>Changer accouplement pompe écorceuse</t>
  </si>
  <si>
    <t>Ressouder premier ejecteur FL1 sur son axe</t>
  </si>
  <si>
    <t>Refixer tous les câbles dans les chemins de câbles</t>
  </si>
  <si>
    <t>Alimentation billons</t>
  </si>
  <si>
    <t>Changer peignes derrière éjecteur des boxes</t>
  </si>
  <si>
    <t>Soudure de fixation + étanchéité sur trémie Kr1</t>
  </si>
  <si>
    <t>Unité lattes, Sr102, Bande d'entraînement déchirée</t>
  </si>
  <si>
    <t>Vulca-concept</t>
  </si>
  <si>
    <t>barrière lumineuse derrière la scie poste 1 HW , continue de s' arrêter avec les vibrations lorsqu' on coupe de grosses pièces</t>
  </si>
  <si>
    <t>Del. Linck, Bw4, système de fixation de l'étoile à revoir, une vis cassée</t>
  </si>
  <si>
    <t>SW</t>
  </si>
  <si>
    <t>1ere chaîne de transfert affaisser, glissière à nouveau HS  Très urgent</t>
  </si>
  <si>
    <t>Changer crochet de sécurité + pince à tôle du palan</t>
  </si>
  <si>
    <t>Vérifier réducteur de l'enrouleur du câble (fuite huile au niveau de l'axe)</t>
  </si>
  <si>
    <t>Remettre déflecteur à sciure au dessus de BT8</t>
  </si>
  <si>
    <t>Axes de taquets KL2 à remettre</t>
  </si>
  <si>
    <t>Del. Söderhamn, 2ème centreur gauche (jeu dans l'axe pivot)</t>
  </si>
  <si>
    <t>PaG,Be1 Vis a resserer sur les paliers</t>
  </si>
  <si>
    <t>PaG RQm3 Tole déssoudées</t>
  </si>
  <si>
    <t>Egaliser la longueur des chaînes des moufles</t>
  </si>
  <si>
    <t>Portique, fuite sur le vérin de la pince</t>
  </si>
  <si>
    <t>PAG U, Pupitre de commande, boutons à changer</t>
  </si>
  <si>
    <t>Bac de traitement, Rail de protection au niveau des bacs 6 et 7 à ressouder</t>
  </si>
  <si>
    <t>Bac</t>
  </si>
  <si>
    <t>Costa, remettre le chemin de câbles ( + pneumatique ) en état au niveau du transfert d'entrée de la COSTA</t>
  </si>
  <si>
    <t>CS</t>
  </si>
  <si>
    <t>Trieur HW, Cellule d'alignement 480B1 ne fonctionne pas</t>
  </si>
  <si>
    <t>Del. Linck, fuite sur le 3ème presseur de Zv10</t>
  </si>
  <si>
    <t>LOGISTIQUE Fenwick N°27 : la marche arrière ne s'enclenche pas toujours</t>
  </si>
  <si>
    <t>HW transfert 115 : 5 pignons sur 6 HS</t>
  </si>
  <si>
    <t>HW 180 : Bande jonction malade</t>
  </si>
  <si>
    <t>Weinig, faire un plan pour remplacer des plaques par 2 fer plats</t>
  </si>
  <si>
    <t>Sw 1190, graisseur sur la 2° chaine HS</t>
  </si>
  <si>
    <t>Trieur Sw</t>
  </si>
  <si>
    <t xml:space="preserve">Empileuse SW, glissière intérieure trimmer à revoir ( épaulement HS ) </t>
  </si>
  <si>
    <t>SF</t>
  </si>
  <si>
    <t>Canter, Fixer l'escalier descendant vers la déligneuse Linck (Dv3)</t>
  </si>
  <si>
    <t>Canter, Del Linck, Armoire électrique 23.4, Gond manquant</t>
  </si>
  <si>
    <t>qui a valider ?</t>
  </si>
  <si>
    <t>Changer pignon 2° chaine avant centreur</t>
  </si>
  <si>
    <t>Déligneuse Soderhamm</t>
  </si>
  <si>
    <t>Weinig, Problème de programmation de la position des liens</t>
  </si>
  <si>
    <t>Freddy</t>
  </si>
  <si>
    <t>Daniel</t>
  </si>
  <si>
    <t>As1, 1 palier HS sur le double éjecteur</t>
  </si>
  <si>
    <t>1075SW, 2 pignons libres sur la chaine de liaison entre 1080 et 1075</t>
  </si>
  <si>
    <t>Sw Trieur</t>
  </si>
  <si>
    <t>Bth4, rouleau d'appui à la sortie, Courroie HS</t>
  </si>
  <si>
    <t>Evacuation</t>
  </si>
  <si>
    <t>silo de réduction de souche a remettre en état</t>
  </si>
  <si>
    <t>Del. Linck, Qm13b, Jeu dans l'accouplement</t>
  </si>
  <si>
    <t>Pw1, Soudure à reprendre sur le chassis</t>
  </si>
  <si>
    <t>PAG U, Vérin presseur du brucks, Chappe arrière HS</t>
  </si>
  <si>
    <t>Réducteur de souche</t>
  </si>
  <si>
    <t>Ar1 (derrière Bt51) 1 roue plastique à changer</t>
  </si>
  <si>
    <t>Soudure sur 1ère croix (x) sous LV1 coté écorceuse</t>
  </si>
  <si>
    <t>Boc 43, le 2° pied cassée =&gt; à remettre en état</t>
  </si>
  <si>
    <t>Rso</t>
  </si>
  <si>
    <t>Ressouder butée fin ligne RSO + Volet</t>
  </si>
  <si>
    <t>Canter, DV1, rouleau d'entrée HS</t>
  </si>
  <si>
    <t xml:space="preserve">KL2, glissières fixe à remplacer </t>
  </si>
  <si>
    <t>PAG U, Changer les moufles du portique + câble</t>
  </si>
  <si>
    <t>Si dans toutes les feuilles que toutes les lignes sont remplies. Il ne doit pas y avoir de lignes vides :  spécialement pour les numéro de fiche</t>
  </si>
  <si>
    <t>Costa, Table de sortie après l'extracteur à ressouder - URGENT</t>
  </si>
  <si>
    <t>Fuite hydraulique au dessus de la centrale KR2</t>
  </si>
  <si>
    <t>S52/2012</t>
  </si>
  <si>
    <t>Bande BT7 dechirée sur le cote</t>
  </si>
  <si>
    <t>Remise à niveau de tout les éjecteurs du transfert 1080</t>
  </si>
  <si>
    <t>Dans la cabine canter remplacer les dalles de plancher au niveau du siege du scieur</t>
  </si>
  <si>
    <t>Butée mobile de première purge scie fixe, référencement incorrect</t>
  </si>
  <si>
    <t>Se3, carter de protection chaine Se3 entre Se3 et KH</t>
  </si>
  <si>
    <t>Changer la roulette du Kinslet</t>
  </si>
  <si>
    <t>Réglage de tous les miroirs</t>
  </si>
  <si>
    <t>Grue sennenbogen,controler le circuit de charge et de demarrage,Grue demarre pas toujours</t>
  </si>
  <si>
    <t>expédition à faire</t>
  </si>
  <si>
    <t>HW 115, 5ème chaine à raccourcir</t>
  </si>
  <si>
    <t>Alimentation billons, remettre le boitier de la grue Friedrich en état</t>
  </si>
  <si>
    <t>Broyeur 260 Palier du tambour couteaux Hs (soudé) à programmer</t>
  </si>
  <si>
    <t>nicolas urgent refaire l'ensemble des boutons</t>
  </si>
  <si>
    <t>Fuite a un vérin rouleau presseur avant le rabot du haut, changer les joints</t>
  </si>
  <si>
    <t>Expédition</t>
  </si>
  <si>
    <t>le 3ème verrin du séparateur de couches ne fonctionne toujours pas à l' empileuse</t>
  </si>
  <si>
    <t>Renforcer première partir BE1 (mettre goussets), suite soudure faite par Salim</t>
  </si>
  <si>
    <t>1 bras éjecteurs brucks à remettre</t>
  </si>
  <si>
    <t>Unité lattes, garde corps sortie gabarit coté droit HS</t>
  </si>
  <si>
    <t>Costa, Valider le reglage du guide (jeu?) + contrôle de l'alignement des 2 manchons</t>
  </si>
  <si>
    <t>Table de rouleau dans la machine trop usé à commandé urgent</t>
  </si>
  <si>
    <t>DE</t>
  </si>
  <si>
    <t>Sécurité capot déconnecter Danger Suite à l'étiquette rouge N°6561 refaire le capot, on ne peut plus le fermer avec la sécuriter,</t>
  </si>
  <si>
    <t xml:space="preserve">Déligneuse Linck ( sous Qm14a ) 1 fixation cassée </t>
  </si>
  <si>
    <t>SW Empileuse, Bande adhérante sur les fourches à changer</t>
  </si>
  <si>
    <t>3ème anti retour RQM3 fissuré + palier HS</t>
  </si>
  <si>
    <t>SE2, Rouleau plaqueur coté droit à remetre à l'état standard (actuellement réparation provisoire)</t>
  </si>
  <si>
    <t>Weinig, Fuite d'air sur l'embase sous les rouleaux d'alimentation</t>
  </si>
  <si>
    <t>Costa, Refaire la butée de la table de sortie à 5m et valider les autres</t>
  </si>
  <si>
    <t>Weinig, Refaire les guirlandes des bras mobile de Qm4 + le chemin de cable</t>
  </si>
  <si>
    <t>Weinig, Qm4, Changer la chaîne du 4ème bras + autres modifs (voir Ludovic)</t>
  </si>
  <si>
    <t>Grande longueur</t>
  </si>
  <si>
    <t>RQM7, Ertalon HS sous la 4ème chaîne</t>
  </si>
  <si>
    <t>expédition fait</t>
  </si>
  <si>
    <t>1 pied box 11 à ressouder</t>
  </si>
  <si>
    <t>Costa, Vérin pour décoller les bois gelé au dépileur (tige HS)</t>
  </si>
  <si>
    <t>Se3, Roulement HS sur l'arbre moteur des chaînes</t>
  </si>
  <si>
    <t>Tôle coté gauche sur Kl4 arraché</t>
  </si>
  <si>
    <t xml:space="preserve">SW790, tendre la chaine moteur </t>
  </si>
  <si>
    <t xml:space="preserve">Alimentation billons, As4, fuite hydraulique </t>
  </si>
  <si>
    <t>Synchroniser l'heure du kientzle et du PC de commande avec la pointeuse</t>
  </si>
  <si>
    <t>Bande Brucks n°20, Tambour arrière à démonter puis remonter après remise en état</t>
  </si>
  <si>
    <t>Canter, Aqh2, tendre les chaînes (touche ferraille)</t>
  </si>
  <si>
    <t xml:space="preserve">aV3, fuites sur vérins </t>
  </si>
  <si>
    <t>Costa, Refaire la table d'empillage en bas, là où on empile à la main</t>
  </si>
  <si>
    <t>lattes</t>
  </si>
  <si>
    <t>remettre à l'état standard fonctionnement He1</t>
  </si>
  <si>
    <t>entrée trieur SW : boucher trous dans plancher, étage 1 SW sans transfert taquet coursons</t>
  </si>
  <si>
    <t xml:space="preserve">Bureaux, mettre un verrou intérieur dans le vestiaire </t>
  </si>
  <si>
    <t xml:space="preserve">détecteur de mitraille, remettre le marquage du bois mitraillé en état </t>
  </si>
  <si>
    <t>Extérieur, voir pour les trous dans les chantiers</t>
  </si>
  <si>
    <t>Gross</t>
  </si>
  <si>
    <t>Friedrich</t>
  </si>
  <si>
    <t xml:space="preserve">MKV, refaire l'éclairage dans la machine </t>
  </si>
  <si>
    <t>SW 008, barrière surhauteur arrachée</t>
  </si>
  <si>
    <t>Weinig, Qm5, Tension des chaines à faire (couper)</t>
  </si>
  <si>
    <t xml:space="preserve">attention bien preparer les travaux </t>
  </si>
  <si>
    <t>Châssis bande 450 côté tambour de retour plié</t>
  </si>
  <si>
    <t>Poste 1 SW</t>
  </si>
  <si>
    <t>PAG U, Brucks, 1er retourneur à ressouder</t>
  </si>
  <si>
    <t>PAG U, Bt3, Glissement du billon sur la bande</t>
  </si>
  <si>
    <t>Costa, Rouleau dans le col de cygne , tige filetées à changer</t>
  </si>
  <si>
    <t>Weinig, Refixer tous les presseurs</t>
  </si>
  <si>
    <t>WEINIG SUPPORT DU PRESSEUR AVANT LE RABO DU HAUT HS VIS CASSE A L INTERIEUR , VOIR POUR LA SOTIR  , ON CASSE TROP DE PETIT VERIN DEMONTAGE DU BLOC COMPLET POUR EXTRERE LA VIS</t>
  </si>
  <si>
    <t>Plaque de protection cellule SB3 arraché (à refaire)</t>
  </si>
  <si>
    <t>Christian</t>
  </si>
  <si>
    <t>Canter, retour Kl4 à changer</t>
  </si>
  <si>
    <t>fuite sur verrin: HS  box 8;   urgent: 42, 25;   prévoir : 9,19,29,36,41</t>
  </si>
  <si>
    <t>Trieur Hw, éjecteur Hw 21 manque 1 fixation</t>
  </si>
  <si>
    <t>chauffage groupe hydraulique Rqm1</t>
  </si>
  <si>
    <t>Weinig, Soufflette des lames doit fonctionner en même temps que l'avance</t>
  </si>
  <si>
    <t>Gross - Vogel</t>
  </si>
  <si>
    <t>Costa, Changer tous les pignons de l'avance de la machine + axe des gros rouleaux</t>
  </si>
  <si>
    <t>PAG U, Boxe 11, Poteaux HS</t>
  </si>
  <si>
    <t>Nombre d'étiquettes d'anomalies annulées</t>
  </si>
  <si>
    <t>Cumul étiquettes annulées</t>
  </si>
  <si>
    <t>Pignon retour côté droit chaien tapis à serrer sur la clavette</t>
  </si>
  <si>
    <t>ZD2</t>
  </si>
  <si>
    <t>Retendre brin de droite chaine tapis</t>
  </si>
  <si>
    <t>Changer axe première butée ANH2</t>
  </si>
  <si>
    <t>Kl4, Manque une protection de cellule coté Sb4</t>
  </si>
  <si>
    <t>Reprendre la butée des manchons (à rectifier)</t>
  </si>
  <si>
    <t>Cercleuse HW, Automate en défaut (lundi 14 à 13h30 - mardi 15 à 5h00)</t>
  </si>
  <si>
    <t>CercleuseHW</t>
  </si>
  <si>
    <t xml:space="preserve">1100 B1 SW, Frein moteur à regler </t>
  </si>
  <si>
    <t xml:space="preserve">BRICKMANN </t>
  </si>
  <si>
    <t>RV2 (rouleau d'alignement avant S2), moteur HS</t>
  </si>
  <si>
    <t xml:space="preserve">rQM5, remplacer les roulements des noix </t>
  </si>
  <si>
    <t>transfer alimentation Gubiche voir pour changer les chaines</t>
  </si>
  <si>
    <t>SW empileuse : frein moteur lame 4 HS</t>
  </si>
  <si>
    <t>salle de réunion cote deck, tous les néons HS, pose goulotte commandée en mai</t>
  </si>
  <si>
    <t>Weinig, Pignon moteur de l'extracteur à changer</t>
  </si>
  <si>
    <t>Poste 3 SW, Le marquage automatique des causes d'arrêts ne fonctionne plus</t>
  </si>
  <si>
    <t>Canter, Se3, Les plaqueurs ne fonctionnent pas correctement</t>
  </si>
  <si>
    <t>Bande BT1 fissurée</t>
  </si>
  <si>
    <t>Déligneuse Söderhamn, Refaire connection des 3 cellules sous la passerelle + protection par le haut</t>
  </si>
  <si>
    <t>PAG U, FL1, Ejecte mal avec les bois courts</t>
  </si>
  <si>
    <t>tension des chaînes moteurs de Rqm1 et 2</t>
  </si>
  <si>
    <t>Rqm1, pignon moteur HS</t>
  </si>
  <si>
    <t xml:space="preserve">850hw, remplacer le guidage linéaire des fourches </t>
  </si>
  <si>
    <t xml:space="preserve">Alimentation billons, Sb5, mise en place d'axes de galets excentriques </t>
  </si>
  <si>
    <t>QM17 dernière chaine otée : remplacer les 3 premières chaines</t>
  </si>
  <si>
    <t>Dél. LINCK</t>
  </si>
  <si>
    <t>guide bois  à galets(chaîne à toit, rouleau d' alignement)à surélever de 2 ou 3 cm "voir josé"</t>
  </si>
  <si>
    <t>VOIR POUR L AXE DU BAS LA PORTE DES ROULEMENT</t>
  </si>
  <si>
    <t>Schilcher, Boxe 22, Ejecteur HS</t>
  </si>
  <si>
    <t>Silo plaquette, remettre du bois pour refaire le mur</t>
  </si>
  <si>
    <t>Axe 46, Se2 Largeur, problème de positionnement</t>
  </si>
  <si>
    <t>Tuyau du graissage couper bras de centrage Zv10 2°</t>
  </si>
  <si>
    <t>Ad1 glissière a changer 1° bras</t>
  </si>
  <si>
    <t xml:space="preserve">Déligneuse linck, modif pneumatiques </t>
  </si>
  <si>
    <t>350HW, 1 courroie à changer (7m)</t>
  </si>
  <si>
    <t>Weinig, Mettre en place un tendeur pneumatique pour tendre les chaînes des trains de rouleaux au niveau du cerclage et du poste de mise en botte</t>
  </si>
  <si>
    <t>Fenêtre de toit au niveau de la déligneuse Linck, fixation HS (reste ouverte en permanence)</t>
  </si>
  <si>
    <t>Ecodis</t>
  </si>
  <si>
    <t xml:space="preserve">Weinig, protection du train de rouleaux d'évacuation des colis au niveau des pignons </t>
  </si>
  <si>
    <t>Bacs, mise en route des pompes de brassage</t>
  </si>
  <si>
    <t>HW, sortie directe, faire un support couvert pour cercleuse manuelle</t>
  </si>
  <si>
    <t>Av1, Tôle de protection (déflecteur) après Av1 coté droit HS</t>
  </si>
  <si>
    <t xml:space="preserve">Tubulator 170, remettre toutes les plaques en place </t>
  </si>
  <si>
    <t xml:space="preserve">BANDE 470, bande déchirée </t>
  </si>
  <si>
    <t>SRM à faire</t>
  </si>
  <si>
    <t>SRM fait</t>
  </si>
  <si>
    <t>PBL à faire</t>
  </si>
  <si>
    <t>PBL fait</t>
  </si>
  <si>
    <t>SKE à faire</t>
  </si>
  <si>
    <t>Weinig, Moteur du poste de tronçonnage HS</t>
  </si>
  <si>
    <t>graissage chaine RQM3 à remettre en bon état</t>
  </si>
  <si>
    <t>Tendre chaine moteur RQM2</t>
  </si>
  <si>
    <t xml:space="preserve">L'entrée de câble à la prise de courent du P,C est défectueuse: à réparer  Weinig </t>
  </si>
  <si>
    <t>trou dans le vibreur 510</t>
  </si>
  <si>
    <t>Fuite hydraulique sous démeleur 2</t>
  </si>
  <si>
    <t>F1</t>
  </si>
  <si>
    <t>Contrôler les courroies des fraises 1 et 2</t>
  </si>
  <si>
    <t>F2</t>
  </si>
  <si>
    <t>MKV, Le manchon du bas est dur à oter (bavure sur la clavette ou sur l'arbre?)</t>
  </si>
  <si>
    <t>Sb2, Ajouter une protection au répartiteur de graissage</t>
  </si>
  <si>
    <t>Weinig, capot moteur pignon HS, protection extracteur</t>
  </si>
  <si>
    <t>Dv1, Coller les vis des roulements linéaires (entrée droit)</t>
  </si>
  <si>
    <t>Qm8, Mettre en place des vis fraissées pour la fixation des tôles de Qm8</t>
  </si>
  <si>
    <t>Pignon des donneurs de Qm2 HS sur la 3° et 4°</t>
  </si>
  <si>
    <t xml:space="preserve">connexes, tubulator 587, remettre la vis de nettoyage en état </t>
  </si>
  <si>
    <t>Schilcher : sectionneur 2070 à changer</t>
  </si>
  <si>
    <t>Sectionneur 2040 schilcher accroches HS</t>
  </si>
  <si>
    <t xml:space="preserve">Scierie, Zd1, revoir le graissage de la chaîne tapis </t>
  </si>
  <si>
    <t>Canter, SR2, Ressouder un morceau de spirale sur le 6ème rouleaux</t>
  </si>
  <si>
    <t xml:space="preserve">weinig, meuler les fers qui dépacent au sol sous ola cercleuse </t>
  </si>
  <si>
    <t xml:space="preserve">Costa, manque une plaque au dessus de la amchine </t>
  </si>
  <si>
    <t>Schilcher, Plancher empileuse à réparer</t>
  </si>
  <si>
    <t>ANDLAUER</t>
  </si>
  <si>
    <t>2 roulettes à changer sur escabeau d'Antoine aux étiquettes</t>
  </si>
  <si>
    <t>logistique</t>
  </si>
  <si>
    <t>Sb5, Sb décallé et glissières usées, Voir pour réaligner le SB</t>
  </si>
  <si>
    <t>Manque capot moteur</t>
  </si>
  <si>
    <t>Fixation néon</t>
  </si>
  <si>
    <t>SW 4110, Plaque protection moteur à refixer</t>
  </si>
  <si>
    <t>HW270, 3ème palier HS (courroie axe du haut)</t>
  </si>
  <si>
    <t>Rapprocher la bas-flanc de 10 cm contre les bavettes</t>
  </si>
  <si>
    <t>Broyeur 260, Remplacer le joint-spie du motoréducteur d'avance des rlx inferieurs</t>
  </si>
  <si>
    <t xml:space="preserve">Me7, les soufflettes ne marchent plus </t>
  </si>
  <si>
    <t>tivelière de la montée/descente du train de rouleaux 06 HS. Axe cassé en prévoir un pour le stock + faire d'avance la bielle de AR6</t>
  </si>
  <si>
    <t>COSTA</t>
  </si>
  <si>
    <t>démèleur 1170-1180 charpente fissurer dans le fond du démèleur, dernier brin à gauche -&gt; faire contrôle complet</t>
  </si>
  <si>
    <t>290   bande 1 sur coté scie se décolle</t>
  </si>
  <si>
    <t>Costa, Train de rouleaux 06, voir pour le reglage de la hauteur et descente</t>
  </si>
  <si>
    <t>SW : box 23 oreille + axe HS (pas d'origine)</t>
  </si>
  <si>
    <t>ZONE</t>
  </si>
  <si>
    <t>n°</t>
  </si>
  <si>
    <t xml:space="preserve">Poste 3HW, bande 330 se décolle </t>
  </si>
  <si>
    <t>Alimentation billons, Rqm7, chaine cassée</t>
  </si>
  <si>
    <t>Weinig, Vis de la poutre de maintien des rouleaux du haut coté sortie machine HS</t>
  </si>
  <si>
    <t>SW sous BT10 : fuite graissage centralisé</t>
  </si>
  <si>
    <t>Sb2, Fissure à la connexion des tubes et des tôles</t>
  </si>
  <si>
    <t>Weinig, Vitre de la cabine entrée machine à remettre en état</t>
  </si>
  <si>
    <t>Bureau production, Salle serveur, Faux contact interupteur</t>
  </si>
  <si>
    <t>Lumiere HS sur les 2 transferts 720 sortie Bth4 &amp; 5</t>
  </si>
  <si>
    <t>ASPIRATION STENNER COUPE CERCUIT HS + TENDRE LES COUROIE</t>
  </si>
  <si>
    <t>740SW, Guide chaîne à refixer</t>
  </si>
  <si>
    <t>Romain</t>
  </si>
  <si>
    <t>S39/2012</t>
  </si>
  <si>
    <t>Philippe</t>
  </si>
  <si>
    <t xml:space="preserve">remettre des courroie de reserves sur l'axe </t>
  </si>
  <si>
    <t>Clanche de la porte de sécurité Sw à refaire (Tordu) Poste 1 démeleur</t>
  </si>
  <si>
    <t>Cercleuse hw marche pied cassé à souder (pour acceder à la tête)</t>
  </si>
  <si>
    <t>Réparer Bt2 (bande mitraille)</t>
  </si>
  <si>
    <t>Ressouder  butée kl3</t>
  </si>
  <si>
    <t>As1, changer axe trasmission</t>
  </si>
  <si>
    <t>S2, Moteur de la fraise en bas à droite, roulement coté fraise HS</t>
  </si>
  <si>
    <t>Bac de traitement, Remettre en état les ficelles de déclenchement de cycles</t>
  </si>
  <si>
    <t>Canter, Dv2-Av3, Rehausser le guide</t>
  </si>
  <si>
    <t>MKV, Courroie MK du haut à changer</t>
  </si>
  <si>
    <t>Weinig, Rouleau acompagnateur des bottes HS (avant cercleuse)</t>
  </si>
  <si>
    <t>variateur se met en défaut souvent , obligé de reseter.</t>
  </si>
  <si>
    <t>PAG U, Raclette Kf3 (taquets HS+ glissière HS)</t>
  </si>
  <si>
    <t>empileuse au donneur, couper une tôle cassée +souder  ou fixer une autre tôle au niveau 4,00 mètre</t>
  </si>
  <si>
    <t>Stenner, Dépileur, voir pour faire une protection pour que les lattes et les carrelets ne tombent pas entre le transfert et le panneau inclinable</t>
  </si>
  <si>
    <t>Zv1 revoir le jeu au rouleau Zv1 (3° bras coté droit) clavetage ou axe Hs</t>
  </si>
  <si>
    <t>Eté</t>
  </si>
  <si>
    <t>SW, Bas-flancs cassé entre  le transfert 8 et 720SW</t>
  </si>
  <si>
    <t>un rouleau BT2 à refixer</t>
  </si>
  <si>
    <t>Table de sortie, Remettre à l'état standard la vitesse de la table de sortie</t>
  </si>
  <si>
    <t xml:space="preserve">chaîne de triage, manque un taquet </t>
  </si>
  <si>
    <t>Trieur, vérifier positionnement et axes des retourneurs poste 2 HW</t>
  </si>
  <si>
    <t>Trieur HW</t>
  </si>
  <si>
    <t xml:space="preserve">Expédition, remettre le coffret de la pompe de relevage en état </t>
  </si>
  <si>
    <t>Costa, Table d'éjection après l'extracteur, voir pour renforcer la table</t>
  </si>
  <si>
    <t>PAG U, Détecteur de mitraille, Pb de détection avec les grosses pattes</t>
  </si>
  <si>
    <t>Canter, Ar5, Fuite sur graissage centralisé</t>
  </si>
  <si>
    <t>Canter, Joint de porte de la cabine de pilotage HS</t>
  </si>
  <si>
    <t>HW110, Remplacer les ertalons</t>
  </si>
  <si>
    <t>PAG U, Ejecteur du boxe 49 à remettre en état</t>
  </si>
  <si>
    <t>Ligne de tri</t>
  </si>
  <si>
    <t>Holtec, Remettre en état la bielle du vibrant</t>
  </si>
  <si>
    <t>Deligneuse Soderhamn, Resouder la tole de protection anti-fouettement sur le garde corps devant les lames</t>
  </si>
  <si>
    <t>Empileuse HW, Coulisseau à remettre en état, Démonter un en état pour servir de modèle</t>
  </si>
  <si>
    <t>Poste gradeur 3 PP raccourcir la 1ere chaîne ( 340 ) de manière que la chaîne et le pignon soient noyés entre les deux flasques de protection idem poste 2 Sw, poste 2 PP et poste 3 SW</t>
  </si>
  <si>
    <t>Sb2, 1 Chaîne cassée</t>
  </si>
  <si>
    <t>2005SW, Fuite d'huile sur le moteur de la bande 2005 (bande SW vers Schilcher)</t>
  </si>
  <si>
    <t>buttée d'alignement colis fonctionne mal . A verifier</t>
  </si>
  <si>
    <t>PAG RQM3 soudures dans la charpente coté Brucks + tôles</t>
  </si>
  <si>
    <t xml:space="preserve">Stenner, refaire le support de la cellule d'ejection </t>
  </si>
  <si>
    <t>Alimentation billons, remplacer les silentblocs moteur Kl6</t>
  </si>
  <si>
    <t>Cercleuse SW, Vérin chambre HS - Urgent</t>
  </si>
  <si>
    <t>Elévateur 34. Les fourches ne sont plus bloquées mais attachées avec du feuillard (problème de loquet)</t>
  </si>
  <si>
    <t>Portique, Groupe hydraulique de la pince bouge</t>
  </si>
  <si>
    <t>Ligne de sciage</t>
  </si>
  <si>
    <t>Refaire les bavettes à la sortie de S1</t>
  </si>
  <si>
    <t>Ligne Canter</t>
  </si>
  <si>
    <t>Prévoir de changer Bt51</t>
  </si>
  <si>
    <t>Dv1, Fuite sur le moteur hyraulique</t>
  </si>
  <si>
    <t>Canter, Se2, Fissures sur les tôles sous la chaîne au niveau des nervures</t>
  </si>
  <si>
    <t xml:space="preserve">Déligneuse Söderhamns, remplacer le filtre d'aspiration d'air des barrières de mesure </t>
  </si>
  <si>
    <t>Alimentation billons, Sb2, fixation du grillage HS</t>
  </si>
  <si>
    <t>SW, Dépileur, le dépilage automatique ne fonctionne pas</t>
  </si>
  <si>
    <t>Canter, Bt4, Le moteur bouge, axe voilé?</t>
  </si>
  <si>
    <t>Stenner, Voir pour refaire un pupitre (THOMAS)</t>
  </si>
  <si>
    <t>support cellule SE3 cote droite h,s</t>
  </si>
  <si>
    <t>Remise en état des bras de réglage de la largeur du couloir d'alimentation au niveau du train de rouleaux 02 + voir pour changer le volant de réglage</t>
  </si>
  <si>
    <t>Presseur lattéral fixation HS il est de travers</t>
  </si>
  <si>
    <t>Kl2, Manque ertalon sous taquet</t>
  </si>
  <si>
    <t>resouder déflecteur réception chute 360</t>
  </si>
  <si>
    <t>cone 360 courçons</t>
  </si>
  <si>
    <t xml:space="preserve">costa, recouper les chaînes avant le poste qualité </t>
  </si>
  <si>
    <t>Bras A05 long ne sert pas à chaque fois dans les 6 m</t>
  </si>
  <si>
    <t>Alimentation billon, Kl5, Ski à remplacer à l'entrée du retour</t>
  </si>
  <si>
    <t>Brickmann</t>
  </si>
  <si>
    <t>Weinig, Rouleau acompaganteur des bottes à refixer</t>
  </si>
  <si>
    <t>Se1, 4ème rouleau presseur de Se1 à remettre en état (axe)</t>
  </si>
  <si>
    <t>Canter, Système de fermeture de la porte donnant vers l'alimentation billlon à réparer</t>
  </si>
  <si>
    <t>Ejecteur Brucks 2 partie, manque 1 vis sur un bras</t>
  </si>
  <si>
    <t>emp HW</t>
  </si>
  <si>
    <t>Pignon moteur coté Strasbourg voie rapide à changer</t>
  </si>
  <si>
    <t>Changement des rouleaux ZV 5 + AV 4</t>
  </si>
  <si>
    <t xml:space="preserve">Bth4, BTh5, redresser tôlage entre les chaînes du transfert à toit 720 + tension des chaînes </t>
  </si>
  <si>
    <t>AMK</t>
  </si>
  <si>
    <t>Mettre un sectionneur au niveau du deck 2 de chargement</t>
  </si>
  <si>
    <t>Redresser les supports SPRINKLER entre détecteur à métaux et écorceuse</t>
  </si>
  <si>
    <t>bande bt1 :  soudure déchirée</t>
  </si>
  <si>
    <t>alimentation bt1</t>
  </si>
  <si>
    <t>Weinig, Tendeur moteur du train de rlx avant le poste de tronçonnage à refaire</t>
  </si>
  <si>
    <t>SOUDURE BANDE BT1 A REPRENDRE, ARRET TECHNIQUE</t>
  </si>
  <si>
    <t>Deligneuse Linck, Retendre chaine à taquets Qm17</t>
  </si>
  <si>
    <t>SP</t>
  </si>
  <si>
    <t>Grille de sécurité modifier la fixation pour les deux blocs on ne voit pas les mires</t>
  </si>
  <si>
    <t>Lumières au dessus du dépileur HS</t>
  </si>
  <si>
    <t xml:space="preserve">Une entrée de câble à une électrovanne en sortie du transfert Weinig est défectueuse à réparer </t>
  </si>
  <si>
    <t>Renomer les onglets</t>
  </si>
  <si>
    <t>Déplacer les onglets</t>
  </si>
  <si>
    <t>Costa, Tuyau d'air pour les sécurités des lames à remettre en place</t>
  </si>
  <si>
    <t>Empileuse HW 780 en défaut en automatique</t>
  </si>
  <si>
    <t>Empileuse HW  SPM 522 defaut récurant sur le pupitre</t>
  </si>
  <si>
    <t xml:space="preserve">F1, F2, remplacer la glissière support cellule </t>
  </si>
  <si>
    <t>PAG U, éjecteur 28 (box 53) disjoncte</t>
  </si>
  <si>
    <t>ANV1, remettre en état codeur et fonctionnement et déplacement ANV1 long</t>
  </si>
  <si>
    <t>Remettre en état ertalon Qm8</t>
  </si>
  <si>
    <t>Déligneuse soderhamms, capot des scies, la clanche ne ferme plus correctement</t>
  </si>
  <si>
    <t>soderhamms</t>
  </si>
  <si>
    <t>Rqm4 Rqm5 remettre la tole entre Rqm4 et Rqm5 au niveau de l'axe coté MUTZIG</t>
  </si>
  <si>
    <t>Bouton sur la télécommande (avance springer H.S.)</t>
  </si>
  <si>
    <t>Première butée chariot ANH2 ne remonte pas (hydraulique)</t>
  </si>
  <si>
    <t>weinig renforce les bras de chaine de qm5 pour que les bottes ne se d esaligne plus</t>
  </si>
  <si>
    <t>refente aspiration : fuite en haut du grans cyclone urgent</t>
  </si>
  <si>
    <t>refente aspiration : 2 grosse fuite de scieur en dessous du grand cyclone urgent</t>
  </si>
  <si>
    <t>Changer vérin XR2 de gauche et mettre vérin en stock.</t>
  </si>
  <si>
    <t>caisse éjecteurs 45/46 a régler</t>
  </si>
  <si>
    <t xml:space="preserve">alimentation </t>
  </si>
  <si>
    <t>Pignon moteur à refixer et accouplement à vérifier</t>
  </si>
  <si>
    <t>Dernière chaine de biais sous AD1 à recentrer</t>
  </si>
  <si>
    <t>Arbre d'entrainement transfer devant AR5, 5e brin palier HS côté Strasbourg</t>
  </si>
  <si>
    <t>AR5</t>
  </si>
  <si>
    <t>Chaine sous ANV1 à retendre</t>
  </si>
  <si>
    <t>ANV1</t>
  </si>
  <si>
    <t>Retendre chaine Rqm3</t>
  </si>
  <si>
    <t xml:space="preserve">Boxe mitraille, remettre des caillebotis de la passerelle en état </t>
  </si>
  <si>
    <t>Bande Brucks 230, Capot moteur à remettre en état + goulotte des chutes à ressouder - (DOUBLE AVEC 1725)</t>
  </si>
  <si>
    <t>Bande Brucks 230, Carter de protection HS - (DOUBLE AVEC 2959)</t>
  </si>
  <si>
    <t>PAG U, Nicholson, Pb d'écorcage</t>
  </si>
  <si>
    <t>STENNER ASPIRATION FIUTE AU DESSUS DES EMPILEUR</t>
  </si>
  <si>
    <t>COSTA ASPIRATION, FUITE IMPORTANTE AU NIVEAUX DE LA TURBINE</t>
  </si>
  <si>
    <t>ASPIRATION FIUTE AU GRAND CYCLONE</t>
  </si>
  <si>
    <t>grandes longueurs refaire guide table</t>
  </si>
  <si>
    <t>PAG U,  Courroie KR1 HS + contrôle des poulies (usure + alignement)</t>
  </si>
  <si>
    <t>RC KR2 : les positions réelles du RC ne correspondent pas aux consignes + vérifier fixations RC</t>
  </si>
  <si>
    <t>Costa, Bande butée du train de rouleaux en bas ne marche pas</t>
  </si>
  <si>
    <t>Weinig, Toupie gauche ne monte plus</t>
  </si>
  <si>
    <t>HW550, Défaut variateur dans les bois lourds</t>
  </si>
  <si>
    <t xml:space="preserve">TRIMMER SW, remplacer les chaînes à taquets </t>
  </si>
  <si>
    <t>Etnachéité premier vérin FL1 à refaire</t>
  </si>
  <si>
    <t>Canter, controler l'arrêt de l'avance de la précoupe lors d'un arrêt Brucks</t>
  </si>
  <si>
    <t>REFAIRE SOUDURE ENTRE 5E PIED DU CHASSIS COTE VALLEE ET REBORD</t>
  </si>
  <si>
    <t>KL1A</t>
  </si>
  <si>
    <t>Changer le ferplat de glissement</t>
  </si>
  <si>
    <t>Isoler les flexibles au niveau du premier vérin ANH2</t>
  </si>
  <si>
    <t>3 taquets avec support à resouder + 1 taquet à coller qm12</t>
  </si>
  <si>
    <t>déligneuse Linck</t>
  </si>
  <si>
    <t>rqm6 tôle de la 3e chaine</t>
  </si>
  <si>
    <t>huile sort : problème récurant</t>
  </si>
  <si>
    <t>Balz</t>
  </si>
  <si>
    <t>déligneuse Söderhamns, chaine d'entrée avant  les lames à changer</t>
  </si>
  <si>
    <t>Weinig, Modifier le tôlage sous le poste de tronçonnage (tôle à la place de l'ertalon)</t>
  </si>
  <si>
    <t xml:space="preserve">Kr2, remettre une scie en état </t>
  </si>
  <si>
    <t>Tubulator 586 la petite vis sans fin qui evacue la sciure vers l'aspiration est hs</t>
  </si>
  <si>
    <t>Demande une table élévatrice a rouleau pour le recyclage</t>
  </si>
  <si>
    <t>José</t>
  </si>
  <si>
    <t>SW07, Courroie du 2ème rouleau à changer + vérifier les autres</t>
  </si>
  <si>
    <t>Sb5, Sb6, Sb7, Tuyaux de graissage des galets HS</t>
  </si>
  <si>
    <t xml:space="preserve">Installer un extracteur en facade de la porte, canaliser le flux par un conduit au dessus de la porte </t>
  </si>
  <si>
    <t>poste H,T ,</t>
  </si>
  <si>
    <t>AR12</t>
  </si>
  <si>
    <t>Manque taquets</t>
  </si>
  <si>
    <t>Qm14</t>
  </si>
  <si>
    <t>Qm17</t>
  </si>
  <si>
    <t>Souder chemin de câble (tube) des cellules sur la table (à droite du vérin)</t>
  </si>
  <si>
    <t>Portique, Roulettes de la guirlande HS</t>
  </si>
  <si>
    <t>Portique, Caméra Nord-Est ne fonctionne pas</t>
  </si>
  <si>
    <t>Hall de traitement, Remise en état des ficelles de déclenchement des cycles de traitement</t>
  </si>
  <si>
    <t>"Urgent" galet sur table intermé Hs</t>
  </si>
  <si>
    <t>RR + PD</t>
  </si>
  <si>
    <t>changer bande SR2 poste de fraisage</t>
  </si>
  <si>
    <t>ligne canter</t>
  </si>
  <si>
    <t>jeu dans les bras de VZ1</t>
  </si>
  <si>
    <t>Canter, Bt51, déchirée</t>
  </si>
  <si>
    <t>Brucks</t>
  </si>
  <si>
    <t>Cercleuse SW, déplacer la cellule 1250 BT1</t>
  </si>
  <si>
    <t>Alimentation billon, Kl6, Retour HS</t>
  </si>
  <si>
    <t>Costa, Guide Chaîne du dépileur, Manque un morceau + tendre la chaîne</t>
  </si>
  <si>
    <t>Costa, Refaire les fermetures de sécurité HS des poertes du haut</t>
  </si>
  <si>
    <t>BATIMENT REFENTE NETTOIYAGE DU TOIT + FUITE D EAU SUR LES MACHINE</t>
  </si>
  <si>
    <t>Aspiration costa, le moteur chauffe beaucoup</t>
  </si>
  <si>
    <t>tuyau d' air alimentant dispatcheur percé, à changer</t>
  </si>
  <si>
    <t>Chaîne devant déméleur empileuse à couper et tendre(racourcir).URGENT</t>
  </si>
  <si>
    <t xml:space="preserve">KL1 B coter voie rapide ressoude les barrieres jaune </t>
  </si>
  <si>
    <t>µLe lattage tous les 40 cm</t>
  </si>
  <si>
    <t>Dépileur changer le palier coté réducteur</t>
  </si>
  <si>
    <t>Agrandir crénoline de l'échelle d'accès Kf6</t>
  </si>
  <si>
    <t>Deligneuse Linck:Refaire le revetement gravillonné sur le rouleau SA1</t>
  </si>
  <si>
    <t>Deligneuse Linck</t>
  </si>
  <si>
    <t>Se2, Main courante au dessus de Se2 à ressouder</t>
  </si>
  <si>
    <t>Tamis Brucks 566, Modifier le passage de câble électrique (coté toiture)</t>
  </si>
  <si>
    <t>110HW, barre de renfort à ressouder (1ère chaine)</t>
  </si>
  <si>
    <t>Brucks 190 &amp; 190.1, Changer les chaînes existantes</t>
  </si>
  <si>
    <t>Refente, Vibreur n°4, Remise en état des roulements de la bielle</t>
  </si>
  <si>
    <t>Les vis des taquets de Qm33 sont à resserrer</t>
  </si>
  <si>
    <t>baumann 48</t>
  </si>
  <si>
    <t xml:space="preserve">Fuite d'huile sur les 2 stabilisateurs de la fuchs </t>
  </si>
  <si>
    <t>somatec</t>
  </si>
  <si>
    <t>Weinig, Changer les presseurs vulcanisé après les scies (dans la machine)</t>
  </si>
  <si>
    <t>Detecteur de surhauteur coté V rapide tube HS + redresser</t>
  </si>
  <si>
    <t>alim billon</t>
  </si>
  <si>
    <t>Support detecteur de mitraille entre vibreur 510 et broyeur 530 HS</t>
  </si>
  <si>
    <t>vitre surhauteur dv1 ( lv1 ) fissure</t>
  </si>
  <si>
    <t>Rajouter un miroir sur le mur au niveau des abouteuses pour que l'on puisse voir la bande en-dessous. Voir avec Mustapha pour l'emplacement exact</t>
  </si>
  <si>
    <t>HW EMPILEUSE</t>
  </si>
  <si>
    <t>Tendeur sur démêleur haut 3e chaine HS</t>
  </si>
  <si>
    <t>EMPILEUSE SW</t>
  </si>
  <si>
    <t>Canter, Chape du vérin du centreur n°4 à changer</t>
  </si>
  <si>
    <t>Brucks 310, La jonction se décolle</t>
  </si>
  <si>
    <t>Fers plats LV3 devant les passages de chaîne RQM5 à rehausser</t>
  </si>
  <si>
    <t>Bas falc BT1 à ressouder + galets de guidage à remettre</t>
  </si>
  <si>
    <t>Taquets RQM3 à réaligner</t>
  </si>
  <si>
    <t>Fers plats de glissement sous taquets RQM3 à remetttre</t>
  </si>
  <si>
    <t>Charpente sous RQM3 à ressouder</t>
  </si>
  <si>
    <t>Silent bloc sous brucks a controler</t>
  </si>
  <si>
    <t>Fers plats de glissement sous KL2 à remettre</t>
  </si>
  <si>
    <t>WC coté affutage 1 robinet poussoir HS</t>
  </si>
  <si>
    <t>As1</t>
  </si>
  <si>
    <t>Soudure 1er éjecteur, 1er bras</t>
  </si>
  <si>
    <t>Changer axe et rotule 2e éjecteur 2e bras</t>
  </si>
  <si>
    <t xml:space="preserve">Costa, roulette du Kienzle ne marche plus </t>
  </si>
  <si>
    <t>refaire chemin de cable alimentation moteur RQM 4</t>
  </si>
  <si>
    <t>aligner table empileuse(des lattes servent à aligner actuellement)</t>
  </si>
  <si>
    <t>HW, Dépileur, le dépilage automatique ne fonctionne pas</t>
  </si>
  <si>
    <t>Tôles canal Bt2 droites à ressouder</t>
  </si>
  <si>
    <t>Vérifier réducteur Be1 + fixation + tension chaîne</t>
  </si>
  <si>
    <t>Changer 2eme partie axe ejecteur brucks + brides des bras</t>
  </si>
  <si>
    <t>Affutage</t>
  </si>
  <si>
    <t>Affutage, Réparation de l'électrovanne de la walter</t>
  </si>
  <si>
    <t>Remplacer les étiquettes des boutons d'éclairage sur les cofrrets -&gt; étiquettes gravés</t>
  </si>
  <si>
    <t xml:space="preserve">SW950, 950M1, remplacer le réducteur et remettre celui qui est en place en état </t>
  </si>
  <si>
    <t>20SW, Remplacer les ertalons sur les chaînes à toit</t>
  </si>
  <si>
    <t>Empileuse SW, 1210sW, 11ème chaîne à changer</t>
  </si>
  <si>
    <t>HW140, Chaînes à tendre</t>
  </si>
  <si>
    <t>hw, passerelle 2 au niveau du transfert mobile empileuse, néon HS</t>
  </si>
  <si>
    <t>déligneuse Linck, Zv10, remplacer les deux vérins HS</t>
  </si>
  <si>
    <t>Brucks 587 &amp; 607, Remettre en état les trappes d'accès des tubulators (au sommet de la tour)</t>
  </si>
  <si>
    <t>PAG U, Chaîne de tri à tendre</t>
  </si>
  <si>
    <t>Poste 2 SW, 3 néons HS</t>
  </si>
  <si>
    <t>Alimentation billon, Kl2, Retour HS</t>
  </si>
  <si>
    <t>trieurs, sous empileuses, terminer le cablage des portes de sécurité</t>
  </si>
  <si>
    <t>PAG U, Pince sortie Kr2 à remettre en état</t>
  </si>
  <si>
    <t xml:space="preserve">Stenner, raboter le plancher entre la passerelle du stenner et de l'escalier au dessus de la bande des lattes </t>
  </si>
  <si>
    <t>HOLTEC URGENT CHANGE LE TENDEUR DE LA CHAINE DE TRONCONNEUSE</t>
  </si>
  <si>
    <t>Renforcer les tôles de réception  du transfert à toit 90 sur HW</t>
  </si>
  <si>
    <t>Unité Lattes, Glissières des scies mobiles, Joint HS</t>
  </si>
  <si>
    <t>Del Soderhamn, Glissière de la chaîne du séparateur à changer</t>
  </si>
  <si>
    <t>Boxe mitraille, valider fonctionnement éjection boxe mitraille</t>
  </si>
  <si>
    <t>retendre chaine AQH1</t>
  </si>
  <si>
    <t>Bac n°6, pas d'infos au kientzle</t>
  </si>
  <si>
    <t>Portique, Prévoir le remplacement des silentblocs de cabine</t>
  </si>
  <si>
    <t>Costa, Pupitre du dépileur cassé à changer</t>
  </si>
  <si>
    <t xml:space="preserve">Repositionner correctement le conducteur dans la borne et supprimer les empreintesde sertissage des cosses </t>
  </si>
  <si>
    <t xml:space="preserve">poste 2 HT </t>
  </si>
  <si>
    <t>PAG U - Be1, Capot codeur à refixer</t>
  </si>
  <si>
    <t>LOGISTIQUE baumann n°47 : frein de stationnement, roulettes ARG et AVG</t>
  </si>
  <si>
    <t>Brucks, Tubulator 10, Les rouleaux de sortie ne tournent plus</t>
  </si>
  <si>
    <t>Alimentation AS3</t>
  </si>
  <si>
    <t>Demande une caméra pour surveiller l'entrée du broyeur</t>
  </si>
  <si>
    <t>Feu flash lorsque la bande 300 s'arrête</t>
  </si>
  <si>
    <t>Remplacer les vis de la butée Az1</t>
  </si>
  <si>
    <t>Mettre + de poids car défaut cellule sur retourneur</t>
  </si>
  <si>
    <t>Silos, remettre les cloisons en état</t>
  </si>
  <si>
    <t>PAG U, Déboucher le regard derrière la station</t>
  </si>
  <si>
    <t>SCHILCHER : soucis automate quand les box sont plein il faut faire un reset general</t>
  </si>
  <si>
    <t>PAG U, Bt 2, Remettre en état les silentblocs HS</t>
  </si>
  <si>
    <t>empileuse,table à réaligner + voir galet</t>
  </si>
  <si>
    <t>Régler temps de descente du deuxième rouleau supérieur entrée ZD2</t>
  </si>
  <si>
    <t>Canter 2</t>
  </si>
  <si>
    <t>weinig, la roulette de l'analyseur de production est HS</t>
  </si>
  <si>
    <t>PAG U, Kl1, Glissière d'entrée à changer</t>
  </si>
  <si>
    <t>Glissière de montée de la règle à changer</t>
  </si>
  <si>
    <t>SCHILCHER, retendre les chaînes du transfert 2050</t>
  </si>
  <si>
    <t xml:space="preserve">Costa, aspiration fuite au coude au dessus de la machine scieur </t>
  </si>
  <si>
    <t xml:space="preserve">Aspiration, remplacement des sacs du filtre </t>
  </si>
  <si>
    <t>Alimentation billons, remplacer le retour de KL4</t>
  </si>
  <si>
    <t>Double éjection dans le brucks (bras ne redescend pas)</t>
  </si>
  <si>
    <t>Brucs</t>
  </si>
  <si>
    <t>Schilcher, Refaire le plancher du trieur Schilcher sous le rouleau d'alignement et le transfert (après la bande springer étage 2)</t>
  </si>
  <si>
    <t xml:space="preserve">Schilcher, HERISSON qualité à retendre </t>
  </si>
  <si>
    <t>Bt52, poignée HS</t>
  </si>
  <si>
    <t>Remettre limiteur de capacités sur les câbles</t>
  </si>
  <si>
    <t>Kf3, raccourcir la chaine + remettre les taquets</t>
  </si>
  <si>
    <t xml:space="preserve">trieur:remettre 2 protection de capteur(cellule) pour les travers .     </t>
  </si>
  <si>
    <t>Schilcher, petite chaîne avant (étage empileuse) ne se règle plus en vitesse</t>
  </si>
  <si>
    <t>schilcher</t>
  </si>
  <si>
    <t xml:space="preserve">remplacer les couplings et les chaînes entre la pince et les crochets </t>
  </si>
  <si>
    <t>Canter GL</t>
  </si>
  <si>
    <t>scie ertalon à changer et a mettre aux cotes justes (voir Marc)</t>
  </si>
  <si>
    <t>empileuse, butée d' alignement (niveau 3,50m) à redresser car casse les latteurs</t>
  </si>
  <si>
    <t xml:space="preserve">consulter le constructeur : pas de limiteur de charge pour un matériel marqué C,E, avec une capacité supérieur à 1000kg </t>
  </si>
  <si>
    <t xml:space="preserve">alimentation billons, remettre la caméra du deck 2 en état </t>
  </si>
  <si>
    <t>Poste 2 retourneur 290 1° courroie encore trop longue</t>
  </si>
  <si>
    <t>bureau, légere fuite sur Sprinkleurs</t>
  </si>
  <si>
    <t>toilette à côté affutage canter et la cave,plus d' eau chaude</t>
  </si>
  <si>
    <t>réédition de l' étiquette 6636:empileuse des colis cerclés de sw  ne fonctionne plus,perte de temps dans les 3,00m (2ans)</t>
  </si>
  <si>
    <t>Changé les joints des arbres de scie de la deligneuse</t>
  </si>
  <si>
    <t>PAG U, Tôle de recouvrement de Bt2 à ressouder</t>
  </si>
  <si>
    <t>Ressouder 2ème éjecteur FL1 sur axe + resserer les paliers.</t>
  </si>
  <si>
    <t>Le cerclage des 5 m ne se fait pas à chaque fois. Problème récurrent, perte de temps</t>
  </si>
  <si>
    <t>PAG U, Premier éjecteur Fl1 dessoudé</t>
  </si>
  <si>
    <t>Refaire toit des groupes hydrauliques</t>
  </si>
  <si>
    <t>Changer embrayage de l'enrouleur cable</t>
  </si>
  <si>
    <t>Weinig, dale en béton à refaire à la sortie des colis</t>
  </si>
  <si>
    <t>Eurovia</t>
  </si>
  <si>
    <t>Alimentation billons, remplacer le retour de KL2</t>
  </si>
  <si>
    <t>Alimentation sous Sb2, support de cable électrique à refixer contre le mur</t>
  </si>
  <si>
    <t xml:space="preserve">Alimentation billons, Rqm7, remplacer les ertalons </t>
  </si>
  <si>
    <t>Zv10, Contrôle et remise en état de l'ensemble des chapes et axes</t>
  </si>
  <si>
    <t>1200SW, Modification des skis</t>
  </si>
  <si>
    <t>Me9, un laser HS</t>
  </si>
  <si>
    <t>Stenner, Capot de protection du ventilateur moteur à refixer (éjecteur)</t>
  </si>
  <si>
    <t>Soir</t>
  </si>
  <si>
    <t>alimentation billons, tuyau d'eau HS à la jonction KL1b - Kl2</t>
  </si>
  <si>
    <t>Stenner, Bloc introducteur, roulement d'un rouleau HS</t>
  </si>
  <si>
    <t>Validation</t>
  </si>
  <si>
    <t xml:space="preserve">bacs, support bêton du bac 1 HS </t>
  </si>
  <si>
    <t>Tendre chaine d'avance côté gauche sous moteur MKV</t>
  </si>
  <si>
    <t>kjshfg</t>
  </si>
  <si>
    <t>fgjhfgjh</t>
  </si>
  <si>
    <t>Arrêt du RL KR2 trop lent avant coupe : vérifier le frein moteur BT2</t>
  </si>
  <si>
    <t>Hw, jonction transfert 100, 115 sous 110, guide chaine 4 et 5 HS, les pièces partent en travers</t>
  </si>
  <si>
    <t>HW</t>
  </si>
  <si>
    <t>poste 1: sous transfert110,roue de guidage chaîne + support HS "urgent"</t>
  </si>
  <si>
    <t>Empileuse Sw, chaine à taquets blancs à retndre</t>
  </si>
  <si>
    <t>Zd1, tôle de protection devant zd1 tordue (obstrue la cellule)</t>
  </si>
  <si>
    <t>poste 4  transfert 390, petite partie guide chaîne su la 1ere chaîne vis+fixation HS (coté opérateur)</t>
  </si>
  <si>
    <t>Sw Boxe 21, fuite sur vérin</t>
  </si>
  <si>
    <t>capot scie poste qualité 2 HS</t>
  </si>
  <si>
    <t>Munich</t>
  </si>
  <si>
    <t>Qm17, fixer un repere à 680 mm de l'axe d'entraînement</t>
  </si>
  <si>
    <t>Costa, Le frein moteur du train de rouleau 06 se dérègle tous le temps - A valider</t>
  </si>
  <si>
    <t>Weinig, Pignon moteur des rouleaux excentrique HS</t>
  </si>
  <si>
    <t>Kf6, La tôle est entrain de percer à la réception de Kf4</t>
  </si>
  <si>
    <t>Kl6, Changer la glissière d'entrée</t>
  </si>
  <si>
    <t>Fl1, 1er éjecteur HS</t>
  </si>
  <si>
    <t>canter alimentation , chaine KL6 changer les plaquesde glissements de chaque coté voir albert</t>
  </si>
  <si>
    <t>Del. Söderhamn, Changer les 2 chaînes avant les scies (1 partie de la1ère chaine à été changée)</t>
  </si>
  <si>
    <t>remettre moteur AV4</t>
  </si>
  <si>
    <t>Schilcher, Courroie plate des rouleaux d'alignement après démêleur HS</t>
  </si>
  <si>
    <t>Empileuse Remettre des courroies sur axe 1190 - SPA 2182 Lw -</t>
  </si>
  <si>
    <t>Se2, Poteau support fissurée - gousset à souder</t>
  </si>
  <si>
    <t>Sr2, sur arbre primaire faire 2 manchons pour faciliter le montage des courroies</t>
  </si>
  <si>
    <t>MKV, Mettre en place un système de blocage des manchons</t>
  </si>
  <si>
    <t>soderhanms</t>
  </si>
  <si>
    <t>sw liaison schilcher tôle de jonction 1087/bande2005 à ressouder</t>
  </si>
  <si>
    <t>fenetre de toit collecteur ne se ferment pas seules</t>
  </si>
  <si>
    <t>9ème rouleau de la guirlande à changer</t>
  </si>
  <si>
    <t xml:space="preserve">AS1, AS2, mettre l'arrivée d'eau en état </t>
  </si>
  <si>
    <t>Canter AR1 rouleau de recentrage gauche à relever</t>
  </si>
  <si>
    <t>Weinig, Fuite d'air au vérin donneur en dessous du train de rouleau d'alimentation</t>
  </si>
  <si>
    <t>déligneuse Linck, zV10, moteur à remplacer</t>
  </si>
  <si>
    <t>Trieur HW, Chaîne des boxes horizontaux à graisser</t>
  </si>
  <si>
    <t>Costa, Fixation du 2ème rouleau dans la machine HS, voir pour la remettre en place il bloque les bois</t>
  </si>
  <si>
    <t>Zd2, tôle de protection coté gauche percée par l'abrasion des plaquettes (actuellement réparation provisoire par l'équipe de nuit)</t>
  </si>
  <si>
    <t>Connexes, fuite au dessus du filtre</t>
  </si>
  <si>
    <t>Local hydraulique 1 (sw &amp; HW) - Mettre en place une prise electrique permetant de bancher l'aspirateur (380V 16A ou 32A)</t>
  </si>
  <si>
    <t>Changer pneu élévateur 68 urgent</t>
  </si>
  <si>
    <t>poste 3, sous le dispatcheur, entrée guide chaîne déssoudé, sous la 5 eme chaîne</t>
  </si>
  <si>
    <t>Auh3, Palier HS (à la gare)</t>
  </si>
  <si>
    <t>Weinig, Table après le dépileur alignement des chaines</t>
  </si>
  <si>
    <t>Ressouder fixation vérin éjecteur brucks</t>
  </si>
  <si>
    <t xml:space="preserve">empileuse HW, remettre les chaînes porte-câbles en état </t>
  </si>
  <si>
    <t xml:space="preserve">SILO plaquettes, remplacer la chaine moteur de la bande plaquettes </t>
  </si>
  <si>
    <t>costa, recouper les chaînes du transfert Qm5</t>
  </si>
  <si>
    <t xml:space="preserve">F2, cellule + protection à remplacer </t>
  </si>
  <si>
    <t>550HW, Renforcer les tôles dans la montée, Goussets à souder comme sur les 1ères tôles</t>
  </si>
  <si>
    <t>transfert 735 premier pignon  + premiere chaine a changer</t>
  </si>
  <si>
    <t>Weinig, Butée de la table de sortie HS - voir pour modifier le système</t>
  </si>
  <si>
    <t>Refixer escalier d'accès à Kl1a</t>
  </si>
  <si>
    <t>Canter, Bande Bt51 déchirée</t>
  </si>
  <si>
    <t>1080SW, Plateforme courson, trou dans le plancher</t>
  </si>
  <si>
    <t>Weinig : Train de rouleaux d'entrée avant la Weinig recoupé toute les chaines</t>
  </si>
  <si>
    <t>Canter, Av4, le rlx de droite a du jeu au niveau du flasque</t>
  </si>
  <si>
    <t>Brucks 570, Boitier électrique du détecteur de rotation HS</t>
  </si>
  <si>
    <t xml:space="preserve">Un couvercle de boite de dérivation est manquant dans le local à côté du local compresseur :remettre en place </t>
  </si>
  <si>
    <t>Costa, Glissière de chaîne à changer sur le transfert d'alimentation (tous les bras)</t>
  </si>
  <si>
    <t>Costa, Transfert de sortie des colis, changer les glissière de tous les bras</t>
  </si>
  <si>
    <t>Schilcher, Ertalon 2 sous bande accélératrice pas fixé</t>
  </si>
  <si>
    <t>OAOB, Table de réception tordu (à redresser)</t>
  </si>
  <si>
    <t>OAOB</t>
  </si>
  <si>
    <t>Connexes, remplacement des vis du vibrant 220</t>
  </si>
  <si>
    <t>Connexes, remplacement des vis du vibrant 240</t>
  </si>
  <si>
    <t>Elevateur 68 porte a reparer</t>
  </si>
  <si>
    <t>Pièces en commande</t>
  </si>
  <si>
    <t>Cercleuse SW</t>
  </si>
  <si>
    <t xml:space="preserve">Weinig, Empileuse, déplacement du chariot, voir pour rechargé la ou pose les galets </t>
  </si>
  <si>
    <t>cercleuse: changer les verrous des portes pour les traverses, s' ouvre avec les viabrations et arrêtent le cycle.</t>
  </si>
  <si>
    <t>TRANSFERT QM9 REFAIRE KALBOTIS</t>
  </si>
  <si>
    <t>Train de rouleau 06 voir pour le tendeur moteur mettre un vérin comme la weinig</t>
  </si>
  <si>
    <t>Chariot ANH2 chassis cassé à la butée des 4m</t>
  </si>
  <si>
    <t>Sur ANH2, manque un ertalon sur la butée des 3 m</t>
  </si>
  <si>
    <t>Remettre support sous bt1</t>
  </si>
  <si>
    <t>Vérifier rail + roue portique côté bruche (limaille)</t>
  </si>
  <si>
    <t>transfert 1100 B5 glissiere s'affaisse Urgent</t>
  </si>
  <si>
    <t>changer toutes les chaines à taquets avant trimmer à l' empileuse</t>
  </si>
  <si>
    <t>Trieur SW, boxe 31, bruit anormal lors de l'ouverture du clapet</t>
  </si>
  <si>
    <t>Redresser les éjecteurs des box 16, 25, 27, 36-37, 43, 46, 50.</t>
  </si>
  <si>
    <t>Recentrer les éjecteurs</t>
  </si>
  <si>
    <t>Scie 360 HW axe moteur roulement à changer</t>
  </si>
  <si>
    <t>Dv1 entrée, Pb de blocage sur le rouleau de droite (Pb hydraulique?)</t>
  </si>
  <si>
    <t xml:space="preserve">Ms1, la jonction se décolle </t>
  </si>
  <si>
    <t>Costa, Table d'empillage des rejets, mettre en place des panneaux</t>
  </si>
  <si>
    <t>Poignée de fermeture de la porte de AV2 côté gauche à changer</t>
  </si>
  <si>
    <t>Démonter et nettoyer les cales d'appui des lames une fois par an</t>
  </si>
  <si>
    <t>trieur HW, laser poste3 à refixer(fixation hs)</t>
  </si>
  <si>
    <t>SENNENBOGEN, n°40, la pince ne tient plus fermée</t>
  </si>
  <si>
    <t>1 pied à ressouder box 55</t>
  </si>
  <si>
    <t>palier 2éme partie BE1 à changer</t>
  </si>
  <si>
    <t>Stenner, Compteur de vitesse ne marche plus</t>
  </si>
  <si>
    <t>MKV, Peigne à refixer + vis à extraire</t>
  </si>
  <si>
    <t>Weinig, changer les glissières sur le transfert d'alimentation</t>
  </si>
  <si>
    <t>Déligneuse Linck, axe moteur rouleau d'entrainement doit être tordu</t>
  </si>
  <si>
    <t>Weinig, Galet presseur sur la toupie droite, roulement HS</t>
  </si>
  <si>
    <t>LOGISTIQUE Fenwick n°59 : révision à faire</t>
  </si>
  <si>
    <t>LOGISTIQUE Fenwick n°60 : vidange moteur à faire</t>
  </si>
  <si>
    <t>Albert</t>
  </si>
  <si>
    <t>Trieur SW, cercleuse, modifier guide chevrons idem cercleuse HW</t>
  </si>
  <si>
    <t>Démêleur SW, poste 1, glissière 1 HS</t>
  </si>
  <si>
    <t>Baumann 48 fuite réducteur ARG - feu ARG HS - pneu ARD entaillé + vérifier les autres - jeu dans le mat</t>
  </si>
  <si>
    <t>Baumann 43 la porte tient avec du feuillard - fau ARD cassé</t>
  </si>
  <si>
    <t>Costa, Frein du dépileur + contacteur à controler (chutes fréquentes de l'ascenseur)</t>
  </si>
  <si>
    <t>Costa, Roulement HS sur les rouleaux d'avance de la Costa</t>
  </si>
  <si>
    <t>Weinig, Tôle au niveau de l'aspiration des lames à changer</t>
  </si>
  <si>
    <t>Del Linck, retendre les courroies du rouleau de sortie (Bt8)</t>
  </si>
  <si>
    <t>Moteur du rouleau sorti bande fraisage Manque courroie d'entrainement</t>
  </si>
  <si>
    <t>Toôle tmbée Qm32B tient sur µ4 vis extraire vis cassée et remettre des neuves</t>
  </si>
  <si>
    <t>Retendre transfert 4130 sur Hw les dernières chaines</t>
  </si>
  <si>
    <t>Hw</t>
  </si>
  <si>
    <t>Weinig, Galet du 3ème bras du dépileur HS</t>
  </si>
  <si>
    <t>Resserer butée frein de figure de tri (volet)</t>
  </si>
  <si>
    <t>oe</t>
  </si>
  <si>
    <t>WEINIG TRANSFER N° 21 CHAINE HS A CHANGER</t>
  </si>
  <si>
    <t xml:space="preserve">recyclage SW, bruit anormal sur chaine d'entrainement roue de recyclage </t>
  </si>
  <si>
    <t>Costa, Sectionneur de l'armoire électrique HS - URGENT</t>
  </si>
  <si>
    <t xml:space="preserve">voicit l'ordre des feuilles : </t>
  </si>
  <si>
    <t xml:space="preserve">cellule de calcul </t>
  </si>
  <si>
    <t>+ syntaxe</t>
  </si>
  <si>
    <t>Canter, Av4, Réducteur HS</t>
  </si>
  <si>
    <t>Réducteur de souche, Fuites hydrauliques</t>
  </si>
  <si>
    <t>weinig, Rqm1, tôle à redresser sur le transfert.</t>
  </si>
  <si>
    <t>trieur SW, revoir la fixation de la tôle aux niveau des noix de retour du trieur</t>
  </si>
  <si>
    <t>?</t>
  </si>
  <si>
    <t>Vérifier</t>
  </si>
  <si>
    <t>Weinig, ajouter un girophare ou une sonnerie plus forte pour le téléphone</t>
  </si>
  <si>
    <t>Costa, Refixer le pupitre poste poseur de lattes</t>
  </si>
  <si>
    <t>Vérifier l'asservissement du positionnement de la Kh</t>
  </si>
  <si>
    <t xml:space="preserve">LOGISTIQUE baumann n°44 : fuite du liquide de refroidissement </t>
  </si>
  <si>
    <t>poste 2 HW, retourneur, 5ème pignon chaine à rouleaux HS sur transfert 250</t>
  </si>
  <si>
    <t>Costa, support du rouleau 08 à refixer</t>
  </si>
  <si>
    <t>courson     remettre en état le plancher (demi-pallier)</t>
  </si>
  <si>
    <t xml:space="preserve">empileur à paquet : ne fonctionne plus en mode automatique </t>
  </si>
  <si>
    <t>cercleuse :réparer porte piéton "de jour"</t>
  </si>
  <si>
    <t>Weinig, Rampe de sécurité, souder la barre du milieu près de l'empileuse</t>
  </si>
  <si>
    <t>Changer enrouleur gros cable portique + mettre bras de force</t>
  </si>
  <si>
    <t>Rail à redresser coté bruche face box 137</t>
  </si>
  <si>
    <t xml:space="preserve">ELV latéraux, 1 faire 1 poignée pour lever le capot moteur, 2 faire 1 marche pied à l'avant de la machine, 3 faire un gabarit pour les traverses à l'arrière </t>
  </si>
  <si>
    <t>JLM</t>
  </si>
  <si>
    <t xml:space="preserve">Supprimer la commande par accrochage </t>
  </si>
  <si>
    <t>OE</t>
  </si>
  <si>
    <t>JS</t>
  </si>
  <si>
    <t xml:space="preserve">STENNER, remettre le kienzle à l'heure </t>
  </si>
  <si>
    <t>Nuit</t>
  </si>
  <si>
    <t>Weinig, Refixer la cellule de l'introducteur hydraulique</t>
  </si>
  <si>
    <t>Changer l'ertalon sur QM8</t>
  </si>
  <si>
    <t>remettre en état les langues de l' empileuse(réglage galets+axe+barrre de liaison)URGENT</t>
  </si>
  <si>
    <t>noix moteur KF5 a recaller</t>
  </si>
  <si>
    <t>PAG V+ PBL</t>
  </si>
  <si>
    <t>Se3, Dernière cellule + support plastique HS (coté gauche)</t>
  </si>
  <si>
    <t>les deux déflecteurs ligne de bois avant démêleur HS</t>
  </si>
  <si>
    <t>Weinig, Vérin presseur HS dans la machine</t>
  </si>
  <si>
    <t>Nombre d'anomalies réparées</t>
  </si>
  <si>
    <t>DD</t>
  </si>
  <si>
    <t>FR</t>
  </si>
  <si>
    <t>Del Linck : remettre capot de protection des courroies des rouleaux, hélicoïdaux à la sortie</t>
  </si>
  <si>
    <t>Del Linck : le séparateur de QM12 ne tient pas en position</t>
  </si>
  <si>
    <t>Holtec, Grille de protection du guide chaîne HS à refaire</t>
  </si>
  <si>
    <t>Del. Söderhamn, 3ème centreur gauche (jeu dans l'axe pivot)</t>
  </si>
  <si>
    <t>Del. Söderhamn, 4ème centreur gauche (jeu dans l'axe pivot)</t>
  </si>
  <si>
    <t>Del Linck, Retendre les chaînes Qm15 à Qm17</t>
  </si>
  <si>
    <t>Empileuse HW, Ensemble du bloc pose latte à du balan</t>
  </si>
  <si>
    <t>Chaine moteur à tendre</t>
  </si>
  <si>
    <t xml:space="preserve">remplacer les fourches ( certificat ) du constructeur </t>
  </si>
  <si>
    <t>fenwick n°59</t>
  </si>
  <si>
    <t>dernière chaine transfert 008 les deux pignons retour H.S</t>
  </si>
  <si>
    <t>Canter, S2 coté droit, tube de passage de cable à refixer</t>
  </si>
  <si>
    <t xml:space="preserve">Alimentation billons, Sb3, mise en place d'axes de galets excentriques </t>
  </si>
  <si>
    <t xml:space="preserve">Boxes, marquage peinture à refaire </t>
  </si>
  <si>
    <t>Bt51, Chaine d'entrée triplex d'entrée à changer</t>
  </si>
  <si>
    <t xml:space="preserve">Costa, table du dépileur, 1er bras d'arrêt des colis à resouder </t>
  </si>
  <si>
    <t>Emplieuse SW, 1er brin de chaine sortie trimmeur, 1 roulement HS</t>
  </si>
  <si>
    <t>ZD1, Refaire l'étanchéité du capot des courroies</t>
  </si>
  <si>
    <t>fgfegbfdbfdqvbfd</t>
  </si>
  <si>
    <t>sd</t>
  </si>
  <si>
    <t>12.12.2012</t>
  </si>
  <si>
    <t>adfdefe</t>
  </si>
  <si>
    <t>SCHILCHER : déméleur du Bas empileuse n'a plus de force dans sa mise en fonctionnement</t>
  </si>
  <si>
    <t xml:space="preserve"> SCHILCHER ejecteur du box 2 a refaire</t>
  </si>
  <si>
    <t>Faire l'étanchéité de l'armoire électrique et de ses abords à la déligneuse  Linck</t>
  </si>
  <si>
    <t>740SW, Chaînes à taquets à tendre</t>
  </si>
  <si>
    <t>Bt2, rouleau caoutchouc HS</t>
  </si>
  <si>
    <t xml:space="preserve">Kl3, remettre le détecteur de tension </t>
  </si>
  <si>
    <t>Empileuse HW, chariot à billes des fourches HS</t>
  </si>
  <si>
    <t xml:space="preserve">OE </t>
  </si>
  <si>
    <t>PAG U, Kf4, Tension de la raclette à faire</t>
  </si>
  <si>
    <t>FIXATION RIGIDES HYDRAULIQUES SOUS RQM5</t>
  </si>
  <si>
    <t>FIXATION RIGIDE HYDRAULIQUE SOUS BRUCKS LV1</t>
  </si>
  <si>
    <t>260 raccourcir les chaines tendeurs au bout</t>
  </si>
  <si>
    <t>Ar21, Pignon de renvoi HS</t>
  </si>
  <si>
    <t>Brucks 410, Modification de la trémie au niveau du tambour arrière</t>
  </si>
  <si>
    <t>Trieur SW, néon boxe 6 HS</t>
  </si>
  <si>
    <t>train de rouleau ar7 mobile roulement hs sur plusieur rouleaux</t>
  </si>
  <si>
    <t>srm</t>
  </si>
  <si>
    <t>cercleuse strapack voir pour le netoiyage du magazin</t>
  </si>
  <si>
    <t>voir pour la traduction en francais du touche panel</t>
  </si>
  <si>
    <t>DV1, Rouleau d'entrée droit pilé</t>
  </si>
  <si>
    <t>Stenner, Changer le kienzle par un 20 CA</t>
  </si>
  <si>
    <t xml:space="preserve">PAG U, Boxe mitraille, mise en place de chainettes pour condamner le boxe </t>
  </si>
  <si>
    <t>Détails des travaux</t>
  </si>
  <si>
    <t>Atelier engin</t>
  </si>
  <si>
    <t>Costa, Fuite à l'aspiration en bas de la machine, voir pour changer tous les tuyaux</t>
  </si>
  <si>
    <t>Schilcher, Ajouter des supports de chaînes sur le transfert de mesurage</t>
  </si>
  <si>
    <t xml:space="preserve">Me1, Me2, mise en place de vérous </t>
  </si>
  <si>
    <t xml:space="preserve">Broyeur, commander 2 flasques de maintien des couteaux </t>
  </si>
  <si>
    <t xml:space="preserve">SRM VOIRE POUR LA MISE A 0 DU PUPITRE AU PINCES  LA GUBICHE LA GUBICHE CONTINUE A SORTIR DU BOIS DENGER RISQUE D ACCIDENT URGENT URGENT SECURITE </t>
  </si>
  <si>
    <t>Alimentation billon, Support cellule devant Sb1 à ressouder (coté voie rapide)</t>
  </si>
  <si>
    <t>Del. Linck, Zv10, 3ème presseur HS</t>
  </si>
  <si>
    <t>Atelier engins  le palan ne tient pas la charge</t>
  </si>
  <si>
    <t>Escalier vers Söderhamn, Changer la marche tordue</t>
  </si>
  <si>
    <t xml:space="preserve">Transfert 340HW, mise en place de vérouillage des barrières immatérielles </t>
  </si>
  <si>
    <t>BAC DE TRAITEMENT : fuite au bac n°2 le bac de rétention est au 3/4 plein et en plus il y a une soudure prête à lacher sur la retention</t>
  </si>
  <si>
    <t>LOGISTIQUE, bac de traitement : toutes les pompes Hydraulique sont à réviser</t>
  </si>
  <si>
    <t>Se1, fuite sur le vérin du 4ème rouleau plaqueur</t>
  </si>
  <si>
    <t>Del. Linck, KP1, Rouleau libre avant les scies, roulement HS</t>
  </si>
  <si>
    <t>Refaire tôlage de protection le long de Bth3</t>
  </si>
  <si>
    <t>Revoir éclairage</t>
  </si>
  <si>
    <t>Canter, bth1, Roulement de la bande coté moteur HS</t>
  </si>
  <si>
    <t>Alimentation billon, Kl4, Manque 2 taquets</t>
  </si>
  <si>
    <t>47, Bauman, Pneu avant gauche HS</t>
  </si>
  <si>
    <t>Bauman</t>
  </si>
  <si>
    <t>Point S</t>
  </si>
  <si>
    <t>Se1, Chaîne à tendre</t>
  </si>
  <si>
    <t>WEINIG CHANGER TOUTE LES GLISSIERE DE CHAINE SUR QM3</t>
  </si>
  <si>
    <t>Weinig, manque 1 capot de ventilateur au niveau du moteur sous Qm5</t>
  </si>
  <si>
    <t>Costa, Remettre en état les vérins (un est en retard )</t>
  </si>
  <si>
    <t>HW, Dispatcheur, rotule HS</t>
  </si>
  <si>
    <t>PAG U, Reglage du frein de l'éjecteur 29 à faire</t>
  </si>
  <si>
    <t>Alimentation billon, Porte de RQM4 (S102), vis du vérou HS</t>
  </si>
  <si>
    <t xml:space="preserve">Stenner, mise en place d'un fût de fuel avec pompe de remplissage </t>
  </si>
  <si>
    <t>Double avec 4101</t>
  </si>
  <si>
    <t>Fait</t>
  </si>
  <si>
    <t>refente</t>
  </si>
  <si>
    <t>KL3 coter voie rapide barriere jaune H,S + kalboti</t>
  </si>
  <si>
    <t xml:space="preserve">Schilcher, remplacer les galets imbriqués dans le virage </t>
  </si>
  <si>
    <t xml:space="preserve">Brucks, fuite sur le vérin de l'éjecteur </t>
  </si>
  <si>
    <t>Portique, Chaussette HS + Changer de type de fixation</t>
  </si>
  <si>
    <t>Ar22, 1 pignon HS</t>
  </si>
  <si>
    <t>Del. Linck, Rouleau introducteur de KP1, Modifier le système de fixation du vérin par le système du rouleau extracteur</t>
  </si>
  <si>
    <t>Del. Linck, Grillage à redresser devant le démêleur</t>
  </si>
  <si>
    <t>Bac de traitement n°3, Barre frontale à souder sur le support du bac</t>
  </si>
  <si>
    <t>PAG U, Kr2, Capot arrière, plus de vis et joint d'étanchéité à refaire</t>
  </si>
  <si>
    <t>Empileuse HW, chemin de câble HS</t>
  </si>
  <si>
    <t>Hw-Sw</t>
  </si>
  <si>
    <t>Poste 3 Kinzle arrêt automatique bourrage au box Hs</t>
  </si>
  <si>
    <t xml:space="preserve">Alimentation billons, Sb2, remettre les tôles de protection moteur en état </t>
  </si>
  <si>
    <t>1080SW, Entrée du trieur, Travaux Springer à peindre</t>
  </si>
  <si>
    <t>Cercleuse HW, Passage du feuillard sous glissière à carrelet à revoir</t>
  </si>
  <si>
    <t>SW1080, Boxe 1, Jeu sur l'oreille</t>
  </si>
  <si>
    <t>roulement HS sur l'arbre de la turbine qui remonte la sciure au silo</t>
  </si>
  <si>
    <t>Costa, la 4ème table du transfert n°10 après l'extracteur est à changer</t>
  </si>
  <si>
    <t>Changer la charnière de la porte des lames du bas</t>
  </si>
  <si>
    <t>Réglage du pousseur pour le dernier rang</t>
  </si>
  <si>
    <t>Bande 450, motoréducteur HS</t>
  </si>
  <si>
    <t>Rustine + jonction bande Bt1 à reprendre</t>
  </si>
  <si>
    <t>2e rouleau à pointe désaligné et couche les grumes de diamètre 12 devant ME7</t>
  </si>
  <si>
    <t>Canter SE1</t>
  </si>
  <si>
    <t>Remettre en état démêleur poste 1 SW</t>
  </si>
  <si>
    <t>Silo connexe, Comprendre la méthode pour allumer les néons dans le batiment connexe et l'expliquer à Fabien</t>
  </si>
  <si>
    <t>1080 SW : entalons à glissière à changer sur les 5 chaines, vois avec J-Louis</t>
  </si>
  <si>
    <t xml:space="preserve">Trieur SW, mettre une porte aux produits courts </t>
  </si>
  <si>
    <t>Brucks 390, Garnissage du tambour moteur à refaire</t>
  </si>
  <si>
    <t>Box 57 à régler</t>
  </si>
  <si>
    <t>BE1, palier desserré</t>
  </si>
  <si>
    <t>Weinig, rabot du haut, vis de déplacement, vis + soufflet à changer</t>
  </si>
  <si>
    <t xml:space="preserve">MKV, peignes des rouleaux d'entrée ( bas ) tordu </t>
  </si>
  <si>
    <t xml:space="preserve">démêleur 140HW, roulettes d'accompagenment HS à plusieurs endroits </t>
  </si>
  <si>
    <t xml:space="preserve">4020sw, 3ème bras de levage tordu </t>
  </si>
  <si>
    <t>RUBAN H à faire</t>
  </si>
  <si>
    <t>RUBAN H fait</t>
  </si>
  <si>
    <t>Annulé - Usure insuffisante</t>
  </si>
  <si>
    <t>Weinig, Manque un presseur + bras dans le colisage latte</t>
  </si>
  <si>
    <t>Voir pour changer le système d'extraction de la Weinig</t>
  </si>
  <si>
    <t>Alimentation billon, 1 tôle du boxe mitraille à refixer</t>
  </si>
  <si>
    <t xml:space="preserve">Schilcher, régler la hauteur de la table </t>
  </si>
  <si>
    <t>SW 730 : Ertalon à changer sur la dernière chaine</t>
  </si>
  <si>
    <t>Fuite sur distributeur hydraulique écorceuse</t>
  </si>
  <si>
    <t>déligneuse Linck, fuite sur vérin presseurs n°1</t>
  </si>
  <si>
    <t>Brucks, Chaîne des retourneurs à tendre + glissière à changer ou tourner</t>
  </si>
  <si>
    <t>PAG U, Ejecteur 29, disjoncte à froid</t>
  </si>
  <si>
    <t>BAC DE TRAITEMENT : glissière pour guider les Baumann aux bacs 3 et 5 à refixer</t>
  </si>
  <si>
    <t>Un poteau sortie écorceuse à changer</t>
  </si>
  <si>
    <t>Toujours à faire</t>
  </si>
  <si>
    <t>CONNEXE</t>
  </si>
  <si>
    <t>REMETTRE SOUFFLETTE DE NETTOYAGE NIVEAU ME 7</t>
  </si>
  <si>
    <t>MK, Porte manchon devant la MK, 1 axe du bas est entrain de sortir</t>
  </si>
  <si>
    <t>Empileuse HW, Peignes à changer sur les fourches</t>
  </si>
  <si>
    <t>Manchon du bas contrepalier -&gt; roulement Hs</t>
  </si>
  <si>
    <t>glissiere siege sennebogen H,S</t>
  </si>
  <si>
    <t>Pallier n°1 tordu (redit de l'étiquette 6453 du 09/10/10)</t>
  </si>
  <si>
    <t>box1,1 triangle d' éjécteur à changer et refixer la barre d' éjection.</t>
  </si>
  <si>
    <t>vis de réglage galet dernière fourche à l' avant hs</t>
  </si>
  <si>
    <t>1 chaîne 737à changer , tordu de bout en bout</t>
  </si>
  <si>
    <t>noix sur pignon des déméleur ont beaucoup de jeu + pignon usé</t>
  </si>
  <si>
    <t>Weinig, refaire le presseur d'entrée</t>
  </si>
  <si>
    <t>Bac de traitement, barre de protection des armoires électriques à redresser</t>
  </si>
  <si>
    <t>PAG U, Bt1, refaire la passerelle le long de Bt1</t>
  </si>
  <si>
    <t>beaucoup de points à resouder sur le canal</t>
  </si>
  <si>
    <t>alimentation kl4</t>
  </si>
  <si>
    <t>empileuse hw 3eme verrin séparateur de rang toujours pas réparer</t>
  </si>
  <si>
    <t xml:space="preserve">4180, guide de la 2ème chaine HS  </t>
  </si>
  <si>
    <t>Rouleau sortie, axe à gauche sur silentblock, vis cassée</t>
  </si>
  <si>
    <t>Weinig, Transfert Qm2, remettre le 3ème bras du donneur en état (vis à extraire)</t>
  </si>
  <si>
    <t>HW115, dernière chaîne du transfert HS + pignon coté Urmatt HS</t>
  </si>
  <si>
    <t>SW740, Sprinkleur à remettre en état</t>
  </si>
  <si>
    <t>CHENGER LA GLISSIERE DE  CHAINE DU TRAIN DE ROULEAU DE RECYCLAGE 29</t>
  </si>
  <si>
    <t>COSTA  CHANGER LES 2 CHAINE DU DEPILEUR + LES 2 PIGNON DE RENVOI</t>
  </si>
  <si>
    <t>Ventilation de l'armoire de l'ordianteur des etiquettes HS</t>
  </si>
  <si>
    <t>Plaque de protection moteur de Qm1 à refixer Vis cassée</t>
  </si>
  <si>
    <t>CANTER gl : touche sur la touch panel "vidange dernier rang" ne marche pas</t>
  </si>
  <si>
    <t>Michel Leclerc</t>
  </si>
  <si>
    <t>Annulé - Suite à l'inspection des Techniciens de Springer, travail non nécéssaire</t>
  </si>
  <si>
    <t xml:space="preserve">Trieur HW, grillage HS dans le virage </t>
  </si>
  <si>
    <t>Empileuse HW, Vérifier tous les galets de la table intermédiaire</t>
  </si>
  <si>
    <t>Weinig, Refaire le support du rouleau de l'extracteur du haut</t>
  </si>
  <si>
    <t>A faire</t>
  </si>
  <si>
    <t xml:space="preserve">Munich </t>
  </si>
  <si>
    <t>HW, Loquet de protection de la zone 5b6 HS</t>
  </si>
  <si>
    <t>Weinig, Corriger le jeu et la fixaton de la butée à 4m (sortie poste de tronçonnage)</t>
  </si>
  <si>
    <t>Brucks 460-470, Trémie à réparer à la chute 460 vers 470, Tôle désoudée sur 40cm</t>
  </si>
  <si>
    <t>Tôle devant les rouleaux 07SW à réparer</t>
  </si>
  <si>
    <t>Alimentation billon, tôle butée kl5 à ressouder</t>
  </si>
  <si>
    <t>Bande brucks 60, Joint spi du moteur à changer</t>
  </si>
  <si>
    <t>Weinig, presseur avant le rabot gauche, roulement HS</t>
  </si>
  <si>
    <t>Alimentation billons, bruit anormal sur moteur KL4</t>
  </si>
  <si>
    <t>Changer serrure clé jaune du pupitre du poste 1 SW</t>
  </si>
  <si>
    <t>Costa, Refaire les galets + support de la table intermédiaire</t>
  </si>
  <si>
    <t>Canter, Zd1, Rouleau de sortie à gauche, 1 roulement HS</t>
  </si>
  <si>
    <t>Bande 2006 lumière à mettre en état</t>
  </si>
  <si>
    <t>Costa, Faire une protection pour la descente de l'empileuse avec des cellules (à faire avec Thomas)</t>
  </si>
  <si>
    <t>1 pied box 55 a réparer</t>
  </si>
  <si>
    <t>recentrer tubulator 40</t>
  </si>
  <si>
    <t>Unité latte</t>
  </si>
  <si>
    <t>Eboutage Fraisage</t>
  </si>
  <si>
    <t>SW Trieur</t>
  </si>
  <si>
    <t>HW Trieur</t>
  </si>
  <si>
    <t>HW Cercleuse</t>
  </si>
  <si>
    <t>SW Cercleuse</t>
  </si>
  <si>
    <t>HW Empileuse</t>
  </si>
  <si>
    <t>Schilcher</t>
  </si>
  <si>
    <t>HW Collecteur</t>
  </si>
  <si>
    <t>Costa, Petit rouleaux à remetre en place dans le col de cygne</t>
  </si>
  <si>
    <t>fait ?</t>
  </si>
  <si>
    <t>PAG U, As1, Usure de la chaine et des glissières de retour</t>
  </si>
  <si>
    <t>ANH2, Soudures à reprendre</t>
  </si>
  <si>
    <t>Me6, 1 laser à changer sur le module 2 (en haut à droite dans le sens de l'avance)</t>
  </si>
  <si>
    <t>COSTA INSTALATION D UN ENROULEUR D AIRE A LA MACHINE</t>
  </si>
  <si>
    <t>BOXE MITRAILLE EJECTEUR LONG TORDU ( FL 1 )</t>
  </si>
  <si>
    <t>L ESCALIER SB 2 FROTTE SUR SON SUPPORT A CHAQUE MONTE ( NIVEAU DE KL2 )</t>
  </si>
  <si>
    <t>PBG à faire</t>
  </si>
  <si>
    <t>PGB fait</t>
  </si>
  <si>
    <t xml:space="preserve">Weinig, table de réglage de la toupie de gauche ne marche plus </t>
  </si>
  <si>
    <t>Canter, S2, Ouverture de porte de S2 défaillantn obliger d'acquitetter "défaut RM arrêt des scies"</t>
  </si>
  <si>
    <t>H fendu + silent-bloc HS entre les deux parties. Point à faire</t>
  </si>
  <si>
    <t>PAG BRUCKS</t>
  </si>
  <si>
    <t>Cercleuse cyclobe deande la revision des deux machines</t>
  </si>
  <si>
    <t>LOGISTIQUE fenwick n°27 : grosse fuite hydrau au niveau des verins  URG</t>
  </si>
  <si>
    <t>Alimentaiton billon</t>
  </si>
  <si>
    <t xml:space="preserve">Alimentation billons, BOXE MITRAILLE, remettre la passerelle en état </t>
  </si>
  <si>
    <t>Costa, Table de l'empileuse, contrôle des galets + glissière (voir pourquoi elle penche)</t>
  </si>
  <si>
    <t>délais</t>
  </si>
  <si>
    <t>n°fiche</t>
  </si>
  <si>
    <t>Qui ?</t>
  </si>
  <si>
    <t>hydraulique 15 systeme detection manque d huile chinter le 22/07/2011</t>
  </si>
  <si>
    <t>cave canter</t>
  </si>
  <si>
    <t xml:space="preserve">Empileuse HW, 2ème chaine à taquets rouge sur le transfert scie mobile à réaligner </t>
  </si>
  <si>
    <t>Expédition, Mise en place d'une protection pour la pompe de relevage</t>
  </si>
  <si>
    <t>RQm7 tendeur 2° chaine HS (chaine frotte sur l'axe)</t>
  </si>
  <si>
    <t xml:space="preserve">CANTER </t>
  </si>
  <si>
    <t>RQM6-Sb2, U manquant au niveau de l'axe d'entrainement du démêlleur</t>
  </si>
  <si>
    <t>Alimentation billons, remplacer le retour de KL5</t>
  </si>
  <si>
    <t>Del. Söderhamn, Changer le rouleau en nid d'abeille avant les scies</t>
  </si>
  <si>
    <t>Canter, petite roue (gauche) dans Ar1 (Rv1) usée</t>
  </si>
  <si>
    <t>3 chariot hs sur la guirlande</t>
  </si>
  <si>
    <t>Bacs, rail de sécurité pour guider les chariots au grand bac à ressouder</t>
  </si>
  <si>
    <t>pneus usés</t>
  </si>
  <si>
    <t>Non, tjs pas fait</t>
  </si>
  <si>
    <t>Remettre capot brucks en état</t>
  </si>
  <si>
    <t>TRIEUR HW Synchronisation entre 480 et 492 defaillante URGENT</t>
  </si>
  <si>
    <t>empileuse HW  Vitesse latteur en descente toujours trop lente</t>
  </si>
  <si>
    <t xml:space="preserve">installer une protection devant le chemin de roulement ou placer une consigne de sécurité au niveau du cheminement d'accès à la cabine canter </t>
  </si>
  <si>
    <t xml:space="preserve">pont poulanr sadamec </t>
  </si>
  <si>
    <t xml:space="preserve">selon remarques apave, 2 vasques détériorés au dessus de la scie </t>
  </si>
  <si>
    <t>PAG U, Ecorceuse, chaîne d'avance à tendre</t>
  </si>
  <si>
    <t>ok</t>
  </si>
  <si>
    <t>Canter, retour Kl5 à changer</t>
  </si>
  <si>
    <t>Nicholson</t>
  </si>
  <si>
    <t>PAG U</t>
  </si>
  <si>
    <t>Raclette BK n°200 =&gt; les chaines sont HS</t>
  </si>
  <si>
    <t>Connexe</t>
  </si>
  <si>
    <t>WEINIG BANDE A LATTE SOUS LE TRANSFER 01 ROULEMENT HS</t>
  </si>
  <si>
    <t>Weinig, vérins presseurs + socle HS ( les 2 derniers )</t>
  </si>
  <si>
    <t xml:space="preserve">Déligneuse linck, remettre le laser Qscan en état </t>
  </si>
  <si>
    <t xml:space="preserve">remplacer les chaînes de levage primaire </t>
  </si>
  <si>
    <t xml:space="preserve">résorber les fuites hydrauliques </t>
  </si>
  <si>
    <t>baumann n° 43</t>
  </si>
  <si>
    <t>baumann n°43</t>
  </si>
  <si>
    <t>baumann n°48</t>
  </si>
  <si>
    <t>Déligneuse Linck QM17C : la bague en bronze du pignon libre de la 11ème chaine est HS</t>
  </si>
  <si>
    <t>Mise en place et réglage frein avant cercleuse</t>
  </si>
  <si>
    <t xml:space="preserve">Weinig, remplacer le rouleau accompagnateur de la mise en bottes </t>
  </si>
  <si>
    <t>changer courroies rotor écorceuse</t>
  </si>
  <si>
    <t>revoir fixation + hauteur paliers éjecteur AS1</t>
  </si>
  <si>
    <t>soudure&amp; charpente sous KA1(2éme rouleur)</t>
  </si>
  <si>
    <t>Revoir toutes les bavettes des roues</t>
  </si>
  <si>
    <t>Cone 350 bruit anormal</t>
  </si>
  <si>
    <t>Silo chute à remettre en état</t>
  </si>
  <si>
    <t>connexes</t>
  </si>
  <si>
    <t>VULCA CONCEPT</t>
  </si>
  <si>
    <t>Deck portique, protection moteur enlevé</t>
  </si>
  <si>
    <t>Tôle sur Rqm2 à la tombée à ressouder risque d'accrochage par portique</t>
  </si>
  <si>
    <t>Alimentation billon</t>
  </si>
  <si>
    <t>PAG : changer limiteur pression butée ANH2</t>
  </si>
  <si>
    <t>Soudure tolage Rqm5 sous amortisseur 100</t>
  </si>
  <si>
    <t>Onglet stat "paquet" ne fonctionne plus</t>
  </si>
  <si>
    <t>Remettre en état le vibrant (tôle dessoudée sous scie et tampon à changer)</t>
  </si>
  <si>
    <t>Rectifier deux manchons des lames de la costa</t>
  </si>
  <si>
    <t>Demande règle de mesure électronique pour le réglage des blocs à compteur digital</t>
  </si>
  <si>
    <t>réducteur de souches, remplacer les roues libres HS</t>
  </si>
  <si>
    <t>REFAIRE LA RESISTANCE DE LA CAMERA NIVEAU (  RQM1 - SB1 )</t>
  </si>
  <si>
    <t>Grille de sécurité du bloc coté Weinig à remettre en place. Soudure</t>
  </si>
  <si>
    <t xml:space="preserve">Fraisage, Ku13, resouder le garde corps + renfort </t>
  </si>
  <si>
    <t>Courroies de la mise à plat des lattes sortie WEINIG sur qm3 HS</t>
  </si>
  <si>
    <t>fuite d'huile en haut du mat</t>
  </si>
  <si>
    <t>N° 48</t>
  </si>
  <si>
    <t>canter : KL4  recentrer les plaques horizontales anti rebond</t>
  </si>
  <si>
    <t>Remettre en place les plaques de protection sur le train de rouleaux 05 avant la modification de l'étiquette 7679</t>
  </si>
  <si>
    <t>Capot de protection de la bande à latte : fixation à refaire et le remettre en place</t>
  </si>
  <si>
    <t>Brickman</t>
  </si>
  <si>
    <t>Portique, Pignon d'entraînement de la roue coté echelle usé</t>
  </si>
  <si>
    <t>Cellule de calcul, ne pas modifier!!</t>
  </si>
  <si>
    <t>01</t>
  </si>
  <si>
    <t>changer le cable electrique de la cellule de la table de l empileuse : de la presence de colis</t>
  </si>
  <si>
    <t>aspiration divers fuite</t>
  </si>
  <si>
    <t>Trieur Sw, Coupure du trieur "panne de liaison canal", réarmement par la clef de zone (zone collecteur)</t>
  </si>
  <si>
    <t>Rqm4, Valider l'alignement et la fixation du pignon de retour (certains frottent sur le chassis)</t>
  </si>
  <si>
    <t>Del. Soderhamn, Ventilateur moteur HS de la bande de sortie</t>
  </si>
  <si>
    <t>élévateur M1 : vitre du bas à gauche se décolle;refixer avant casse</t>
  </si>
  <si>
    <t>mulet</t>
  </si>
  <si>
    <t>Faire arrêter le poste 2 sw lorsque la bande 300 est arrêtée</t>
  </si>
  <si>
    <t xml:space="preserve">SW008, remettre le grillage de protection en place </t>
  </si>
  <si>
    <t>cercleuse. Alignement des paquets ne fonctionne toujours pas</t>
  </si>
  <si>
    <t>Axe cardan dans le virage à changer (voir D LIMONG)</t>
  </si>
  <si>
    <t>PAG U, Bt2, Pignon moteur HS + jeu dans la clavette</t>
  </si>
  <si>
    <t>Weinig, Problème avec l'extracteur</t>
  </si>
  <si>
    <t xml:space="preserve">CERCLEUSE HW, remettre les sécurités sur les magasins à chevrons </t>
  </si>
  <si>
    <t>Stenner, Compteur de vitesse ne fonctionne plus</t>
  </si>
  <si>
    <t>Empileus hw bruit suspect au niveau de la table de levage ( galetbfait du bruit)</t>
  </si>
  <si>
    <t>élévateur n°12 : vitre cassé coté gauche</t>
  </si>
  <si>
    <t>PAG U, Valider le reglage du détecteur de mitraille (éclat dans les billons du ruban)</t>
  </si>
  <si>
    <t>Bande butée 780SW se déchire</t>
  </si>
  <si>
    <t>Costa, Table de sortie, Guidage à améliorer</t>
  </si>
  <si>
    <t>Connexes, remplacement des vis du vibrant 290</t>
  </si>
  <si>
    <t xml:space="preserve">Mevlut </t>
  </si>
  <si>
    <t>Connexes, remplacement des vis des vibrants 280 et 281</t>
  </si>
  <si>
    <t>Connexes, remplacement des vis du vibrant 480</t>
  </si>
  <si>
    <t>CD</t>
  </si>
  <si>
    <t>AC</t>
  </si>
  <si>
    <t>SC</t>
  </si>
  <si>
    <t>GS</t>
  </si>
  <si>
    <t>DL</t>
  </si>
  <si>
    <t>LD</t>
  </si>
  <si>
    <t>BM</t>
  </si>
  <si>
    <t>MASA</t>
  </si>
  <si>
    <t>MT</t>
  </si>
  <si>
    <t>RQm3 bloque</t>
  </si>
  <si>
    <t>KL1 tuyau d'eau rigide a déplacée</t>
  </si>
  <si>
    <t>Trieur, Réparer éclairage de sécurrité niveau 4500 (+ celui du niveau superieur) à coté du bureau des contre-maitres</t>
  </si>
  <si>
    <t>PAG U, Fuites hydrauliques à l'écorceuse</t>
  </si>
  <si>
    <t>Sb3, support patte moteur HS</t>
  </si>
  <si>
    <t>020SW pignon récepteur HS</t>
  </si>
  <si>
    <t>Refente, Manque une eternite sur le toit au dessus de la Costa</t>
  </si>
  <si>
    <t xml:space="preserve">Alimentation billons, Sb7, mise en place d'axes de galets excentriques </t>
  </si>
  <si>
    <t>Bt1, Capot de protection du tambour moteur à remettre en état</t>
  </si>
  <si>
    <t>Lv1, Support cellule à souder</t>
  </si>
  <si>
    <t>réaligner trieur avec taquet rouge et noir( rpère rouge).(suite étiquette 7871)</t>
  </si>
  <si>
    <t>Rqm7, ertalons à refixer</t>
  </si>
  <si>
    <t>Stenner, Pignon HS sur le train de rouleau d'alimentation des colis</t>
  </si>
  <si>
    <t>box 21 SCHILCHER frein moteur HS</t>
  </si>
  <si>
    <t>Changer le rouleau presseur n°1 et n°3 HS (niveau de centrage)</t>
  </si>
  <si>
    <t>Crible du milieu 563 detecteur d'oscillation HS coté URMATT</t>
  </si>
  <si>
    <t>BRUCKS</t>
  </si>
  <si>
    <t>1200SW, Ressouder une clavette pour la fermeture des portes coulissantes</t>
  </si>
  <si>
    <t>Alimentation billon, RQM6, Glissière à changer</t>
  </si>
  <si>
    <t>S33</t>
  </si>
  <si>
    <t>Schilcher, Courroie d'entrainement des rlx d'alignement avant empileuse à changer</t>
  </si>
  <si>
    <t>Bac de traitement , Bac n°2 - le cycle ne fonctionne pas 1 fois sur 5, Bac n°4 - la sonde de remplissage est HS</t>
  </si>
  <si>
    <t>1er poste remettre le dernier rouleau+ courroie</t>
  </si>
  <si>
    <t xml:space="preserve">SW737, pignons 2,3,4 à changer </t>
  </si>
  <si>
    <t>Wc local coté bureau contremaitre encadrement de porte Hs</t>
  </si>
  <si>
    <t>Soudure charpente sous LV2</t>
  </si>
  <si>
    <t>Alimentation, Kl2 fissure canal coté droit en face de l'armoire électrique</t>
  </si>
  <si>
    <t>Alimentation</t>
  </si>
  <si>
    <t xml:space="preserve">Söderhamns, mettre l'onduleur sur un support </t>
  </si>
  <si>
    <t>Canter, Se2, Rail de guidage tombé (1er bras HS)</t>
  </si>
  <si>
    <t>Weinig, Pignons HS sur extracteur</t>
  </si>
  <si>
    <t>PAG U, Amortisseur de LV2, Ertalon HS</t>
  </si>
  <si>
    <t>Annulé - Jeu insuffisant</t>
  </si>
  <si>
    <t>Annulé - Pas de fuite visible</t>
  </si>
  <si>
    <t>Usine</t>
  </si>
  <si>
    <t>ALIMENTATION BILLONS, refaire le garde corps HS après la porte du deck 1</t>
  </si>
  <si>
    <t xml:space="preserve">CD </t>
  </si>
  <si>
    <t>Av4, Moteur de droit et de gauche (1 axe cassée et un reducteur HS)</t>
  </si>
  <si>
    <t>Alim Billon</t>
  </si>
  <si>
    <t>Transfert 720, 1°, 2°, 5° et 6° chaine à raccourcir car limite de tension</t>
  </si>
  <si>
    <t>PAGU, Fuite centrale hydraulique écorceuse</t>
  </si>
  <si>
    <t>Came Be1 à régler</t>
  </si>
  <si>
    <t>Guide sprinter a refaire  URGENT</t>
  </si>
  <si>
    <t>Costa, Roulement arbre du bas H.S.</t>
  </si>
  <si>
    <t>Algéco chauffeur, Radiateur, Lucarne à boucher</t>
  </si>
  <si>
    <t>Weinig, tampon HS sur le 4ème presseur</t>
  </si>
  <si>
    <t>Costa, Pignon moteur du train de rouleau 06 HS + modification du tendeur de chaîne</t>
  </si>
  <si>
    <t>PAG : Boxe 47 poteau HS</t>
  </si>
  <si>
    <t>Bt1, Bande Bt1 déchirée</t>
  </si>
  <si>
    <t>SCIERIE, S2, sortie S2, coté gauche, rouleau Av4 ne tourne plus</t>
  </si>
  <si>
    <t>Affûtage : rehausser l'évier de nettoyage des lames de 30 cm</t>
  </si>
  <si>
    <t>Alimentation Billon, Chaine après Qm7, 1ère et 4ème chaine palier HS + Axe</t>
  </si>
  <si>
    <t>dépileur: 2 butées(chaîne à paquets) à remettre</t>
  </si>
  <si>
    <t>MKV, Augmenter le temps de la souflette sur KV1 - Y012</t>
  </si>
  <si>
    <t>Costa, Ressouder la 3ème tôle de la table de sortie</t>
  </si>
  <si>
    <t xml:space="preserve">algecos, fuite bureau Anita </t>
  </si>
  <si>
    <t>Transfert 115 1° chaine guide fissurée, chaîne de travers (ertalon?) et vérifier les autres</t>
  </si>
  <si>
    <t>Taquets à remettre sur Kf5</t>
  </si>
  <si>
    <t>Usure anormale pignon moteur roue coté échelle</t>
  </si>
  <si>
    <t>Vérifier le bon fonctionnement ou le mode de fonctionnement de la cellule d'alignement car les 2,5 (pas en butée) sont affectés à des boxes = travers</t>
  </si>
  <si>
    <t>HW 4E POSTE</t>
  </si>
  <si>
    <t>entre poste 2 hw et qualité Sw isolation de la conduite d'eau</t>
  </si>
  <si>
    <t>poste 1 HW refaire le tolage du déméleur(dernière chaine)</t>
  </si>
  <si>
    <t>Déligneuse Linck, 1° chaine (devant Kp1) Tordue Qm17 + pignon usé</t>
  </si>
  <si>
    <t>sf</t>
  </si>
  <si>
    <t>WC coté bureau trieur - plus d'eau chaude</t>
  </si>
  <si>
    <t>wc</t>
  </si>
  <si>
    <t>Portique, remplacement contact 2F64</t>
  </si>
  <si>
    <t>Del Linck : BTM3 bande déchirée sur le coté</t>
  </si>
  <si>
    <t>LOGISTIQUE, bac de traitement : fuite du verin de montée et descente (coté urmatt) au bac n°5 ainsi que verin plaqueur bac n°1</t>
  </si>
  <si>
    <t>contrôle des piles de sauvegarde</t>
  </si>
  <si>
    <t>kienztlé</t>
  </si>
  <si>
    <t>Scierie, F1, F2, faire le plan des rails de maintien du bois</t>
  </si>
  <si>
    <t xml:space="preserve">Weinig, flasque + axe de scie à remplacer </t>
  </si>
  <si>
    <t xml:space="preserve">Weinig, tranfert alimentation, glissière de chaîne HS sur le 1er bras coté opérateur </t>
  </si>
  <si>
    <t>PAG U, Escalier niveau brucks vers rail portique (marches HS)</t>
  </si>
  <si>
    <t>trieur SW changer tout les guides ertalon des panniers box</t>
  </si>
  <si>
    <t>Weinig, Contrôle de tous les contacteurs des armoires</t>
  </si>
  <si>
    <t>Nettoyer bague d'appui de KP1</t>
  </si>
  <si>
    <t>KP1</t>
  </si>
  <si>
    <t>Changer rouleau enrtée inf</t>
  </si>
  <si>
    <t>empileuse:tige filtée de tendeur de la 6eme chaîne à changer</t>
  </si>
  <si>
    <t>Portique, Moteur de translation à remonter pour stock</t>
  </si>
  <si>
    <t xml:space="preserve">SENNENBOGEN, n°40, vérification suspension siège </t>
  </si>
  <si>
    <t xml:space="preserve">Connexes, bande plaquettes HS + tambour à remplacer </t>
  </si>
  <si>
    <t>Trimer SW, Souflet à changer</t>
  </si>
  <si>
    <t xml:space="preserve">Hall, campagne éclairage </t>
  </si>
  <si>
    <t xml:space="preserve">Alimentation billons, Sb4, mise en place d'axes de galets excentriques </t>
  </si>
  <si>
    <t>remis en etat de l affichage du poste 4 HW  ( dans armoir electrique )</t>
  </si>
  <si>
    <t xml:space="preserve">VERIFIER LES CABLAGES DES 2 CONTACTEURS HAUT ET BAS </t>
  </si>
  <si>
    <t>Weinig, Anti-retour à inverser + changer le ressort cassé</t>
  </si>
  <si>
    <t>Travail réalisé</t>
  </si>
  <si>
    <t>Date de réception</t>
  </si>
  <si>
    <t>Test</t>
  </si>
  <si>
    <t xml:space="preserve">BT235, capot moteur, câble dénudé + frottement bande </t>
  </si>
  <si>
    <t>Annulé - Que faut-il faire????</t>
  </si>
  <si>
    <t>Söderhamns, disjoncteur de sécurité Q03 dans armoire AQ701 à remettre en état</t>
  </si>
  <si>
    <t>bouton monté table reste bloqué à changer sur pupitre principal</t>
  </si>
  <si>
    <t>DEPILEUR HW</t>
  </si>
  <si>
    <t>Tendre chaine d'entrainement</t>
  </si>
  <si>
    <t>Weinig, Armoire électrique, remettre en état les 3 portes des petits variateurs</t>
  </si>
  <si>
    <t>Remplacer la deuxième chaine accélératrice et la glissière en ertalon (au niveau du deuxième presseur)</t>
  </si>
  <si>
    <t>Déligneuse SODERHAMN</t>
  </si>
  <si>
    <t>Holtec, Refaire la rembarde de sécurité</t>
  </si>
  <si>
    <t xml:space="preserve">collecteur, modifier tôlage à la jonction 470-480  </t>
  </si>
  <si>
    <t>Del. Linck, Axes de déplacement du coin fendeur, joints "baladeurs"</t>
  </si>
  <si>
    <t>Canter, Bt14, Trou dans la bande (poste éboutage fraisage)</t>
  </si>
  <si>
    <t>Weinig, armoire électrique, coupe circuit HS</t>
  </si>
  <si>
    <t>Kl3, entrée de la glissière usée (ski)</t>
  </si>
  <si>
    <t xml:space="preserve">alimentation billons, KL5, suite sur distributeur du vérin de tension </t>
  </si>
  <si>
    <t>SD</t>
  </si>
  <si>
    <t xml:space="preserve">Stockage extérieur, remettre l'éclairage en état </t>
  </si>
  <si>
    <t>SW 737 Pignon 2-3-4 à changer côté 4130</t>
  </si>
  <si>
    <t>Vally</t>
  </si>
  <si>
    <t xml:space="preserve">SW, sous BT10, fuite de gaissage centralisé </t>
  </si>
  <si>
    <t>Bureaux U</t>
  </si>
  <si>
    <t>Changer détecteur 7° butée ANH2 + remettre butée dans le bon sens</t>
  </si>
  <si>
    <t>SW730, 3ème chaîne tendeur au bout</t>
  </si>
  <si>
    <t>fuite vérin sur les rouleaux presseurs 1er ZV1</t>
  </si>
  <si>
    <t>remise en place du couvercle de la boite à borne de QM14</t>
  </si>
  <si>
    <t xml:space="preserve">connexes, le coupe circuit de la bande du silo ne coupe pas le broyeur </t>
  </si>
  <si>
    <t>Springer + Améca</t>
  </si>
  <si>
    <t>Chaines moteur à retendre sur tous les rouleaux</t>
  </si>
  <si>
    <t>AV3</t>
  </si>
  <si>
    <t>S2</t>
  </si>
  <si>
    <t>Contrôler les courroies</t>
  </si>
  <si>
    <t>RF</t>
  </si>
  <si>
    <t>PàGU, Kf2:1 taquet plié</t>
  </si>
  <si>
    <t>C.M.</t>
  </si>
  <si>
    <t>Ptx éclairage, 3ème en venant de Hg plier à la base</t>
  </si>
  <si>
    <t>Amk</t>
  </si>
  <si>
    <t>HW 410 mètre dispacheur état, standard Nicolas : ne fonctionne pas dans les doubles épaisseurs 38-75 URGENT</t>
  </si>
  <si>
    <t>Schilcher : remise en état formateur d'espace + égaliser longueur chaîne d'entrainement, fourches + retendu et remettre en état démèleur empileuse</t>
  </si>
  <si>
    <t>Enlever traverses anti chute derrière le moteur KR2</t>
  </si>
  <si>
    <t xml:space="preserve">Weinig, finir l'escalier à coté de la cercleuse </t>
  </si>
  <si>
    <t>Chaine et pignon d'entrainement moteur transfert 20 SW à changer</t>
  </si>
  <si>
    <t>empileuse HW séparateur de rang : 3eme verin toujours désactivé (redit étiquette 6637 supprimée du 07/01/11)</t>
  </si>
  <si>
    <t xml:space="preserve">déligneuse Söderhamns, remplacer le tambour de la bande </t>
  </si>
  <si>
    <t>Bande 2005, manque ertalon au niveau de la chute.</t>
  </si>
  <si>
    <t>350HW, Revoir la tension de la chaîne moteur + mise en place d'un tendeur type Rosta</t>
  </si>
  <si>
    <t>Pendant le sciage le me2 s'arrête puis redémarre</t>
  </si>
  <si>
    <t>ME2</t>
  </si>
  <si>
    <t>Söderhamn, Tôlage tombée Ku11 à ressouder (le bois accroche)</t>
  </si>
  <si>
    <t>As1, As2, Défaut récurent au niveau des détecteurs, revoir la fixation</t>
  </si>
  <si>
    <t>SW Empileuse, Tendeur HS de l'ascenseur (coté droit)</t>
  </si>
  <si>
    <t xml:space="preserve">Déligneuse Söderhamns, contrôler le graissage centralisé </t>
  </si>
  <si>
    <t xml:space="preserve">Poste 3 HW, embout soufflette à remettre </t>
  </si>
  <si>
    <t>Se2, remplacer les rouleaux plaqueurs 5, 6 et 7 par des rouleaux  " nids d'abeilles "</t>
  </si>
  <si>
    <t xml:space="preserve">Canter : QM8 sur trasnfert mobile une tôle à ressouder plus soudure bas flanc à refaire </t>
  </si>
  <si>
    <t>SW737, un pignon HS + changer la chaîne (raide et tordue)</t>
  </si>
  <si>
    <t>Tuyau d'eau sous He1 à refixer</t>
  </si>
  <si>
    <t>Costa, Table n°10, Contrôler les vérins et le guidage de la table</t>
  </si>
  <si>
    <t>Commentaire</t>
  </si>
  <si>
    <t>Commentaire:</t>
  </si>
  <si>
    <t>PAG U, Pinces entrée et sortie de Kr2 usées - Modifier la forme des pinces</t>
  </si>
  <si>
    <t>COSTA REMISE EN ETAT DE TOUS LES ROULEAUX PRESSEUR DANS LE COLE DE CYGNE</t>
  </si>
  <si>
    <t>Weinig, remettre en état la butée des 2m du dépileur</t>
  </si>
  <si>
    <t>Alimentation billon, Petit mat d'éclairage, Faux contact sur le 3ème phare qui éclaire Rqm17</t>
  </si>
  <si>
    <t>Alimentation Rqm5, tôle (H.S. à remettre protectrice)</t>
  </si>
  <si>
    <t>Portique</t>
  </si>
  <si>
    <t>Boxes</t>
  </si>
  <si>
    <t>Raclette</t>
  </si>
  <si>
    <t>Refente, Broyeur, Trou dans la tôle de la vis sans fin</t>
  </si>
  <si>
    <t>Gagniere</t>
  </si>
  <si>
    <t>Weinig, Tôle cercleuse</t>
  </si>
  <si>
    <t xml:space="preserve">BTMS1, à remplacer </t>
  </si>
  <si>
    <t>Del. Linck, Tôle de protection coté Bth3 à remettre en état</t>
  </si>
  <si>
    <t>transfert 8 SW : pignon de renvoi 1-5-6 à changer</t>
  </si>
  <si>
    <t>850 SW : remettre les 2 néons sur rampe 1</t>
  </si>
  <si>
    <t>Stenner, Pb de reglage de la vitesse</t>
  </si>
  <si>
    <t>RQM17, 4ème pignon à changer (il se ballade sur l'axe)</t>
  </si>
  <si>
    <t>QM8, Tôle à ressouder (tôle sur bureau canter)</t>
  </si>
  <si>
    <t>Tubulators exterieurs, Contrôle et remise en état des tubulators</t>
  </si>
  <si>
    <t>Me9, Remise en état de l'accouplement codeur</t>
  </si>
  <si>
    <t xml:space="preserve">Bth3, Mise en place de 2 cormières de protection sur les rouleaux de retour </t>
  </si>
  <si>
    <t>Qm11, Variateur HS</t>
  </si>
  <si>
    <t>200Hw, laser de la scie HS</t>
  </si>
  <si>
    <t>746HW, bande HS</t>
  </si>
  <si>
    <t>Refaire caillebotis devant pupitre déporté (devant bande à lattes)</t>
  </si>
  <si>
    <t>HW Dépileur, Courroie n°2 HS</t>
  </si>
  <si>
    <t>Reculer taquets vert d'1 cran</t>
  </si>
  <si>
    <t>Poignée ttire pale électrique</t>
  </si>
  <si>
    <t>Changer axes ski</t>
  </si>
  <si>
    <t>Canter, F1, Roulement HS en haut à droite</t>
  </si>
  <si>
    <t>Weinig, Faire une tôle inox au niveau des lames de scie (voir ludovic)</t>
  </si>
  <si>
    <t>déplacer les 2 dernières chaînes à taquets+ support du "hérisson" au poste qualité.(voir josé)</t>
  </si>
  <si>
    <t>PC HW-Sor, Batterie de sauvegarde de la carte mère HS</t>
  </si>
  <si>
    <t>Devant dépileur tôle de butée au sol à remettre en état de jour</t>
  </si>
  <si>
    <t>Porte donnant sur l'extérieur rest bloquée si fermée impossible d'ouvrir de l'extérieur</t>
  </si>
  <si>
    <t>HW CERCLEUSE</t>
  </si>
  <si>
    <t>Holtec, Remise en place de toutes les tôles d'évacuation des chutes sous le guide chaine</t>
  </si>
  <si>
    <t>Pierre</t>
  </si>
  <si>
    <t>Weinig, table de sortie d'évacuation après l'extracteur galet HS…..</t>
  </si>
  <si>
    <t>Compteur de vitesse ne marche plus</t>
  </si>
  <si>
    <t>Grand vibrant roulement Hs URGENT</t>
  </si>
  <si>
    <t>Qm17c, Pignon moteur de la 1ère chaîne à changer</t>
  </si>
  <si>
    <t>Transfert 720, 4° chaine, vis de réglage tendeur Hs</t>
  </si>
  <si>
    <t>Empileuse HW, Changer les lames de fourches</t>
  </si>
  <si>
    <t>1080 SW : 3eme chaine ertalon de glissement fortement endommagé URGENT</t>
  </si>
  <si>
    <t>PAG U, Bt2, trous dans la bande</t>
  </si>
  <si>
    <t>REMISE EN PLACE DU VOLET DE SECURITE DANS LA MACHINE POUR QUE LES PIECES NE RENTRE L UNE SUR L AUTRE</t>
  </si>
  <si>
    <t>Weinig, Frein moteur du rabot du haut HS</t>
  </si>
  <si>
    <t xml:space="preserve">sortie HK, contre le bâtit AR10, fuite sur graissage centralisé </t>
  </si>
  <si>
    <t>Près d'unité latte : tombées de la bande 470 à gauche Trémis tôle cassée à ressouder (planche, latte) peut coincées</t>
  </si>
  <si>
    <t>Del. Linck, Cellule de la trappe "He2" à protéger car cassé 3x en 2 semaine</t>
  </si>
  <si>
    <t>Weinig, remplacer fourche mise en bottes HS</t>
  </si>
  <si>
    <t xml:space="preserve">COSTA REMETTRE UN CAPOT MOTEUR SUR LE VENTILATEURDE LA BANDE D EJECTION AR3 </t>
  </si>
  <si>
    <t>Transfert 390 , 2 ertalon completement plié chaine rique de déraillée(poste 4 hw)</t>
  </si>
  <si>
    <t>Changer les courroies du moteur qui monte la sciure dans le silo</t>
  </si>
  <si>
    <t>Baumann</t>
  </si>
  <si>
    <t>Aprolis</t>
  </si>
  <si>
    <t>44, Pot d'échappement bruyant</t>
  </si>
  <si>
    <t>HW 270, Galet de guidage de la roue à revoir</t>
  </si>
  <si>
    <t>Portique, Pupitre déporté du treuil ne fonctionne pas bien</t>
  </si>
  <si>
    <t>Alimentation billon, Grue Friedrich marche au ralentit</t>
  </si>
  <si>
    <t>Soderhanms, Séparateur Kv1l à redresser</t>
  </si>
  <si>
    <t>Schilcher, Glissière gauche entrée trieur/chariot - Manque un morceau</t>
  </si>
  <si>
    <t>Recherche nom</t>
  </si>
  <si>
    <t>Bac de traitement, Feux tricolores à réviser (certains dysfonctionements)</t>
  </si>
  <si>
    <t>Del. Linck, Mettre en place un voyant d'alarme de la clim</t>
  </si>
  <si>
    <t>modification du tôlage et du racleur de la bande 470</t>
  </si>
  <si>
    <t>730 SW grosse usure du guide chaîne retour sur tous les brins</t>
  </si>
  <si>
    <t>Axima</t>
  </si>
  <si>
    <t>Scierie-connexes : raclette BK n°200 -&gt; les chaines sont HS</t>
  </si>
  <si>
    <t>elevateur 58 : Mike de motorola ne marche toujours pas</t>
  </si>
  <si>
    <t>CUMUL</t>
  </si>
  <si>
    <t>Trieur, Toillette zone trieur coté bureau, 2 chasses auto HS</t>
  </si>
  <si>
    <t>Net-co</t>
  </si>
  <si>
    <t>Jeu dans l'axe de l'éjecteur Brucks</t>
  </si>
  <si>
    <t>Rederesser éjecteur Box 6+8</t>
  </si>
  <si>
    <t>Changer chaine des RC Ka1</t>
  </si>
  <si>
    <t>Butée grumes Rqm1 dessoudée</t>
  </si>
  <si>
    <t>Fixations tuyaux hydraulique sous Br3 à réparer</t>
  </si>
  <si>
    <t>PàgU</t>
  </si>
  <si>
    <t>Del. Linck, Jeu dans les roulements des rouleaux presseurs</t>
  </si>
  <si>
    <t>SRM</t>
  </si>
  <si>
    <t>Kl2, Plaquettes d'usure de taquets HS</t>
  </si>
  <si>
    <t>Remettre barrière lumineuse en état</t>
  </si>
  <si>
    <t>Refaire bavette 320</t>
  </si>
  <si>
    <t>Bac de traitement, Remplacer tuyau provisoire d'alimentation Ex2002 de la cuve du dosatron</t>
  </si>
  <si>
    <t>Alimentation billon, Retour de Kl3 à changer</t>
  </si>
  <si>
    <t>Bth3, remplacer le rouleau HS</t>
  </si>
  <si>
    <t>Vérin de la pince fuit</t>
  </si>
  <si>
    <t>746HW, Bande butée à changer</t>
  </si>
  <si>
    <t xml:space="preserve">Weinig, arbre de scie + roulement flasque + membrane </t>
  </si>
  <si>
    <t>PAG U, Boxe 56</t>
  </si>
  <si>
    <t>PAG U, Boxe 60</t>
  </si>
  <si>
    <t>Weinig, Prolonger la flasque au niveau des lames (voir ludovic)</t>
  </si>
  <si>
    <t>n°60</t>
  </si>
  <si>
    <t>Trieur SW, Erreur 27/28/29 sur informatique</t>
  </si>
  <si>
    <t>Springer</t>
  </si>
  <si>
    <t>RQM3, Tôles à ressouder</t>
  </si>
  <si>
    <t>Brucks 320, Les pièces glissent</t>
  </si>
  <si>
    <t>PAG U, RQM1, Néon à fixer</t>
  </si>
  <si>
    <t>06SW, 1 roue plastique au niveau du retour HS + controler 735SW</t>
  </si>
  <si>
    <t>Springer SW</t>
  </si>
  <si>
    <t>PAG U, Ejecteur du boxe 46 ne se remet pas correctement en place</t>
  </si>
  <si>
    <t>Zd1, manque 2 protections de codeurs linéaires</t>
  </si>
  <si>
    <t>Zd2, manque 1 protection de codeur linéaire</t>
  </si>
  <si>
    <t xml:space="preserve">Costa, remplacement des roulements des arbres de scies </t>
  </si>
  <si>
    <t>Rqm1, fuite hydraulique sur centrale RQM1</t>
  </si>
  <si>
    <t>Empileuse SW, rouleaux à regarnir sur 1210SW</t>
  </si>
  <si>
    <t xml:space="preserve">550hw, remettre la cellule de surhauteur en état </t>
  </si>
  <si>
    <t>EXPEDITION Fenwick n°27 : révision à faire, vitre latéral D à changer</t>
  </si>
  <si>
    <t>Un poteau de la charpente à changer sortie écorceuse</t>
  </si>
  <si>
    <t>Weinig, Pompe à graisse à limiteur de pression</t>
  </si>
  <si>
    <t>Lionel</t>
  </si>
  <si>
    <t>Fenwick 78 protection des flexibles sur le tablier et fourches non comformes</t>
  </si>
  <si>
    <t>Baumann 48 remettre en état les chaines de levage</t>
  </si>
  <si>
    <t xml:space="preserve">ejecteur axe box courson Ressouder prevoir manchonnage </t>
  </si>
  <si>
    <t>Georges</t>
  </si>
  <si>
    <t>Bt1, Déplacer la barre de renfort au niveau du tambour moteur</t>
  </si>
  <si>
    <t>ALIMENTATION RQM4</t>
  </si>
  <si>
    <t>Fissure sur le bras supérieur du brucks</t>
  </si>
  <si>
    <t>Changer fixation sur axe du bras du 2eme vérin éjecteur brucks</t>
  </si>
  <si>
    <t>SW950, néon HS</t>
  </si>
  <si>
    <t>Weinig, Refixer la vitre coté alimentation (voir opérateur pour la vitre)</t>
  </si>
  <si>
    <t>Stenner, Vitre à changer au niveau du dépileur</t>
  </si>
  <si>
    <t>130HW, Tôle n°5 dans la chute du démêleur à remettre en état</t>
  </si>
  <si>
    <t>Ligne canter faire les goutières coté Holtec avec les protections</t>
  </si>
  <si>
    <t>Nombre d'étiquettes d'anomalies émises</t>
  </si>
  <si>
    <t>WEINIG TOUPIE GAUCHE REFAIRE LE SYSTÈME DE REGLAGE DU PRESSEUR LATTERALE</t>
  </si>
  <si>
    <t>compresseur : vérification de tous + révision complète + changer alumine impératif</t>
  </si>
  <si>
    <t>costa - stenner - weinig</t>
  </si>
  <si>
    <t>Annulé par José</t>
  </si>
  <si>
    <t>PAG</t>
  </si>
  <si>
    <t>PAG U, Boxe 52</t>
  </si>
  <si>
    <t>Isoler câbles dans le boitier au dessus écorceuse</t>
  </si>
  <si>
    <t>Weinig, 1er rouleau HS après le poste de tronçonnage</t>
  </si>
  <si>
    <t>Annuler une fiche</t>
  </si>
  <si>
    <t>Rqm2b la 1° chaine en partant du parc pignon =&gt; roulement HS chaine otée</t>
  </si>
  <si>
    <t xml:space="preserve">4020sw, mettre les ferailles sur le dépileur </t>
  </si>
  <si>
    <t xml:space="preserve">cOSTA, cellule de l'ascenseur à refaire </t>
  </si>
  <si>
    <t>Alimentation billon, Caillebotis à refixer au niveau de l'armoire électrique de Sb5-6-7</t>
  </si>
  <si>
    <t>SW1080, 3 Néons HS</t>
  </si>
  <si>
    <t>SW1010, 1 Néon HS</t>
  </si>
  <si>
    <t>Del. Linck, Capot de protection de la glissière gauche du rouleau presseur introducteur à refixer</t>
  </si>
  <si>
    <t>PAGU, Remettre en état la sonde thermique de Lv2 (C08-F001)</t>
  </si>
  <si>
    <t>pourquoi 5? Parfois faire 2 voir 3 reset + ordinateur très dérengeant</t>
  </si>
  <si>
    <t>WEINIG ASPIRATION FUITE AU DESSUS DE LA MACHINE</t>
  </si>
  <si>
    <t>PAG, grillage à refaire sortie écorceuse sur passerelle</t>
  </si>
  <si>
    <t>Poste 2 HW, retourneur 270 2° rouleau renvoi suppérieur à recentré</t>
  </si>
  <si>
    <t>Retarer les limiteurs de charge</t>
  </si>
  <si>
    <t>Entrée de Kl2 à changer</t>
  </si>
  <si>
    <t>Empileuse HW, Galet sur monte-charge coté Urmatt à changer</t>
  </si>
  <si>
    <t>Schilcher, Moteur de la bande butée à remettre en état (bobinage) et à refixer</t>
  </si>
  <si>
    <t>motorola 95 ne fonctionne plus</t>
  </si>
  <si>
    <t>ALSATEL</t>
  </si>
  <si>
    <t>Stenner, Le frein moteur ne tourne plus</t>
  </si>
  <si>
    <t>APROLIS</t>
  </si>
  <si>
    <t>BE1, Bagues sur palier à refixer</t>
  </si>
  <si>
    <t>Ecodis, Fuite pneumatique au niveau de la commande de la zone Canter</t>
  </si>
  <si>
    <t>Weinig, Changer le roulement du rouleau de sortie Weinig (dans la machine)</t>
  </si>
  <si>
    <t>avant démêleur tôle à changer</t>
  </si>
  <si>
    <t xml:space="preserve">Déligneuse Söderhamns, 210, souder la tôle devant la chute </t>
  </si>
  <si>
    <t>PAG, KR1, système de verrouillage du portillon HS</t>
  </si>
  <si>
    <t>PAG U, Graissage de la chaîne de tri à revoir</t>
  </si>
  <si>
    <t>Weinig, Faire des déflecteurs pour les bras du dépileur pour que les colis n'acroche pas</t>
  </si>
  <si>
    <t>déligneuse linck, 2ème bras centreur ZV10 frotte contre le tôlage ( à redresser ou à changer )</t>
  </si>
  <si>
    <t>PBL</t>
  </si>
  <si>
    <t>SKE</t>
  </si>
  <si>
    <t>Divers Hg</t>
  </si>
  <si>
    <t>PGB + Portique</t>
  </si>
  <si>
    <t>PAG U, Verifier les silent-blocs sous le brucks - les changer si nécéssaire</t>
  </si>
  <si>
    <t>Del. Söderhamn, Tôle de guidage tombée de Qm27b à redresser et à souder</t>
  </si>
  <si>
    <t>Wc coté bureau trieur, fuite sur poussoir urinoir</t>
  </si>
  <si>
    <t>Vis de fixation taquets Kl2 cassées</t>
  </si>
  <si>
    <t>Del. Söderhamn, changer le laser d'éboutage</t>
  </si>
  <si>
    <t xml:space="preserve">Déligneuse Söderhamns, fixer correctement l'alimentation dans l'armoire de la cabine </t>
  </si>
  <si>
    <t xml:space="preserve">Déligneuse Söderhamns, REVOIR LA FERMETURE DE LA PORTE DE LA CABINE </t>
  </si>
  <si>
    <t xml:space="preserve">SILO plaquettes, remplacer les ertalons de la bêche </t>
  </si>
  <si>
    <t>PAG U, Graissage des "V" des Brucks à remettre en état</t>
  </si>
  <si>
    <t>30SW, Arbre de sortie réducteur à changer</t>
  </si>
  <si>
    <t>Brucks 240, Palier de la bielle du vibrant HS</t>
  </si>
  <si>
    <t>SRM 3 IEME ROULEAU HS  AVANT LA BUTEE AU PINCES, CHANGER L AXE DE MAINTIEN DU SUPPORT</t>
  </si>
  <si>
    <t>poste 3, aligner chaîne après dispatcheur (difficile car beaucoup de jeu)</t>
  </si>
  <si>
    <t>Costa, refixer la butée d'alignement des colis (Fenwick)</t>
  </si>
  <si>
    <t>alimentation billons, RQM7, éclairage HS</t>
  </si>
  <si>
    <t>Déligneuse Linck, Escalier qui descend à l'unité latte à refaire</t>
  </si>
  <si>
    <t>Poste éboutage fraisage, 1 laser de coupe à remplacer + interupteur</t>
  </si>
  <si>
    <t>TUBULATOR 40, ATU Hs</t>
  </si>
  <si>
    <t xml:space="preserve">Söderhamns, tendeur 2ème chaîne picots HS + tension chaînes </t>
  </si>
  <si>
    <t xml:space="preserve">Kf3, Tôle à remplacer à l'entrée du retour </t>
  </si>
  <si>
    <t>Remettre en état pignon de la bande de maintien Se3</t>
  </si>
  <si>
    <t>Canter Se3</t>
  </si>
  <si>
    <t>RQM4 reparé la glissière chaine rqm4 (premiere chaine cote schirmeck)</t>
  </si>
  <si>
    <t>Unité OAOB, Axe de la trape à refaire</t>
  </si>
  <si>
    <t>LV1, jeu sur 1 bielle</t>
  </si>
  <si>
    <t>Costa, Revisser le pignon d'entraînement de la 4ème chaîne du transfert entre presseur et empileuse</t>
  </si>
  <si>
    <t>Eclairage de sécurité sous Brucks 470 à refixer</t>
  </si>
  <si>
    <t>CM</t>
  </si>
  <si>
    <t>Söderhamn, Gaine câble moteur chaînes entrée déligneuse à remettre en état</t>
  </si>
  <si>
    <t>Schilcher, Démêleur qualité, Tendeur HS</t>
  </si>
  <si>
    <t xml:space="preserve">Kr2, groupe hydraulique, tuyau à refixer </t>
  </si>
  <si>
    <t>réaliser un tôlage pour récupérer les huiles de graissage au trieur SW</t>
  </si>
  <si>
    <t>AS1, Revoir la fixation des paliers des éjecteurs + remonter ceux qui frottent</t>
  </si>
  <si>
    <t>Annulé - Etiquette en double avec 2709</t>
  </si>
  <si>
    <t>Canter, Av4, Moteur droit HS</t>
  </si>
  <si>
    <t>plancher au-dessus du posre qualité à refaire d' urgence</t>
  </si>
  <si>
    <t>tôle transfert incliné 720 à redresser et souder (cause des travers)</t>
  </si>
  <si>
    <t>revêtement fourche empileuse à changer d' urgence</t>
  </si>
  <si>
    <t xml:space="preserve">aligner fourche ou table de l' empileuse </t>
  </si>
  <si>
    <t>Weinig, Inverser les 2 rouleaux introducteur en nid d'abeille de la Weinig (mettre le moins usé en face du rouleau presseur</t>
  </si>
  <si>
    <t>Brucks, Palier demi-coquille du 1er éjecteur, vis manquante + graissage centralisé à brancher</t>
  </si>
  <si>
    <t xml:space="preserve">Trieur SW, ertalon sur boxe 8 coté Urmatt à remplacer </t>
  </si>
  <si>
    <t>PAG U, Boxe 130 Poteau HS</t>
  </si>
  <si>
    <t>LOGISTIQUE Fenwick n°34 : vidange à faire</t>
  </si>
  <si>
    <t>LOGISTIQUE Fenwick n°62 : porte HS</t>
  </si>
  <si>
    <t>LOGISTIQUE Fenwick n°27 : klaxon ne fonctionne plus</t>
  </si>
  <si>
    <t>baumann 45  fuite sur réducteur - glissière du mat à vérifier</t>
  </si>
  <si>
    <t>Baumann 47 phare de travail HS</t>
  </si>
  <si>
    <t>baumann 43 le mat se bloque avec une charge lourde</t>
  </si>
  <si>
    <t>baumann 44 problème de demarreur - klaxon- inverseur - consomation huile moteur</t>
  </si>
  <si>
    <t>Broyeur Refente, Vis sans fin sous le broyeur, fuite de sciure</t>
  </si>
  <si>
    <t>S1 : ressouder ou refixer le support des fin de course de la table S1 (fin de course mal aligné, détection limite)</t>
  </si>
  <si>
    <t>Canter S1</t>
  </si>
  <si>
    <t>hall, réparer les descentes EP</t>
  </si>
  <si>
    <t>PAG U, Bt2, Chaine moteur à changer</t>
  </si>
  <si>
    <t>trou dans plancher à l' entrée sous trieur SW (au-dessus courçons). Risque d' accident car nettoyage tous les jours.voir pour mettre une tôle car casse souvent à cause des chutes. Redit de l'étiquette du 19/10/10 num 6459</t>
  </si>
  <si>
    <t>Alimentation billon, boitier prise 220-380 cassé (celui en face du deck portique) risque de court circuit avec la pluie</t>
  </si>
  <si>
    <t xml:space="preserve">déligneuse Söderhamn, laser d'alignement des pièces à remplacer </t>
  </si>
  <si>
    <t>trimmer SW, 2ème câble de déplacement des lames HS</t>
  </si>
  <si>
    <t xml:space="preserve">4130hw, pignon 1 HS </t>
  </si>
  <si>
    <t>WEING REMISE EN PLACE DU NOUVEAU SUPPORT DU PRESSEUR PRES DE LA TOUPIE DROITE</t>
  </si>
  <si>
    <t>Weinig, Recouper les chaînes plus tension des transferts 12 &amp; 60</t>
  </si>
  <si>
    <t>Fenwick 62, Fourche trop courte en longueur</t>
  </si>
  <si>
    <t>Fenwick</t>
  </si>
  <si>
    <t>Weinig, Changer le bouton d'arrêt d'urgence du pupitre (faux contact)</t>
  </si>
  <si>
    <t>PAG U, Courroies Kr2 HS</t>
  </si>
  <si>
    <t>860HW, remplacer les courroies qui faiblissent</t>
  </si>
  <si>
    <t>Schilcher, 2070, tendeur Hs au niveau du démêleur</t>
  </si>
  <si>
    <t>Brucks, Lampe à changer en haut de la tour, la vitre est cassée (tubulator 607)</t>
  </si>
  <si>
    <t>SUPPRIMER LE MESSAGE D'ERREUR DP3 SUR L'ORDINATEUR LINCK</t>
  </si>
  <si>
    <t>SW930, Fuite hydraulique</t>
  </si>
  <si>
    <t>Soderhamm, Modifier déflecteur jonction Bth5 -Bt..</t>
  </si>
  <si>
    <t>cOSTA, remplacer tuyau d'aspirationdu haut et du bas</t>
  </si>
  <si>
    <t>Déligneuse Linck, Remplacer vis sur les taquets de Qm12</t>
  </si>
  <si>
    <t>Cave Canter, Bande Brucks 40 à recentrer</t>
  </si>
  <si>
    <t>PAG, Bante Bt3 en mauvais état</t>
  </si>
  <si>
    <t>Déligneuse Linck, roulement du rouleau avant les lames à changer</t>
  </si>
  <si>
    <t>Qualité poste 3 4° chaine à recaler (chaine à taquet vert juste avant entrée classeur)</t>
  </si>
  <si>
    <t>PAG U, Brucks, Caillebotis à fixer et structure à renforcer</t>
  </si>
  <si>
    <t>Canter, Kl1b, Disjonction à grande vitesse</t>
  </si>
  <si>
    <t>Orgel Manu</t>
  </si>
  <si>
    <t>PAGU</t>
  </si>
  <si>
    <t>Scierie</t>
  </si>
  <si>
    <t>Trieur</t>
  </si>
  <si>
    <t>Refente</t>
  </si>
  <si>
    <t>HW Klaxon sur chariot latte cache à changer</t>
  </si>
  <si>
    <t>HW -chariot de manutention des lattes . Faire l'entretien</t>
  </si>
  <si>
    <t>cercleuse , guide carrelet à remettre en état.Côté gauche tordu,les traverses se mettent de biais</t>
  </si>
  <si>
    <t>lumière des boxes ne fonctionne toujours pas</t>
  </si>
  <si>
    <t>refaire la butée des couches ou élevé les fourches, le bois accroche trop</t>
  </si>
  <si>
    <t>Vérifier freins du treuil</t>
  </si>
  <si>
    <t xml:space="preserve">Sb6, vérifier le graissage des galets </t>
  </si>
  <si>
    <t>PAG U, Lv2, 3ème demi lune déssoudée + 4ème tordue</t>
  </si>
  <si>
    <t>Changer ertalon chaine Kl3</t>
  </si>
  <si>
    <t>SE2, Poutre de fixation des rouleaux presseurs cassées</t>
  </si>
  <si>
    <t>sw 4110 : retendre chaine d'entrainement moteur</t>
  </si>
  <si>
    <t>Bras de maintien devant ZD1 axe + pignon H.S.</t>
  </si>
  <si>
    <t>canet</t>
  </si>
  <si>
    <t>Liaison schilcher</t>
  </si>
  <si>
    <t>bacs, voir roulements pompe de brassage n°8</t>
  </si>
  <si>
    <t>BACS, mise en route pompe de brassage bac REU</t>
  </si>
  <si>
    <t>PAGU, Kr1 &amp; Kr2 à reconditionner</t>
  </si>
  <si>
    <t>CHANGER LES FOURCHES, ne pas oublier les salon à souder</t>
  </si>
  <si>
    <t>ELEVATEUR N°12</t>
  </si>
  <si>
    <t>fenwick</t>
  </si>
  <si>
    <t xml:space="preserve">Scierie, Dv1, coller les vis des chariots à billes </t>
  </si>
  <si>
    <t>WEINIG ROULEMENT HS SUR LES 2 DERNIE ROULEAUX DANS LA TABLE</t>
  </si>
  <si>
    <t>STENNER COMMANDE 4 ROULEAUX D ENTRENEMENT POUR LES CHANGE AU MOI D AOUTE ROULEAUX SPIRALE</t>
  </si>
  <si>
    <t>COSTA CHANGER LE VERIN  DES ROULEAUX EXTRACTEUR LA COURSE DU VERIN N EST PAS BONNE</t>
  </si>
  <si>
    <t xml:space="preserve">WEINIG REFAIRE UNE NOUVELLE BUTEE SUR LA TABLE D JECTION APRES LA WEINIG </t>
  </si>
  <si>
    <t>WEINIG MISE EN PLACE D UN VERIN PENEUMATIQUE POUR TENDRE LA CHAINE SUR LE TRAIN DE ROULEAUX AR1</t>
  </si>
  <si>
    <t>REFENTE ASPIRATION CONTOLE DE TOUS LES CONTACTEUR + ETANCHEIFIE LARMOIRE ELECTRIQUE</t>
  </si>
  <si>
    <t>WEINIG CHANGE TOUS LES ROULEAUX VULCANISE AVANT LE MOI D AOUT</t>
  </si>
  <si>
    <t>Bt1, Silentbloc HS</t>
  </si>
  <si>
    <t xml:space="preserve">Manque glissière latérale sur 2e brin côté vallée, près du pignon. </t>
  </si>
  <si>
    <t xml:space="preserve">Manque glissière latérale sur 1er brin côté vallée, près du pignon d e renvoi. </t>
  </si>
  <si>
    <t>Refaire tôlage côté strasbourg</t>
  </si>
  <si>
    <t>Rqm6</t>
  </si>
  <si>
    <t>Changer chaine</t>
  </si>
  <si>
    <t xml:space="preserve">Alimentation billons, remettre la signalisation ( chaines rouge-blanc ) en état </t>
  </si>
  <si>
    <t xml:space="preserve">remplacer les bras de fourche dont le talon est usé </t>
  </si>
  <si>
    <t>fenwick n°12</t>
  </si>
  <si>
    <t xml:space="preserve">remettre en état le fonctionnement du gyrophare </t>
  </si>
  <si>
    <t>fennwick n°11</t>
  </si>
  <si>
    <t xml:space="preserve">remplacer les chaînes de levage qui présentent un allongement </t>
  </si>
  <si>
    <t xml:space="preserve">remettre en état le gyrophare </t>
  </si>
  <si>
    <t>fennwick n°27</t>
  </si>
  <si>
    <t xml:space="preserve">afficher le tableau de charge au poste de travail </t>
  </si>
  <si>
    <t xml:space="preserve">résorber les fuites hydrauliques, remplacer les flexibles usés </t>
  </si>
  <si>
    <t xml:space="preserve">Weinig, aspiration fuite au dessus de la machine + au poste d'alimentation, le grand coude </t>
  </si>
  <si>
    <t>Del. Linck, Bth3, fuite d'air</t>
  </si>
  <si>
    <t>PAG U, Kr1, Pattes du moteur à changer</t>
  </si>
  <si>
    <t>Urgent</t>
  </si>
  <si>
    <t>Weinig, Coude de l'aspiration, fuite à changer ou réparer</t>
  </si>
  <si>
    <t>Alimentation, tendre chaine Rqm7</t>
  </si>
  <si>
    <t>Alimentation, caillebotis derrier SB1 HS</t>
  </si>
  <si>
    <t xml:space="preserve">Alimentation </t>
  </si>
  <si>
    <t>Trieur HW, Après un redémarrage sur une intervention au dispatcheur (1ere porte), l'hydraulique se coupe - message "rupture canalisation"</t>
  </si>
  <si>
    <t>Rouleau entre Bt3 et RSO, Soudure à reprendre</t>
  </si>
  <si>
    <t>Planche cassée là où on pose les gabarits de traverse et de carrelet ("Urgent risque d'accident")</t>
  </si>
  <si>
    <t>Stenner, Remettre en état le système d'asservissement de la vitesse d'avance</t>
  </si>
  <si>
    <t>Canter, Rqm4, Glissière à remettre en état</t>
  </si>
  <si>
    <t>fraises en  haute à droite Sé bruit anormal (claque)</t>
  </si>
  <si>
    <t>Costa, Remettre le transfert d'alimentation et la butée en état</t>
  </si>
  <si>
    <t>Broyeur, Voir pour changer la tôle arrondi dans le capot broyeur</t>
  </si>
  <si>
    <t>Soudure ejecteur 15 sur axe à refaire</t>
  </si>
  <si>
    <t>Changer glissière entrée KL2</t>
  </si>
  <si>
    <t>ZONE BRUIT trieur Poteau pour chaine HS</t>
  </si>
  <si>
    <t>empileuse,coté gauche,galet (guide) table de levage infèrieure(au milieu) à changer.Creuse l' IPN</t>
  </si>
  <si>
    <t xml:space="preserve">schilcher, bruit anormal au niveau du démêleur Springer </t>
  </si>
  <si>
    <t>Weinig, alignement des rouleaux excentrique</t>
  </si>
  <si>
    <t>refaire le plancher à la tombée du transfert incliné.URGENT:ap-midi ou congé</t>
  </si>
  <si>
    <t xml:space="preserve">weinig, rabot du bas ne monte plus </t>
  </si>
  <si>
    <t>Weinig</t>
  </si>
  <si>
    <t>735SW, ajouter un marche pieds pour monter sur le transfert ( tuyau sprinkleur )</t>
  </si>
  <si>
    <t xml:space="preserve">Bacs, vérification des résistances des bacs </t>
  </si>
  <si>
    <t>REGLAGE DE LA HAUTEUR DES BRAS DU DEPILEUR</t>
  </si>
  <si>
    <t>Hall traitement, Le boitier de commande des pylones d'éclairage qui est sur  le box A a été endommagé, le cable est dénudé</t>
  </si>
  <si>
    <t xml:space="preserve">Compléter la pose du calorifuge sur la zone chaude </t>
  </si>
  <si>
    <t xml:space="preserve">secheur </t>
  </si>
  <si>
    <t xml:space="preserve">thermo </t>
  </si>
  <si>
    <t>refaire trou dans liaison 170 vers raclette 540</t>
  </si>
  <si>
    <t>cave</t>
  </si>
  <si>
    <t>WIENIG  CHANGER TOUTE LES GLISSIERE DE QM2 A COMMENDE</t>
  </si>
  <si>
    <t>COSTA REGLAGE DU COLLE DE CYGNE</t>
  </si>
  <si>
    <t>WEINIG CHANGE TOUS LES ROULEMENT EN HAUT DU DEPILEUR POUR DECOLLE LES BOIS</t>
  </si>
  <si>
    <t>WEINIG TOUPIE DROITE ET GUAUCHE NE MONTE PLUS , DEMONTAGE + REFAIRE LES TUYAU GRAISSAGE</t>
  </si>
  <si>
    <t>COSTA MISE A NIVEAU DE L EXTRACTEUR PAR RAPPORT A LA COSTA</t>
  </si>
  <si>
    <t>COSTA TUYAUX DE GRAISSAGE H-S SUR LA TABLE D EJECTION N° 10</t>
  </si>
  <si>
    <t>COSTA REMISE EN ETAT DES VERIN PRESSEUR DE L INTRODUCTEURE + DISTRIBUTEUR OUVERTUR FERMETURE</t>
  </si>
  <si>
    <t>COSTA DEPLACEMENT DES CELLULES DE SECURITE DU DEPILEUR POUR QUE LA TABLE NE TOMBE PLUS</t>
  </si>
  <si>
    <t>Porte tamis Brucks vers local sprinkler à réparer</t>
  </si>
  <si>
    <t>Weinig, Bande qui monte les lattes à remettre en place + fixer au sol</t>
  </si>
  <si>
    <t>sous plancher empileuse fuite tuyau sprinkler</t>
  </si>
  <si>
    <t>dépileur remettre la table de niveau + enlever bavure sur 2eme ou 3eme bras</t>
  </si>
  <si>
    <t>Fuchs</t>
  </si>
  <si>
    <t xml:space="preserve">F1, F2, blocage de l'écrou sur la tige filetée </t>
  </si>
  <si>
    <t>Bac de traitement</t>
  </si>
  <si>
    <t>Brucks, Tubulator 10, Contrôle des trémies et écarter les tôles si jeu insuffisant</t>
  </si>
  <si>
    <t>Brucks, Vibreur 240, Courroies à tendre ou à changer</t>
  </si>
  <si>
    <t>Weinig, Roulement HS sur les 2 premiers rouleaux de la table dans la machine</t>
  </si>
  <si>
    <t>7e vlet tape dans tôle, à recentrer</t>
  </si>
  <si>
    <t>Roulement volets 6 et 7</t>
  </si>
  <si>
    <t>Contrôler axe du reducteur</t>
  </si>
  <si>
    <t>changer les deux gyrophares niveau DV1 et  DV3 par des lampes flache bleu ( gyrophare HS )</t>
  </si>
  <si>
    <t xml:space="preserve">pignon HS sur le train de rouleau 06. </t>
  </si>
  <si>
    <t>Revoir l'alignement du transfert d'alimentation Weinig Rouleau 02</t>
  </si>
  <si>
    <t>Grue sennenbogen jeu important dans l'axe du balancier de la pince</t>
  </si>
  <si>
    <t>Retendre chaine de commande de la rotation</t>
  </si>
  <si>
    <t>DV1</t>
  </si>
  <si>
    <t>Système de mesurage automatique HS</t>
  </si>
  <si>
    <t>Voir pour le varitaeur du recyclage se met en défaut</t>
  </si>
  <si>
    <t>Refaire joint étanchéité de Kp1</t>
  </si>
  <si>
    <t>Pied de chaine sortie colis HS</t>
  </si>
  <si>
    <t xml:space="preserve">Alimentation billons, Kl2, remettre le détecteur de surhauteur en état </t>
  </si>
  <si>
    <t>RQm5a, la 3ème chaîne manque</t>
  </si>
  <si>
    <t>Weinig, Conditionneur de botte, coller tous les presseur</t>
  </si>
  <si>
    <t>Weinig, Voir pour changer les glissières de l'empileuse des 2 cotés (montée/descente) usées</t>
  </si>
  <si>
    <t>Raccourcir chaîné + remettre taquets manquant sur RSO</t>
  </si>
  <si>
    <t>PORTE COURSON : 1er volet HS</t>
  </si>
  <si>
    <t>COURSON</t>
  </si>
  <si>
    <t>Indicateur du niveau de gazoil de la sennebogen Hs</t>
  </si>
  <si>
    <t>Sennebogen</t>
  </si>
  <si>
    <t>MJ Meca</t>
  </si>
  <si>
    <t>Redresser les montants de la porte + la remettre en place</t>
  </si>
  <si>
    <t>Faire une potence comme la costa pour l'agrafeuse pneumatique</t>
  </si>
  <si>
    <t>Ejecteur Fl1 (premier bras) =&gt; revoir fixation</t>
  </si>
  <si>
    <t>Roulement de la pompe de brassage du bac N°7 à controler</t>
  </si>
  <si>
    <t>Entrée de Kl5 à changer</t>
  </si>
  <si>
    <t>Qm14a, 2ème rouleau, 1 rouleau HS</t>
  </si>
  <si>
    <t>Trieur Hw</t>
  </si>
  <si>
    <t xml:space="preserve">ROUE ARRIERE GAUCHE FUITE </t>
  </si>
  <si>
    <t>ELEVATEUR 58</t>
  </si>
  <si>
    <t>Magazin court (98) ne fonctionne pas en automatique (pour les cercleage tout est en manuel)</t>
  </si>
  <si>
    <t>AMeca</t>
  </si>
  <si>
    <t>Déligneuse Linck Ar13b, les rouleaux fous sont plus bas que les chaines crantées</t>
  </si>
  <si>
    <t xml:space="preserve">Stenner, capoter la chaine du train de rouleaux d'entrée et réaligner les rouleaux </t>
  </si>
  <si>
    <t>Del. Linck</t>
  </si>
  <si>
    <t>Alimentation billon, passerelle + escalier HS (Deck 1)</t>
  </si>
  <si>
    <t xml:space="preserve">Trieur HW, empileuse, fixation tuyaux sprinkleurs </t>
  </si>
  <si>
    <t xml:space="preserve">Schilcher, boxe 13, éjection trop lente </t>
  </si>
  <si>
    <t>Fuite importante de sciure sur grand cyclone en haut de la plateforme turbine Stenner ou Weinig : URGENT</t>
  </si>
  <si>
    <t>Fuite aspiration sciure sous le grand cyclone : URGENT</t>
  </si>
  <si>
    <t>WEINIG : Fuite aspiration au dessus de la machine</t>
  </si>
  <si>
    <t>Aspiration : fuite au coude sous la machine</t>
  </si>
  <si>
    <t>Aspiration fuite au coude au-dessus de la Gubisch</t>
  </si>
  <si>
    <t>Fuite aspiration au dessus des empileurs</t>
  </si>
  <si>
    <t>S09/2013</t>
  </si>
  <si>
    <t>Chaînes en cde</t>
  </si>
  <si>
    <t>Bande latte du dépileur : roulement HS tambour coté Weinig BT004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</si>
</sst>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"/>
    <numFmt numFmtId="165" formatCode="dd/mm/yy;@"/>
    <numFmt numFmtId="166" formatCode="[$-40C]mmm\-yy;@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color indexed="10"/>
      <name val="Arial"/>
      <family val="2"/>
    </font>
    <font>
      <sz val="9"/>
      <color indexed="58"/>
      <name val="Arial"/>
      <family val="2"/>
    </font>
    <font>
      <sz val="9"/>
      <color indexed="58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sz val="22"/>
      <name val="Arial Black"/>
      <family val="2"/>
    </font>
    <font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5"/>
        <bgColor indexed="50"/>
      </patternFill>
    </fill>
    <fill>
      <patternFill patternType="solid">
        <fgColor indexed="65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17" fontId="3" fillId="2" borderId="1" xfId="0" applyNumberFormat="1" applyFont="1" applyFill="1" applyBorder="1" applyAlignment="1">
      <alignment horizontal="center"/>
    </xf>
    <xf numFmtId="17" fontId="3" fillId="2" borderId="2" xfId="0" applyNumberFormat="1" applyFont="1" applyFill="1" applyBorder="1" applyAlignment="1">
      <alignment horizontal="center"/>
    </xf>
    <xf numFmtId="17" fontId="3" fillId="2" borderId="3" xfId="0" applyNumberFormat="1" applyFont="1" applyFill="1" applyBorder="1" applyAlignment="1">
      <alignment horizontal="center"/>
    </xf>
    <xf numFmtId="17" fontId="3" fillId="2" borderId="4" xfId="0" applyNumberFormat="1" applyFont="1" applyFill="1" applyBorder="1" applyAlignment="1">
      <alignment horizontal="center"/>
    </xf>
    <xf numFmtId="0" fontId="3" fillId="2" borderId="5" xfId="0" applyFont="1" applyFill="1" applyBorder="1"/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/>
    <xf numFmtId="0" fontId="3" fillId="3" borderId="5" xfId="0" applyFont="1" applyFill="1" applyBorder="1" applyAlignment="1">
      <alignment horizontal="center"/>
    </xf>
    <xf numFmtId="0" fontId="3" fillId="4" borderId="9" xfId="0" applyFont="1" applyFill="1" applyBorder="1"/>
    <xf numFmtId="0" fontId="3" fillId="4" borderId="10" xfId="0" applyFont="1" applyFill="1" applyBorder="1" applyAlignment="1">
      <alignment horizontal="center"/>
    </xf>
    <xf numFmtId="0" fontId="3" fillId="2" borderId="11" xfId="0" applyFont="1" applyFill="1" applyBorder="1"/>
    <xf numFmtId="0" fontId="3" fillId="2" borderId="9" xfId="0" applyFont="1" applyFill="1" applyBorder="1"/>
    <xf numFmtId="0" fontId="6" fillId="0" borderId="0" xfId="0" applyFont="1"/>
    <xf numFmtId="166" fontId="3" fillId="0" borderId="0" xfId="0" applyNumberFormat="1" applyFont="1"/>
    <xf numFmtId="166" fontId="3" fillId="2" borderId="1" xfId="0" applyNumberFormat="1" applyFont="1" applyFill="1" applyBorder="1" applyAlignment="1">
      <alignment horizontal="center"/>
    </xf>
    <xf numFmtId="166" fontId="3" fillId="2" borderId="2" xfId="0" applyNumberFormat="1" applyFont="1" applyFill="1" applyBorder="1" applyAlignment="1">
      <alignment horizontal="center"/>
    </xf>
    <xf numFmtId="166" fontId="3" fillId="2" borderId="3" xfId="0" applyNumberFormat="1" applyFont="1" applyFill="1" applyBorder="1" applyAlignment="1">
      <alignment horizontal="center"/>
    </xf>
    <xf numFmtId="166" fontId="3" fillId="2" borderId="4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left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left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9" xfId="0" applyFont="1" applyFill="1" applyBorder="1" applyAlignment="1">
      <alignment horizontal="center"/>
    </xf>
    <xf numFmtId="165" fontId="3" fillId="0" borderId="18" xfId="0" applyNumberFormat="1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49" fontId="3" fillId="0" borderId="18" xfId="0" applyNumberFormat="1" applyFont="1" applyBorder="1" applyAlignment="1">
      <alignment horizontal="left" vertical="top" wrapText="1"/>
    </xf>
    <xf numFmtId="49" fontId="3" fillId="0" borderId="0" xfId="0" applyNumberFormat="1" applyFont="1" applyBorder="1" applyAlignment="1">
      <alignment horizontal="left" vertical="top" wrapText="1"/>
    </xf>
    <xf numFmtId="0" fontId="3" fillId="0" borderId="1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65" fontId="3" fillId="6" borderId="18" xfId="0" applyNumberFormat="1" applyFont="1" applyFill="1" applyBorder="1" applyAlignment="1">
      <alignment horizontal="center" vertical="center"/>
    </xf>
    <xf numFmtId="49" fontId="3" fillId="6" borderId="18" xfId="0" applyNumberFormat="1" applyFont="1" applyFill="1" applyBorder="1" applyAlignment="1">
      <alignment horizontal="left" vertical="top" wrapText="1"/>
    </xf>
    <xf numFmtId="0" fontId="3" fillId="6" borderId="18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1" fontId="3" fillId="6" borderId="18" xfId="0" applyNumberFormat="1" applyFont="1" applyFill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left" vertical="top" wrapText="1"/>
    </xf>
    <xf numFmtId="0" fontId="0" fillId="0" borderId="18" xfId="0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49" fontId="0" fillId="6" borderId="18" xfId="0" applyNumberFormat="1" applyFill="1" applyBorder="1" applyAlignment="1">
      <alignment horizontal="left" vertical="top" wrapText="1"/>
    </xf>
    <xf numFmtId="0" fontId="0" fillId="6" borderId="18" xfId="0" applyFill="1" applyBorder="1" applyAlignment="1">
      <alignment horizontal="center" vertical="center"/>
    </xf>
    <xf numFmtId="1" fontId="0" fillId="6" borderId="18" xfId="0" applyNumberFormat="1" applyFill="1" applyBorder="1" applyAlignment="1">
      <alignment horizontal="center" vertical="center"/>
    </xf>
    <xf numFmtId="165" fontId="9" fillId="6" borderId="18" xfId="0" applyNumberFormat="1" applyFont="1" applyFill="1" applyBorder="1" applyAlignment="1">
      <alignment horizontal="center" vertical="center"/>
    </xf>
    <xf numFmtId="165" fontId="6" fillId="6" borderId="18" xfId="0" applyNumberFormat="1" applyFont="1" applyFill="1" applyBorder="1" applyAlignment="1">
      <alignment horizontal="center" vertical="center"/>
    </xf>
    <xf numFmtId="49" fontId="9" fillId="6" borderId="18" xfId="0" applyNumberFormat="1" applyFont="1" applyFill="1" applyBorder="1" applyAlignment="1">
      <alignment horizontal="left" vertical="top" wrapText="1"/>
    </xf>
    <xf numFmtId="49" fontId="6" fillId="6" borderId="18" xfId="0" applyNumberFormat="1" applyFont="1" applyFill="1" applyBorder="1" applyAlignment="1">
      <alignment horizontal="left" vertical="top" wrapText="1"/>
    </xf>
    <xf numFmtId="14" fontId="3" fillId="6" borderId="18" xfId="0" applyNumberFormat="1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164" fontId="6" fillId="6" borderId="18" xfId="0" applyNumberFormat="1" applyFont="1" applyFill="1" applyBorder="1" applyAlignment="1">
      <alignment horizontal="center" vertical="center"/>
    </xf>
    <xf numFmtId="1" fontId="9" fillId="6" borderId="18" xfId="0" applyNumberFormat="1" applyFont="1" applyFill="1" applyBorder="1" applyAlignment="1">
      <alignment horizontal="center" vertical="center"/>
    </xf>
    <xf numFmtId="1" fontId="6" fillId="6" borderId="18" xfId="0" applyNumberFormat="1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" fontId="11" fillId="0" borderId="18" xfId="0" applyNumberFormat="1" applyFont="1" applyBorder="1" applyAlignment="1">
      <alignment horizontal="center" vertical="center"/>
    </xf>
    <xf numFmtId="165" fontId="10" fillId="6" borderId="18" xfId="0" applyNumberFormat="1" applyFont="1" applyFill="1" applyBorder="1" applyAlignment="1">
      <alignment horizontal="center" vertical="center"/>
    </xf>
    <xf numFmtId="49" fontId="10" fillId="6" borderId="18" xfId="0" applyNumberFormat="1" applyFont="1" applyFill="1" applyBorder="1" applyAlignment="1">
      <alignment horizontal="left" vertical="top" wrapText="1"/>
    </xf>
    <xf numFmtId="164" fontId="3" fillId="6" borderId="18" xfId="0" applyNumberFormat="1" applyFont="1" applyFill="1" applyBorder="1" applyAlignment="1">
      <alignment horizontal="center" vertical="center"/>
    </xf>
    <xf numFmtId="164" fontId="9" fillId="6" borderId="18" xfId="0" applyNumberFormat="1" applyFont="1" applyFill="1" applyBorder="1" applyAlignment="1">
      <alignment horizontal="center" vertical="center"/>
    </xf>
    <xf numFmtId="164" fontId="10" fillId="6" borderId="18" xfId="0" applyNumberFormat="1" applyFon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" fontId="10" fillId="6" borderId="18" xfId="0" applyNumberFormat="1" applyFont="1" applyFill="1" applyBorder="1" applyAlignment="1">
      <alignment horizontal="center" vertical="center"/>
    </xf>
    <xf numFmtId="1" fontId="8" fillId="6" borderId="18" xfId="0" applyNumberFormat="1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165" fontId="4" fillId="7" borderId="21" xfId="0" applyNumberFormat="1" applyFont="1" applyFill="1" applyBorder="1" applyAlignment="1">
      <alignment horizontal="center" vertical="center"/>
    </xf>
    <xf numFmtId="49" fontId="4" fillId="7" borderId="22" xfId="0" applyNumberFormat="1" applyFont="1" applyFill="1" applyBorder="1" applyAlignment="1">
      <alignment horizontal="left" vertical="top" wrapText="1"/>
    </xf>
    <xf numFmtId="0" fontId="4" fillId="7" borderId="22" xfId="0" applyFont="1" applyFill="1" applyBorder="1" applyAlignment="1">
      <alignment horizontal="center" vertical="center"/>
    </xf>
    <xf numFmtId="1" fontId="4" fillId="7" borderId="22" xfId="0" applyNumberFormat="1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165" fontId="3" fillId="6" borderId="24" xfId="0" applyNumberFormat="1" applyFont="1" applyFill="1" applyBorder="1" applyAlignment="1">
      <alignment horizontal="center" vertical="center"/>
    </xf>
    <xf numFmtId="49" fontId="3" fillId="6" borderId="24" xfId="0" applyNumberFormat="1" applyFont="1" applyFill="1" applyBorder="1" applyAlignment="1">
      <alignment horizontal="left" vertical="top" wrapText="1"/>
    </xf>
    <xf numFmtId="0" fontId="3" fillId="6" borderId="24" xfId="0" applyFont="1" applyFill="1" applyBorder="1" applyAlignment="1">
      <alignment horizontal="center" vertical="center"/>
    </xf>
    <xf numFmtId="1" fontId="3" fillId="6" borderId="24" xfId="0" applyNumberFormat="1" applyFont="1" applyFill="1" applyBorder="1" applyAlignment="1">
      <alignment horizontal="center" vertical="center"/>
    </xf>
    <xf numFmtId="164" fontId="4" fillId="7" borderId="22" xfId="0" applyNumberFormat="1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26" xfId="0" applyNumberFormat="1" applyBorder="1" applyAlignment="1" applyProtection="1">
      <alignment horizontal="center" vertical="center"/>
      <protection locked="0"/>
    </xf>
    <xf numFmtId="1" fontId="0" fillId="0" borderId="3" xfId="0" applyNumberFormat="1" applyBorder="1" applyAlignment="1" applyProtection="1">
      <alignment horizontal="left" vertical="center"/>
      <protection locked="0"/>
    </xf>
    <xf numFmtId="0" fontId="0" fillId="0" borderId="27" xfId="0" applyBorder="1" applyProtection="1"/>
    <xf numFmtId="0" fontId="0" fillId="0" borderId="0" xfId="0" applyProtection="1"/>
    <xf numFmtId="0" fontId="13" fillId="3" borderId="0" xfId="0" applyFont="1" applyFill="1" applyProtection="1"/>
    <xf numFmtId="0" fontId="14" fillId="3" borderId="0" xfId="0" applyFont="1" applyFill="1" applyProtection="1"/>
    <xf numFmtId="0" fontId="14" fillId="3" borderId="0" xfId="0" applyNumberFormat="1" applyFont="1" applyFill="1" applyProtection="1"/>
    <xf numFmtId="14" fontId="0" fillId="0" borderId="0" xfId="0" applyNumberFormat="1" applyProtection="1"/>
    <xf numFmtId="0" fontId="0" fillId="0" borderId="4" xfId="0" applyBorder="1" applyProtection="1"/>
    <xf numFmtId="0" fontId="0" fillId="0" borderId="2" xfId="0" applyBorder="1" applyAlignment="1" applyProtection="1">
      <alignment horizontal="right" vertical="center"/>
    </xf>
    <xf numFmtId="0" fontId="0" fillId="0" borderId="0" xfId="0" applyAlignment="1" applyProtection="1">
      <alignment horizontal="left" vertical="top"/>
    </xf>
    <xf numFmtId="0" fontId="0" fillId="0" borderId="0" xfId="0" applyBorder="1" applyProtection="1"/>
    <xf numFmtId="3" fontId="0" fillId="0" borderId="0" xfId="0" applyNumberFormat="1" applyProtection="1">
      <protection locked="0"/>
    </xf>
    <xf numFmtId="49" fontId="3" fillId="0" borderId="18" xfId="0" applyNumberFormat="1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3" fillId="3" borderId="28" xfId="0" applyFont="1" applyFill="1" applyBorder="1"/>
    <xf numFmtId="0" fontId="3" fillId="3" borderId="29" xfId="0" applyFont="1" applyFill="1" applyBorder="1" applyAlignment="1">
      <alignment horizontal="center"/>
    </xf>
    <xf numFmtId="0" fontId="3" fillId="4" borderId="30" xfId="0" applyFont="1" applyFill="1" applyBorder="1"/>
    <xf numFmtId="0" fontId="3" fillId="4" borderId="18" xfId="0" applyFont="1" applyFill="1" applyBorder="1" applyAlignment="1">
      <alignment horizontal="center"/>
    </xf>
    <xf numFmtId="0" fontId="3" fillId="4" borderId="31" xfId="0" applyFont="1" applyFill="1" applyBorder="1"/>
    <xf numFmtId="0" fontId="3" fillId="4" borderId="32" xfId="0" applyFont="1" applyFill="1" applyBorder="1" applyAlignment="1">
      <alignment horizontal="center"/>
    </xf>
    <xf numFmtId="0" fontId="2" fillId="0" borderId="0" xfId="0" applyFont="1"/>
    <xf numFmtId="165" fontId="3" fillId="0" borderId="0" xfId="0" applyNumberFormat="1" applyFont="1" applyBorder="1" applyAlignment="1">
      <alignment horizontal="center" vertical="center"/>
    </xf>
    <xf numFmtId="165" fontId="4" fillId="7" borderId="33" xfId="0" applyNumberFormat="1" applyFont="1" applyFill="1" applyBorder="1" applyAlignment="1">
      <alignment horizontal="center" vertical="center"/>
    </xf>
    <xf numFmtId="49" fontId="4" fillId="7" borderId="34" xfId="0" applyNumberFormat="1" applyFont="1" applyFill="1" applyBorder="1" applyAlignment="1">
      <alignment horizontal="left" vertical="top" wrapText="1"/>
    </xf>
    <xf numFmtId="0" fontId="4" fillId="7" borderId="34" xfId="0" applyFont="1" applyFill="1" applyBorder="1" applyAlignment="1">
      <alignment horizontal="center" vertical="center"/>
    </xf>
    <xf numFmtId="1" fontId="4" fillId="7" borderId="34" xfId="0" applyNumberFormat="1" applyFont="1" applyFill="1" applyBorder="1" applyAlignment="1">
      <alignment horizontal="center" vertical="center"/>
    </xf>
    <xf numFmtId="0" fontId="4" fillId="7" borderId="35" xfId="0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horizontal="left" vertical="center" wrapText="1"/>
    </xf>
    <xf numFmtId="0" fontId="0" fillId="0" borderId="0" xfId="0" applyBorder="1"/>
    <xf numFmtId="0" fontId="0" fillId="0" borderId="5" xfId="0" applyBorder="1" applyAlignment="1" applyProtection="1">
      <alignment horizontal="right" vertical="center"/>
    </xf>
    <xf numFmtId="14" fontId="3" fillId="6" borderId="24" xfId="0" applyNumberFormat="1" applyFont="1" applyFill="1" applyBorder="1" applyAlignment="1">
      <alignment horizontal="center" vertical="center"/>
    </xf>
    <xf numFmtId="1" fontId="0" fillId="0" borderId="27" xfId="0" applyNumberFormat="1" applyBorder="1" applyAlignment="1" applyProtection="1">
      <alignment vertical="center"/>
      <protection locked="0"/>
    </xf>
    <xf numFmtId="0" fontId="0" fillId="0" borderId="36" xfId="0" applyBorder="1" applyAlignment="1" applyProtection="1"/>
    <xf numFmtId="0" fontId="0" fillId="0" borderId="4" xfId="0" applyBorder="1" applyAlignment="1" applyProtection="1"/>
    <xf numFmtId="0" fontId="0" fillId="0" borderId="27" xfId="0" applyBorder="1" applyAlignment="1" applyProtection="1">
      <alignment vertical="center"/>
    </xf>
    <xf numFmtId="0" fontId="0" fillId="0" borderId="27" xfId="0" applyBorder="1" applyAlignment="1" applyProtection="1"/>
    <xf numFmtId="0" fontId="0" fillId="0" borderId="37" xfId="0" applyBorder="1" applyProtection="1"/>
    <xf numFmtId="0" fontId="0" fillId="0" borderId="38" xfId="0" applyBorder="1" applyProtection="1"/>
    <xf numFmtId="0" fontId="0" fillId="0" borderId="10" xfId="0" applyBorder="1" applyAlignment="1" applyProtection="1">
      <alignment horizontal="right"/>
    </xf>
    <xf numFmtId="0" fontId="0" fillId="0" borderId="27" xfId="0" applyNumberFormat="1" applyBorder="1" applyAlignment="1" applyProtection="1">
      <alignment horizontal="left" vertical="center"/>
      <protection locked="0"/>
    </xf>
    <xf numFmtId="165" fontId="11" fillId="6" borderId="18" xfId="0" applyNumberFormat="1" applyFont="1" applyFill="1" applyBorder="1" applyAlignment="1">
      <alignment horizontal="center" vertical="center"/>
    </xf>
    <xf numFmtId="49" fontId="11" fillId="6" borderId="18" xfId="0" applyNumberFormat="1" applyFont="1" applyFill="1" applyBorder="1" applyAlignment="1">
      <alignment horizontal="left" vertical="top" wrapText="1"/>
    </xf>
    <xf numFmtId="164" fontId="11" fillId="6" borderId="18" xfId="0" applyNumberFormat="1" applyFont="1" applyFill="1" applyBorder="1" applyAlignment="1">
      <alignment horizontal="center" vertical="center"/>
    </xf>
    <xf numFmtId="1" fontId="11" fillId="6" borderId="18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165" fontId="4" fillId="0" borderId="18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49" fontId="4" fillId="0" borderId="18" xfId="0" applyNumberFormat="1" applyFont="1" applyBorder="1" applyAlignment="1">
      <alignment horizontal="left" vertical="center" wrapText="1"/>
    </xf>
    <xf numFmtId="0" fontId="0" fillId="0" borderId="5" xfId="0" applyBorder="1"/>
    <xf numFmtId="0" fontId="0" fillId="0" borderId="27" xfId="0" applyBorder="1"/>
    <xf numFmtId="0" fontId="2" fillId="0" borderId="27" xfId="0" applyFont="1" applyBorder="1"/>
    <xf numFmtId="0" fontId="0" fillId="0" borderId="36" xfId="0" applyBorder="1"/>
    <xf numFmtId="0" fontId="0" fillId="0" borderId="11" xfId="0" applyBorder="1"/>
    <xf numFmtId="0" fontId="2" fillId="0" borderId="0" xfId="0" applyFont="1" applyBorder="1"/>
    <xf numFmtId="0" fontId="0" fillId="0" borderId="39" xfId="0" applyBorder="1"/>
    <xf numFmtId="0" fontId="0" fillId="0" borderId="10" xfId="0" applyBorder="1"/>
    <xf numFmtId="0" fontId="0" fillId="0" borderId="37" xfId="0" applyBorder="1"/>
    <xf numFmtId="0" fontId="2" fillId="0" borderId="37" xfId="0" applyFont="1" applyBorder="1"/>
    <xf numFmtId="0" fontId="0" fillId="0" borderId="38" xfId="0" applyBorder="1"/>
    <xf numFmtId="165" fontId="4" fillId="7" borderId="22" xfId="0" applyNumberFormat="1" applyFont="1" applyFill="1" applyBorder="1" applyAlignment="1">
      <alignment horizontal="center" vertical="center" wrapText="1"/>
    </xf>
    <xf numFmtId="0" fontId="3" fillId="3" borderId="28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/>
    </xf>
    <xf numFmtId="165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1" fillId="6" borderId="24" xfId="0" applyFont="1" applyFill="1" applyBorder="1" applyAlignment="1">
      <alignment horizontal="center" vertical="center"/>
    </xf>
    <xf numFmtId="165" fontId="3" fillId="6" borderId="19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1" fontId="3" fillId="6" borderId="0" xfId="0" applyNumberFormat="1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49" fontId="11" fillId="0" borderId="0" xfId="0" applyNumberFormat="1" applyFont="1" applyBorder="1" applyAlignment="1">
      <alignment horizontal="left" vertical="top" wrapText="1"/>
    </xf>
    <xf numFmtId="164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18" xfId="0" applyFont="1" applyBorder="1"/>
    <xf numFmtId="0" fontId="3" fillId="0" borderId="18" xfId="0" applyFont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8" xfId="0" applyFont="1" applyFill="1" applyBorder="1"/>
    <xf numFmtId="165" fontId="0" fillId="8" borderId="18" xfId="0" applyNumberFormat="1" applyFill="1" applyBorder="1" applyAlignment="1">
      <alignment horizontal="center" vertical="center"/>
    </xf>
    <xf numFmtId="49" fontId="0" fillId="8" borderId="18" xfId="0" applyNumberFormat="1" applyFill="1" applyBorder="1" applyAlignment="1">
      <alignment horizontal="left" vertical="top" wrapText="1"/>
    </xf>
    <xf numFmtId="0" fontId="0" fillId="8" borderId="18" xfId="0" applyFill="1" applyBorder="1" applyAlignment="1">
      <alignment horizontal="center" vertical="center"/>
    </xf>
    <xf numFmtId="0" fontId="0" fillId="8" borderId="0" xfId="0" applyFill="1"/>
    <xf numFmtId="1" fontId="0" fillId="8" borderId="18" xfId="0" applyNumberFormat="1" applyFill="1" applyBorder="1" applyAlignment="1">
      <alignment horizontal="center" vertical="center"/>
    </xf>
    <xf numFmtId="14" fontId="3" fillId="0" borderId="18" xfId="0" applyNumberFormat="1" applyFont="1" applyBorder="1"/>
    <xf numFmtId="0" fontId="0" fillId="6" borderId="0" xfId="0" applyFill="1"/>
    <xf numFmtId="165" fontId="0" fillId="6" borderId="24" xfId="0" applyNumberFormat="1" applyFill="1" applyBorder="1" applyAlignment="1">
      <alignment horizontal="center" vertical="center"/>
    </xf>
    <xf numFmtId="49" fontId="0" fillId="6" borderId="24" xfId="0" applyNumberFormat="1" applyFill="1" applyBorder="1" applyAlignment="1">
      <alignment horizontal="left" vertical="top" wrapText="1"/>
    </xf>
    <xf numFmtId="164" fontId="0" fillId="6" borderId="24" xfId="0" applyNumberFormat="1" applyFill="1" applyBorder="1" applyAlignment="1">
      <alignment horizontal="center" vertical="center"/>
    </xf>
    <xf numFmtId="1" fontId="0" fillId="6" borderId="24" xfId="0" applyNumberForma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165" fontId="11" fillId="0" borderId="18" xfId="0" applyNumberFormat="1" applyFont="1" applyBorder="1" applyAlignment="1">
      <alignment horizontal="center" vertical="center"/>
    </xf>
    <xf numFmtId="49" fontId="11" fillId="0" borderId="18" xfId="0" applyNumberFormat="1" applyFont="1" applyBorder="1" applyAlignment="1">
      <alignment horizontal="left" vertical="top" wrapText="1"/>
    </xf>
    <xf numFmtId="0" fontId="11" fillId="0" borderId="18" xfId="0" applyFont="1" applyBorder="1" applyAlignment="1">
      <alignment horizontal="center" vertical="center"/>
    </xf>
    <xf numFmtId="165" fontId="21" fillId="0" borderId="18" xfId="0" applyNumberFormat="1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1" fontId="21" fillId="0" borderId="18" xfId="0" applyNumberFormat="1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/>
    </xf>
    <xf numFmtId="0" fontId="21" fillId="0" borderId="18" xfId="0" applyFont="1" applyBorder="1"/>
    <xf numFmtId="49" fontId="5" fillId="0" borderId="18" xfId="0" applyNumberFormat="1" applyFont="1" applyBorder="1" applyAlignment="1">
      <alignment horizontal="left" vertical="top" wrapText="1"/>
    </xf>
    <xf numFmtId="49" fontId="5" fillId="6" borderId="18" xfId="0" applyNumberFormat="1" applyFont="1" applyFill="1" applyBorder="1" applyAlignment="1">
      <alignment horizontal="left" vertical="top" wrapText="1"/>
    </xf>
    <xf numFmtId="165" fontId="5" fillId="6" borderId="18" xfId="0" applyNumberFormat="1" applyFont="1" applyFill="1" applyBorder="1" applyAlignment="1">
      <alignment horizontal="center" vertical="center"/>
    </xf>
    <xf numFmtId="164" fontId="5" fillId="6" borderId="18" xfId="0" applyNumberFormat="1" applyFont="1" applyFill="1" applyBorder="1" applyAlignment="1">
      <alignment horizontal="center" vertical="center"/>
    </xf>
    <xf numFmtId="1" fontId="5" fillId="6" borderId="18" xfId="0" applyNumberFormat="1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165" fontId="5" fillId="0" borderId="18" xfId="0" applyNumberFormat="1" applyFont="1" applyBorder="1" applyAlignment="1">
      <alignment horizontal="center" vertical="center"/>
    </xf>
    <xf numFmtId="1" fontId="5" fillId="0" borderId="18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3" xfId="0" applyFont="1" applyBorder="1" applyProtection="1"/>
    <xf numFmtId="0" fontId="5" fillId="0" borderId="2" xfId="0" applyFont="1" applyBorder="1" applyAlignment="1" applyProtection="1">
      <alignment horizontal="right" vertical="center"/>
    </xf>
    <xf numFmtId="0" fontId="22" fillId="0" borderId="5" xfId="0" applyFont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36" xfId="0" applyFont="1" applyBorder="1" applyProtection="1">
      <protection locked="0"/>
    </xf>
    <xf numFmtId="0" fontId="22" fillId="0" borderId="11" xfId="0" applyFont="1" applyBorder="1" applyProtection="1">
      <protection locked="0"/>
    </xf>
    <xf numFmtId="165" fontId="0" fillId="0" borderId="39" xfId="0" applyNumberFormat="1" applyBorder="1" applyProtection="1"/>
    <xf numFmtId="0" fontId="0" fillId="0" borderId="39" xfId="0" applyBorder="1" applyProtection="1">
      <protection locked="0"/>
    </xf>
    <xf numFmtId="0" fontId="22" fillId="0" borderId="10" xfId="0" applyFont="1" applyBorder="1" applyProtection="1">
      <protection locked="0"/>
    </xf>
    <xf numFmtId="0" fontId="0" fillId="0" borderId="38" xfId="0" applyBorder="1" applyProtection="1">
      <protection locked="0"/>
    </xf>
    <xf numFmtId="14" fontId="3" fillId="0" borderId="18" xfId="0" applyNumberFormat="1" applyFont="1" applyBorder="1" applyAlignment="1">
      <alignment horizontal="center"/>
    </xf>
    <xf numFmtId="0" fontId="5" fillId="0" borderId="0" xfId="0" applyFont="1" applyProtection="1"/>
    <xf numFmtId="164" fontId="5" fillId="0" borderId="18" xfId="0" applyNumberFormat="1" applyFont="1" applyBorder="1" applyAlignment="1">
      <alignment horizontal="center" vertical="center"/>
    </xf>
    <xf numFmtId="49" fontId="0" fillId="9" borderId="18" xfId="0" applyNumberFormat="1" applyFill="1" applyBorder="1" applyAlignment="1">
      <alignment horizontal="left" vertical="top" wrapText="1"/>
    </xf>
    <xf numFmtId="0" fontId="3" fillId="3" borderId="18" xfId="0" applyFont="1" applyFill="1" applyBorder="1"/>
    <xf numFmtId="49" fontId="3" fillId="9" borderId="18" xfId="0" applyNumberFormat="1" applyFont="1" applyFill="1" applyBorder="1" applyAlignment="1">
      <alignment horizontal="left" vertical="top" wrapText="1"/>
    </xf>
    <xf numFmtId="0" fontId="0" fillId="10" borderId="0" xfId="0" applyFill="1"/>
    <xf numFmtId="49" fontId="21" fillId="9" borderId="18" xfId="0" applyNumberFormat="1" applyFont="1" applyFill="1" applyBorder="1" applyAlignment="1">
      <alignment horizontal="left" vertical="top" wrapText="1"/>
    </xf>
    <xf numFmtId="0" fontId="23" fillId="0" borderId="18" xfId="0" applyFont="1" applyBorder="1"/>
    <xf numFmtId="0" fontId="3" fillId="6" borderId="18" xfId="0" applyFont="1" applyFill="1" applyBorder="1"/>
    <xf numFmtId="17" fontId="3" fillId="6" borderId="18" xfId="0" applyNumberFormat="1" applyFont="1" applyFill="1" applyBorder="1"/>
    <xf numFmtId="49" fontId="0" fillId="0" borderId="0" xfId="0" applyNumberFormat="1" applyBorder="1" applyProtection="1"/>
    <xf numFmtId="0" fontId="0" fillId="0" borderId="37" xfId="0" applyNumberFormat="1" applyBorder="1" applyProtection="1"/>
    <xf numFmtId="0" fontId="2" fillId="0" borderId="0" xfId="0" applyFont="1" applyProtection="1"/>
    <xf numFmtId="0" fontId="16" fillId="0" borderId="0" xfId="0" applyFont="1" applyProtection="1"/>
    <xf numFmtId="0" fontId="19" fillId="0" borderId="0" xfId="0" applyFont="1" applyProtection="1"/>
    <xf numFmtId="0" fontId="17" fillId="0" borderId="0" xfId="0" applyFont="1" applyProtection="1"/>
    <xf numFmtId="0" fontId="0" fillId="0" borderId="0" xfId="0" applyAlignment="1" applyProtection="1">
      <alignment wrapText="1"/>
    </xf>
    <xf numFmtId="0" fontId="0" fillId="0" borderId="0" xfId="0" quotePrefix="1" applyProtection="1"/>
    <xf numFmtId="0" fontId="0" fillId="11" borderId="43" xfId="0" applyFill="1" applyBorder="1" applyAlignment="1" applyProtection="1">
      <alignment horizontal="center" vertical="center"/>
      <protection locked="0"/>
    </xf>
    <xf numFmtId="0" fontId="0" fillId="11" borderId="44" xfId="0" applyFill="1" applyBorder="1" applyProtection="1">
      <protection locked="0"/>
    </xf>
    <xf numFmtId="0" fontId="0" fillId="0" borderId="44" xfId="0" applyBorder="1" applyProtection="1">
      <protection locked="0"/>
    </xf>
    <xf numFmtId="0" fontId="0" fillId="0" borderId="45" xfId="0" applyBorder="1" applyProtection="1">
      <protection locked="0"/>
    </xf>
    <xf numFmtId="14" fontId="2" fillId="7" borderId="46" xfId="0" applyNumberFormat="1" applyFont="1" applyFill="1" applyBorder="1" applyAlignment="1" applyProtection="1">
      <alignment horizontal="left"/>
      <protection locked="0"/>
    </xf>
    <xf numFmtId="0" fontId="2" fillId="7" borderId="47" xfId="0" applyFont="1" applyFill="1" applyBorder="1" applyProtection="1">
      <protection locked="0"/>
    </xf>
    <xf numFmtId="0" fontId="2" fillId="7" borderId="48" xfId="0" applyFont="1" applyFill="1" applyBorder="1" applyProtection="1">
      <protection locked="0"/>
    </xf>
    <xf numFmtId="165" fontId="5" fillId="0" borderId="18" xfId="1" applyNumberFormat="1" applyFont="1" applyBorder="1" applyAlignment="1" applyProtection="1">
      <alignment horizontal="center" vertical="center" wrapText="1"/>
      <protection locked="0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49" fontId="3" fillId="6" borderId="0" xfId="0" applyNumberFormat="1" applyFont="1" applyFill="1" applyBorder="1" applyAlignment="1">
      <alignment horizontal="left" vertical="top" wrapText="1"/>
    </xf>
    <xf numFmtId="49" fontId="7" fillId="0" borderId="18" xfId="0" applyNumberFormat="1" applyFont="1" applyBorder="1" applyAlignment="1">
      <alignment horizontal="left" vertical="top" wrapText="1"/>
    </xf>
    <xf numFmtId="49" fontId="0" fillId="0" borderId="18" xfId="0" applyNumberFormat="1" applyFill="1" applyBorder="1" applyAlignment="1">
      <alignment horizontal="left" vertical="top" wrapText="1"/>
    </xf>
    <xf numFmtId="0" fontId="1" fillId="0" borderId="0" xfId="0" applyFont="1" applyAlignment="1" applyProtection="1">
      <alignment horizontal="left" vertical="center" wrapText="1"/>
      <protection locked="0"/>
    </xf>
    <xf numFmtId="0" fontId="1" fillId="0" borderId="18" xfId="0" applyFont="1" applyBorder="1" applyAlignment="1">
      <alignment horizontal="center" vertical="center"/>
    </xf>
    <xf numFmtId="165" fontId="1" fillId="6" borderId="18" xfId="0" applyNumberFormat="1" applyFont="1" applyFill="1" applyBorder="1" applyAlignment="1">
      <alignment horizontal="center" vertical="center"/>
    </xf>
    <xf numFmtId="49" fontId="1" fillId="6" borderId="18" xfId="0" applyNumberFormat="1" applyFont="1" applyFill="1" applyBorder="1" applyAlignment="1">
      <alignment horizontal="left" vertical="top" wrapText="1"/>
    </xf>
    <xf numFmtId="164" fontId="1" fillId="6" borderId="18" xfId="0" applyNumberFormat="1" applyFont="1" applyFill="1" applyBorder="1" applyAlignment="1">
      <alignment horizontal="center" vertical="center"/>
    </xf>
    <xf numFmtId="1" fontId="1" fillId="6" borderId="18" xfId="0" applyNumberFormat="1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2" fillId="0" borderId="5" xfId="0" applyFont="1" applyBorder="1" applyAlignment="1" applyProtection="1">
      <alignment horizontal="center" vertical="center"/>
    </xf>
    <xf numFmtId="0" fontId="12" fillId="0" borderId="27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37" xfId="0" applyFont="1" applyBorder="1" applyAlignment="1" applyProtection="1">
      <alignment horizontal="center" vertical="center"/>
    </xf>
    <xf numFmtId="0" fontId="12" fillId="12" borderId="5" xfId="0" applyFont="1" applyFill="1" applyBorder="1" applyAlignment="1" applyProtection="1">
      <alignment horizontal="center" vertical="center"/>
      <protection locked="0"/>
    </xf>
    <xf numFmtId="0" fontId="0" fillId="12" borderId="27" xfId="0" applyFill="1" applyBorder="1" applyProtection="1">
      <protection locked="0"/>
    </xf>
    <xf numFmtId="0" fontId="0" fillId="12" borderId="36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37" xfId="0" applyFill="1" applyBorder="1" applyProtection="1">
      <protection locked="0"/>
    </xf>
    <xf numFmtId="0" fontId="0" fillId="12" borderId="38" xfId="0" applyFill="1" applyBorder="1" applyProtection="1">
      <protection locked="0"/>
    </xf>
    <xf numFmtId="0" fontId="12" fillId="13" borderId="2" xfId="0" applyFont="1" applyFill="1" applyBorder="1" applyAlignment="1" applyProtection="1">
      <alignment horizontal="center" vertical="center"/>
    </xf>
    <xf numFmtId="0" fontId="0" fillId="13" borderId="3" xfId="0" applyFill="1" applyBorder="1" applyProtection="1"/>
    <xf numFmtId="0" fontId="0" fillId="13" borderId="4" xfId="0" applyFill="1" applyBorder="1" applyProtection="1"/>
    <xf numFmtId="0" fontId="12" fillId="0" borderId="2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8" fillId="0" borderId="0" xfId="0" applyFont="1" applyAlignment="1">
      <alignment horizontal="center" vertical="center"/>
    </xf>
  </cellXfs>
  <cellStyles count="2">
    <cellStyle name="Normal" xfId="0" builtinId="0"/>
    <cellStyle name="Pourcentage" xfId="1" builtinId="5"/>
  </cellStyles>
  <dxfs count="28"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chartsheet" Target="chartsheets/sheet1.xml"/><Relationship Id="rId21" Type="http://schemas.openxmlformats.org/officeDocument/2006/relationships/worksheet" Target="worksheets/sheet20.xml"/><Relationship Id="rId34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Impact"/>
                <a:ea typeface="Impact"/>
                <a:cs typeface="Impact"/>
              </a:defRPr>
            </a:pPr>
            <a:r>
              <a:rPr lang="fr-FR"/>
              <a:t>SUIVI DES ANOMALIES - Urmatt  </a:t>
            </a:r>
          </a:p>
        </c:rich>
      </c:tx>
      <c:layout>
        <c:manualLayout>
          <c:xMode val="edge"/>
          <c:yMode val="edge"/>
          <c:x val="0.36562499999999998"/>
          <c:y val="3.3666498758362275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8.9583333333333334E-2"/>
          <c:y val="8.0808080808080815E-2"/>
          <c:w val="0.77916666666666667"/>
          <c:h val="0.73737373737373735"/>
        </c:manualLayout>
      </c:layout>
      <c:lineChart>
        <c:grouping val="standard"/>
        <c:varyColors val="0"/>
        <c:ser>
          <c:idx val="0"/>
          <c:order val="0"/>
          <c:tx>
            <c:strRef>
              <c:f>'suivi réalisation'!$B$40</c:f>
              <c:strCache>
                <c:ptCount val="1"/>
                <c:pt idx="0">
                  <c:v>Nombre d'étiquettes d'anomalies émises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réalisation'!$BY$39:$CK$39</c:f>
              <c:numCache>
                <c:formatCode>mmm\-yy</c:formatCode>
                <c:ptCount val="13"/>
                <c:pt idx="0">
                  <c:v>40969</c:v>
                </c:pt>
                <c:pt idx="1">
                  <c:v>41000</c:v>
                </c:pt>
                <c:pt idx="2">
                  <c:v>41030</c:v>
                </c:pt>
                <c:pt idx="3">
                  <c:v>41030</c:v>
                </c:pt>
                <c:pt idx="4">
                  <c:v>41061</c:v>
                </c:pt>
                <c:pt idx="5">
                  <c:v>41091</c:v>
                </c:pt>
                <c:pt idx="6">
                  <c:v>41122</c:v>
                </c:pt>
                <c:pt idx="7">
                  <c:v>41153</c:v>
                </c:pt>
                <c:pt idx="8">
                  <c:v>41183</c:v>
                </c:pt>
                <c:pt idx="9">
                  <c:v>41214</c:v>
                </c:pt>
                <c:pt idx="10">
                  <c:v>41244</c:v>
                </c:pt>
                <c:pt idx="11">
                  <c:v>41275</c:v>
                </c:pt>
                <c:pt idx="12">
                  <c:v>41306</c:v>
                </c:pt>
              </c:numCache>
            </c:numRef>
          </c:cat>
          <c:val>
            <c:numRef>
              <c:f>'suivi réalisation'!$BY$40:$CK$40</c:f>
              <c:numCache>
                <c:formatCode>General</c:formatCode>
                <c:ptCount val="13"/>
                <c:pt idx="0">
                  <c:v>-1</c:v>
                </c:pt>
                <c:pt idx="1">
                  <c:v>4</c:v>
                </c:pt>
                <c:pt idx="2">
                  <c:v>38</c:v>
                </c:pt>
                <c:pt idx="3">
                  <c:v>92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10</c:v>
                </c:pt>
                <c:pt idx="8">
                  <c:v>13</c:v>
                </c:pt>
                <c:pt idx="9">
                  <c:v>10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'suivi réalisation'!$B$41</c:f>
              <c:strCache>
                <c:ptCount val="1"/>
                <c:pt idx="0">
                  <c:v>Nombre d'anomalies réparées</c:v>
                </c:pt>
              </c:strCache>
            </c:strRef>
          </c:tx>
          <c:spPr>
            <a:ln w="38100">
              <a:solidFill>
                <a:srgbClr val="99CC00"/>
              </a:solidFill>
              <a:prstDash val="lgDashDot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réalisation'!$BY$39:$CK$39</c:f>
              <c:numCache>
                <c:formatCode>mmm\-yy</c:formatCode>
                <c:ptCount val="13"/>
                <c:pt idx="0">
                  <c:v>40969</c:v>
                </c:pt>
                <c:pt idx="1">
                  <c:v>41000</c:v>
                </c:pt>
                <c:pt idx="2">
                  <c:v>41030</c:v>
                </c:pt>
                <c:pt idx="3">
                  <c:v>41030</c:v>
                </c:pt>
                <c:pt idx="4">
                  <c:v>41061</c:v>
                </c:pt>
                <c:pt idx="5">
                  <c:v>41091</c:v>
                </c:pt>
                <c:pt idx="6">
                  <c:v>41122</c:v>
                </c:pt>
                <c:pt idx="7">
                  <c:v>41153</c:v>
                </c:pt>
                <c:pt idx="8">
                  <c:v>41183</c:v>
                </c:pt>
                <c:pt idx="9">
                  <c:v>41214</c:v>
                </c:pt>
                <c:pt idx="10">
                  <c:v>41244</c:v>
                </c:pt>
                <c:pt idx="11">
                  <c:v>41275</c:v>
                </c:pt>
                <c:pt idx="12">
                  <c:v>41306</c:v>
                </c:pt>
              </c:numCache>
            </c:numRef>
          </c:cat>
          <c:val>
            <c:numRef>
              <c:f>'suivi réalisation'!$BY$41:$CK$41</c:f>
              <c:numCache>
                <c:formatCode>General</c:formatCode>
                <c:ptCount val="13"/>
                <c:pt idx="0">
                  <c:v>0</c:v>
                </c:pt>
                <c:pt idx="1">
                  <c:v>95</c:v>
                </c:pt>
                <c:pt idx="2">
                  <c:v>82</c:v>
                </c:pt>
                <c:pt idx="3">
                  <c:v>1</c:v>
                </c:pt>
                <c:pt idx="4">
                  <c:v>50</c:v>
                </c:pt>
                <c:pt idx="5">
                  <c:v>67</c:v>
                </c:pt>
                <c:pt idx="6">
                  <c:v>58</c:v>
                </c:pt>
                <c:pt idx="7">
                  <c:v>50</c:v>
                </c:pt>
                <c:pt idx="8">
                  <c:v>26</c:v>
                </c:pt>
                <c:pt idx="9">
                  <c:v>33</c:v>
                </c:pt>
                <c:pt idx="10">
                  <c:v>23</c:v>
                </c:pt>
                <c:pt idx="11">
                  <c:v>24</c:v>
                </c:pt>
                <c:pt idx="12">
                  <c:v>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'suivi réalisation'!$B$42</c:f>
              <c:strCache>
                <c:ptCount val="1"/>
                <c:pt idx="0">
                  <c:v>Reste à réaliser en cumul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réalisation'!$BY$39:$CK$39</c:f>
              <c:numCache>
                <c:formatCode>mmm\-yy</c:formatCode>
                <c:ptCount val="13"/>
                <c:pt idx="0">
                  <c:v>40969</c:v>
                </c:pt>
                <c:pt idx="1">
                  <c:v>41000</c:v>
                </c:pt>
                <c:pt idx="2">
                  <c:v>41030</c:v>
                </c:pt>
                <c:pt idx="3">
                  <c:v>41030</c:v>
                </c:pt>
                <c:pt idx="4">
                  <c:v>41061</c:v>
                </c:pt>
                <c:pt idx="5">
                  <c:v>41091</c:v>
                </c:pt>
                <c:pt idx="6">
                  <c:v>41122</c:v>
                </c:pt>
                <c:pt idx="7">
                  <c:v>41153</c:v>
                </c:pt>
                <c:pt idx="8">
                  <c:v>41183</c:v>
                </c:pt>
                <c:pt idx="9">
                  <c:v>41214</c:v>
                </c:pt>
                <c:pt idx="10">
                  <c:v>41244</c:v>
                </c:pt>
                <c:pt idx="11">
                  <c:v>41275</c:v>
                </c:pt>
                <c:pt idx="12">
                  <c:v>41306</c:v>
                </c:pt>
              </c:numCache>
            </c:numRef>
          </c:cat>
          <c:val>
            <c:numRef>
              <c:f>'suivi réalisation'!$BY$42:$CK$42</c:f>
              <c:numCache>
                <c:formatCode>General</c:formatCode>
                <c:ptCount val="13"/>
                <c:pt idx="0">
                  <c:v>248</c:v>
                </c:pt>
                <c:pt idx="1">
                  <c:v>366</c:v>
                </c:pt>
                <c:pt idx="2">
                  <c:v>322</c:v>
                </c:pt>
                <c:pt idx="3">
                  <c:v>425</c:v>
                </c:pt>
                <c:pt idx="4">
                  <c:v>367</c:v>
                </c:pt>
                <c:pt idx="5">
                  <c:v>304</c:v>
                </c:pt>
                <c:pt idx="6">
                  <c:v>250</c:v>
                </c:pt>
                <c:pt idx="7">
                  <c:v>210</c:v>
                </c:pt>
                <c:pt idx="8">
                  <c:v>197</c:v>
                </c:pt>
                <c:pt idx="9">
                  <c:v>174</c:v>
                </c:pt>
                <c:pt idx="10">
                  <c:v>161</c:v>
                </c:pt>
                <c:pt idx="11">
                  <c:v>137</c:v>
                </c:pt>
                <c:pt idx="12">
                  <c:v>122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93632"/>
        <c:axId val="90695552"/>
      </c:lineChart>
      <c:catAx>
        <c:axId val="9069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Mois de réalisation</a:t>
                </a:r>
              </a:p>
            </c:rich>
          </c:tx>
          <c:layout>
            <c:manualLayout>
              <c:xMode val="edge"/>
              <c:yMode val="edge"/>
              <c:x val="0.48645822397200345"/>
              <c:y val="0.85858691905935991"/>
            </c:manualLayout>
          </c:layout>
          <c:overlay val="0"/>
          <c:spPr>
            <a:noFill/>
            <a:ln w="25400">
              <a:noFill/>
            </a:ln>
          </c:spPr>
        </c:title>
        <c:numFmt formatCode="[$-40C]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06955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0695552"/>
        <c:scaling>
          <c:orientation val="minMax"/>
          <c:max val="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0693632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DBDBDB" mc:Ignorable="a14" a14:legacySpreadsheetColorIndex="9">
                <a:gamma/>
                <a:shade val="85882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18900000" scaled="1"/>
        </a:gra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82828282828282829"/>
          <c:w val="0.64270833333333333"/>
          <c:h val="0.144781144781144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100000">
          <a:srgbClr val="CCFFCC"/>
        </a:gs>
      </a:gsLst>
      <a:lin ang="5400000" scaled="1"/>
    </a:gra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PAG</a:t>
            </a:r>
          </a:p>
        </c:rich>
      </c:tx>
      <c:layout>
        <c:manualLayout>
          <c:xMode val="edge"/>
          <c:yMode val="edge"/>
          <c:x val="0.45030468554513847"/>
          <c:y val="3.46020761245674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50517747010636"/>
          <c:y val="0.33910091895024425"/>
          <c:w val="0.87626861636011222"/>
          <c:h val="0.34602134586759614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réalisation'!$CE$3:$CK$3</c:f>
              <c:numCache>
                <c:formatCode>General</c:formatCode>
                <c:ptCount val="7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réalisation'!$CE$4:$CK$4</c:f>
              <c:numCache>
                <c:formatCode>General</c:formatCode>
                <c:ptCount val="7"/>
                <c:pt idx="0">
                  <c:v>10</c:v>
                </c:pt>
                <c:pt idx="1">
                  <c:v>15</c:v>
                </c:pt>
                <c:pt idx="2">
                  <c:v>7</c:v>
                </c:pt>
                <c:pt idx="3">
                  <c:v>2</c:v>
                </c:pt>
                <c:pt idx="4">
                  <c:v>8</c:v>
                </c:pt>
                <c:pt idx="5">
                  <c:v>3</c:v>
                </c:pt>
                <c:pt idx="6">
                  <c:v>2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réalisation'!$CE$5:$CK$5</c:f>
              <c:numCache>
                <c:formatCode>General</c:formatCode>
                <c:ptCount val="7"/>
                <c:pt idx="0">
                  <c:v>81</c:v>
                </c:pt>
                <c:pt idx="1">
                  <c:v>68</c:v>
                </c:pt>
                <c:pt idx="2">
                  <c:v>62</c:v>
                </c:pt>
                <c:pt idx="3">
                  <c:v>68</c:v>
                </c:pt>
                <c:pt idx="4">
                  <c:v>62</c:v>
                </c:pt>
                <c:pt idx="5">
                  <c:v>59</c:v>
                </c:pt>
                <c:pt idx="6">
                  <c:v>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18528"/>
        <c:axId val="98520064"/>
      </c:lineChart>
      <c:catAx>
        <c:axId val="985185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85200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520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85185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3.8539591923245679E-2"/>
          <c:y val="0.81661037624752686"/>
          <c:w val="0.76064984059037521"/>
          <c:h val="0.173010672933798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Scierie | Alimentation billons</a:t>
            </a:r>
          </a:p>
        </c:rich>
      </c:tx>
      <c:layout>
        <c:manualLayout>
          <c:xMode val="edge"/>
          <c:yMode val="edge"/>
          <c:x val="0.27878851507197966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868858248220979E-2"/>
          <c:y val="0.13240418118466898"/>
          <c:w val="0.88283002452261783"/>
          <c:h val="0.47735191637630664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réalisation'!$CE$6:$CK$6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réalisation'!$CE$7:$CK$7</c:f>
              <c:numCache>
                <c:formatCode>General</c:formatCode>
                <c:ptCount val="7"/>
                <c:pt idx="0">
                  <c:v>31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3</c:v>
                </c:pt>
                <c:pt idx="6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réalisation'!$CE$8:$CK$8</c:f>
              <c:numCache>
                <c:formatCode>General</c:formatCode>
                <c:ptCount val="7"/>
                <c:pt idx="0">
                  <c:v>34</c:v>
                </c:pt>
                <c:pt idx="1">
                  <c:v>34</c:v>
                </c:pt>
                <c:pt idx="2">
                  <c:v>29</c:v>
                </c:pt>
                <c:pt idx="3">
                  <c:v>22</c:v>
                </c:pt>
                <c:pt idx="4">
                  <c:v>16</c:v>
                </c:pt>
                <c:pt idx="5">
                  <c:v>13</c:v>
                </c:pt>
                <c:pt idx="6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76256"/>
        <c:axId val="98577792"/>
      </c:lineChart>
      <c:catAx>
        <c:axId val="98576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8577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577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8576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121236034635484E-2"/>
          <c:y val="0.81184668989547037"/>
          <c:w val="0.75757725216471783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Trieurs</a:t>
            </a:r>
          </a:p>
        </c:rich>
      </c:tx>
      <c:layout>
        <c:manualLayout>
          <c:xMode val="edge"/>
          <c:yMode val="edge"/>
          <c:x val="0.4390252437957449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9854745964229E-2"/>
          <c:y val="0.13240418118466898"/>
          <c:w val="0.88008304767500256"/>
          <c:h val="0.47735191637630664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réalisation'!$CE$9:$CK$9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réalisation'!$CE$10:$CK$10</c:f>
              <c:numCache>
                <c:formatCode>General</c:formatCode>
                <c:ptCount val="7"/>
                <c:pt idx="0">
                  <c:v>7</c:v>
                </c:pt>
                <c:pt idx="1">
                  <c:v>18</c:v>
                </c:pt>
                <c:pt idx="2">
                  <c:v>9</c:v>
                </c:pt>
                <c:pt idx="3">
                  <c:v>20</c:v>
                </c:pt>
                <c:pt idx="4">
                  <c:v>8</c:v>
                </c:pt>
                <c:pt idx="5">
                  <c:v>13</c:v>
                </c:pt>
                <c:pt idx="6">
                  <c:v>8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réalisation'!$CE$11:$CK$11</c:f>
              <c:numCache>
                <c:formatCode>General</c:formatCode>
                <c:ptCount val="7"/>
                <c:pt idx="0">
                  <c:v>72</c:v>
                </c:pt>
                <c:pt idx="1">
                  <c:v>55</c:v>
                </c:pt>
                <c:pt idx="2">
                  <c:v>55</c:v>
                </c:pt>
                <c:pt idx="3">
                  <c:v>35</c:v>
                </c:pt>
                <c:pt idx="4">
                  <c:v>34</c:v>
                </c:pt>
                <c:pt idx="5">
                  <c:v>21</c:v>
                </c:pt>
                <c:pt idx="6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36480"/>
        <c:axId val="102842368"/>
      </c:lineChart>
      <c:catAx>
        <c:axId val="10283648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842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842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8364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62621797632825E-2"/>
          <c:y val="0.81184668989547037"/>
          <c:w val="0.7621966348224618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Refente</a:t>
            </a:r>
          </a:p>
        </c:rich>
      </c:tx>
      <c:layout>
        <c:manualLayout>
          <c:xMode val="edge"/>
          <c:yMode val="edge"/>
          <c:x val="0.43902524379574498"/>
          <c:y val="2.768166089965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9854745964229E-2"/>
          <c:y val="0.32872027857421632"/>
          <c:w val="0.88008304767500256"/>
          <c:h val="0.35640198624362401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réalisation'!$CE$12:$CK$12</c:f>
              <c:numCache>
                <c:formatCode>General</c:formatCode>
                <c:ptCount val="7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réalisation'!$CE$13:$CK$13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réalisation'!$CE$14:$CK$14</c:f>
              <c:numCache>
                <c:formatCode>General</c:formatCode>
                <c:ptCount val="7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44</c:v>
                </c:pt>
                <c:pt idx="4">
                  <c:v>44</c:v>
                </c:pt>
                <c:pt idx="5">
                  <c:v>40</c:v>
                </c:pt>
                <c:pt idx="6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90112"/>
        <c:axId val="108151168"/>
      </c:lineChart>
      <c:catAx>
        <c:axId val="10289011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1511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8151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8901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3.8617962831004729E-2"/>
          <c:y val="0.81661037624752686"/>
          <c:w val="0.7621966348224618"/>
          <c:h val="0.173010672933798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Expéditions</a:t>
            </a:r>
          </a:p>
        </c:rich>
      </c:tx>
      <c:layout>
        <c:manualLayout>
          <c:xMode val="edge"/>
          <c:yMode val="edge"/>
          <c:x val="0.40283400809716602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44534412955468E-2"/>
          <c:y val="0.33910091895024425"/>
          <c:w val="0.88663967611336036"/>
          <c:h val="0.34602134586759614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réalisation'!$CE$15:$CK$15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réalisation'!$CE$16:$CK$16</c:f>
              <c:numCache>
                <c:formatCode>General</c:formatCode>
                <c:ptCount val="7"/>
                <c:pt idx="0">
                  <c:v>0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réalisation'!$CE$17:$CK$17</c:f>
              <c:numCache>
                <c:formatCode>General</c:formatCode>
                <c:ptCount val="7"/>
                <c:pt idx="0">
                  <c:v>14</c:v>
                </c:pt>
                <c:pt idx="1">
                  <c:v>7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78432"/>
        <c:axId val="108188416"/>
      </c:lineChart>
      <c:catAx>
        <c:axId val="1081784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188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8188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1784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21457489878543E-2"/>
          <c:y val="0.81661037624752686"/>
          <c:w val="0.75910931174089069"/>
          <c:h val="0.173010672933798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Bureaux</a:t>
            </a:r>
          </a:p>
        </c:rich>
      </c:tx>
      <c:layout>
        <c:manualLayout>
          <c:xMode val="edge"/>
          <c:yMode val="edge"/>
          <c:x val="0.4303038786818314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27416207812909E-2"/>
          <c:y val="0.1289198606271777"/>
          <c:w val="0.89697146656302584"/>
          <c:h val="0.47038327526132406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réalisation'!$CE$18:$CK$18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réalisation'!$CE$19:$CK$19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réalisation'!$CE$20:$CK$20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23488"/>
        <c:axId val="108245760"/>
      </c:lineChart>
      <c:catAx>
        <c:axId val="1082234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2457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824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223488"/>
        <c:crosses val="autoZero"/>
        <c:crossBetween val="between"/>
        <c:maj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01030028862904E-2"/>
          <c:y val="0.79790940766550522"/>
          <c:w val="0.75757725216471783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Evacuation connexes</a:t>
            </a:r>
          </a:p>
        </c:rich>
      </c:tx>
      <c:layout>
        <c:manualLayout>
          <c:xMode val="edge"/>
          <c:yMode val="edge"/>
          <c:x val="0.32929356557703016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27416207812909E-2"/>
          <c:y val="0.13588850174216027"/>
          <c:w val="0.88687043653416298"/>
          <c:h val="0.47386759581881532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réalisation'!$CE$21:$CK$21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réalisation'!$CE$22:$CK$22</c:f>
              <c:numCache>
                <c:formatCode>General</c:formatCode>
                <c:ptCount val="7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réalisation'!$CE$23:$CK$23</c:f>
              <c:numCache>
                <c:formatCode>General</c:formatCode>
                <c:ptCount val="7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45120"/>
        <c:axId val="102659200"/>
      </c:lineChart>
      <c:catAx>
        <c:axId val="1026451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659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65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6451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505071230017421"/>
          <c:y val="0.81184668989547037"/>
          <c:w val="0.75757725216471783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PBL</a:t>
            </a:r>
          </a:p>
        </c:rich>
      </c:tx>
      <c:layout>
        <c:manualLayout>
          <c:xMode val="edge"/>
          <c:yMode val="edge"/>
          <c:x val="0.46247507094067603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1997874538336"/>
          <c:y val="0.13240418118466898"/>
          <c:w val="0.83164382571214357"/>
          <c:h val="0.46689895470383275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réalisation'!$CE$27:$CK$27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réalisation'!$CE$28:$CK$28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réalisation'!$CE$29:$CK$29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98368"/>
        <c:axId val="102704256"/>
      </c:lineChart>
      <c:dateAx>
        <c:axId val="1026983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7042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2704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6983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73838894759935E-2"/>
          <c:y val="0.21951219512195122"/>
          <c:w val="0.76064984059037521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SRM</a:t>
            </a:r>
          </a:p>
        </c:rich>
      </c:tx>
      <c:layout>
        <c:manualLayout>
          <c:xMode val="edge"/>
          <c:yMode val="edge"/>
          <c:x val="0.45748987854251011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141700404858295E-2"/>
          <c:y val="0.1289198606271777"/>
          <c:w val="0.82793522267206476"/>
          <c:h val="0.47038327526132406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réalisation'!$CE$24:$CK$24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réalisation'!$CE$25:$CK$25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réalisation'!$CE$26:$CK$26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68640"/>
        <c:axId val="102770176"/>
      </c:lineChart>
      <c:dateAx>
        <c:axId val="1027686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7701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2770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7686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21457489878543E-2"/>
          <c:y val="0.7909407665505227"/>
          <c:w val="0.75910931174089069"/>
          <c:h val="0.174216027874564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SKE</a:t>
            </a:r>
          </a:p>
        </c:rich>
      </c:tx>
      <c:layout>
        <c:manualLayout>
          <c:xMode val="edge"/>
          <c:yMode val="edge"/>
          <c:x val="0.45951417004048584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9190283400809723E-2"/>
          <c:y val="0.13194489184872724"/>
          <c:w val="0.82388663967611331"/>
          <c:h val="0.49652946143073673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réalisation'!$CE$30:$CK$30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réalisation'!$CE$31:$CK$31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réalisation'!$CE$32:$CK$32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17792"/>
        <c:axId val="102819328"/>
      </c:lineChart>
      <c:dateAx>
        <c:axId val="10281779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8193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2819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28177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21457489878543E-2"/>
          <c:y val="0.22916744373726311"/>
          <c:w val="0.75910931174089069"/>
          <c:h val="0.173611699800956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PGB + Portique</a:t>
            </a:r>
          </a:p>
        </c:rich>
      </c:tx>
      <c:layout>
        <c:manualLayout>
          <c:xMode val="edge"/>
          <c:yMode val="edge"/>
          <c:x val="0.37651821862348178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9190283400809723E-2"/>
          <c:y val="0.36458456958200947"/>
          <c:w val="0.82388663967611331"/>
          <c:h val="0.32291776162977981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réalisation'!$CE$33:$CK$33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réalisation'!$CE$34:$CK$34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réalisation'!$CE$35:$CK$35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50880"/>
        <c:axId val="108652416"/>
      </c:lineChart>
      <c:dateAx>
        <c:axId val="10865088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6524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8652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6508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21457489878543E-2"/>
          <c:y val="0.34722339960191378"/>
          <c:w val="0.78744939271255066"/>
          <c:h val="0.180556167792995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Divers Heiligenberg</a:t>
            </a:r>
          </a:p>
        </c:rich>
      </c:tx>
      <c:layout>
        <c:manualLayout>
          <c:xMode val="edge"/>
          <c:yMode val="edge"/>
          <c:x val="0.34343497971844428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990094282856461E-2"/>
          <c:y val="0.39446433428905958"/>
          <c:w val="0.81010260831480496"/>
          <c:h val="0.29065793052878075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réalisation'!$CE$36:$CK$36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réalisation'!$CE$37:$CK$37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réalisation'!$CE$2:$CK$2</c:f>
              <c:numCache>
                <c:formatCode>[$-40C]mmm\-yy;@</c:formatCode>
                <c:ptCount val="7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</c:numCache>
            </c:numRef>
          </c:cat>
          <c:val>
            <c:numRef>
              <c:f>'suivi réalisation'!$CE$38:$CK$38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380928"/>
        <c:axId val="108382464"/>
      </c:lineChart>
      <c:dateAx>
        <c:axId val="108380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38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838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3809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101030028862904E-2"/>
          <c:y val="0.47750945729728267"/>
          <c:w val="0.75757725216471783"/>
          <c:h val="0.173010672933798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Engins</a:t>
            </a:r>
          </a:p>
        </c:rich>
      </c:tx>
      <c:layout>
        <c:manualLayout>
          <c:xMode val="edge"/>
          <c:yMode val="edge"/>
          <c:x val="0.44040488878284151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33359638099032"/>
          <c:y val="0.13194489184872724"/>
          <c:w val="0.83636528638984842"/>
          <c:h val="0.39930690954220088"/>
        </c:manualLayout>
      </c:layout>
      <c:lineChart>
        <c:grouping val="standard"/>
        <c:varyColors val="0"/>
        <c:ser>
          <c:idx val="0"/>
          <c:order val="0"/>
          <c:tx>
            <c:v>Etiquettes d'anomalie émises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réalisation'!$X$2:$AD$2</c:f>
              <c:numCache>
                <c:formatCode>[$-40C]mmm\-yy;@</c:formatCode>
                <c:ptCount val="7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  <c:pt idx="6">
                  <c:v>39539</c:v>
                </c:pt>
              </c:numCache>
            </c:numRef>
          </c:cat>
          <c:val>
            <c:numRef>
              <c:f>'suivi réalisation'!$X$6:$AD$6</c:f>
              <c:numCache>
                <c:formatCode>General</c:formatCode>
                <c:ptCount val="7"/>
                <c:pt idx="0">
                  <c:v>28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22</c:v>
                </c:pt>
                <c:pt idx="5">
                  <c:v>25</c:v>
                </c:pt>
                <c:pt idx="6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v>Etiquettes d'anomalies traitées</c:v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réalisation'!$X$2:$AD$2</c:f>
              <c:numCache>
                <c:formatCode>[$-40C]mmm\-yy;@</c:formatCode>
                <c:ptCount val="7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  <c:pt idx="6">
                  <c:v>39539</c:v>
                </c:pt>
              </c:numCache>
            </c:numRef>
          </c:cat>
          <c:val>
            <c:numRef>
              <c:f>'suivi réalisation'!$X$7:$AD$7</c:f>
              <c:numCache>
                <c:formatCode>General</c:formatCode>
                <c:ptCount val="7"/>
                <c:pt idx="0">
                  <c:v>13</c:v>
                </c:pt>
                <c:pt idx="1">
                  <c:v>23</c:v>
                </c:pt>
                <c:pt idx="2">
                  <c:v>5</c:v>
                </c:pt>
                <c:pt idx="3">
                  <c:v>14</c:v>
                </c:pt>
                <c:pt idx="4">
                  <c:v>14</c:v>
                </c:pt>
                <c:pt idx="5">
                  <c:v>7</c:v>
                </c:pt>
                <c:pt idx="6">
                  <c:v>20</c:v>
                </c:pt>
              </c:numCache>
            </c:numRef>
          </c:val>
          <c:smooth val="0"/>
        </c:ser>
        <c:ser>
          <c:idx val="2"/>
          <c:order val="2"/>
          <c:tx>
            <c:v>Etiquettes restantes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'suivi réalisation'!$X$2:$AD$2</c:f>
              <c:numCache>
                <c:formatCode>[$-40C]mmm\-yy;@</c:formatCode>
                <c:ptCount val="7"/>
                <c:pt idx="0">
                  <c:v>39356</c:v>
                </c:pt>
                <c:pt idx="1">
                  <c:v>39387</c:v>
                </c:pt>
                <c:pt idx="2">
                  <c:v>39417</c:v>
                </c:pt>
                <c:pt idx="3">
                  <c:v>39448</c:v>
                </c:pt>
                <c:pt idx="4">
                  <c:v>39479</c:v>
                </c:pt>
                <c:pt idx="5">
                  <c:v>39508</c:v>
                </c:pt>
                <c:pt idx="6">
                  <c:v>39539</c:v>
                </c:pt>
              </c:numCache>
            </c:numRef>
          </c:cat>
          <c:val>
            <c:numRef>
              <c:f>'suivi réalisation'!$X$8:$AD$8</c:f>
              <c:numCache>
                <c:formatCode>General</c:formatCode>
                <c:ptCount val="7"/>
                <c:pt idx="0">
                  <c:v>49</c:v>
                </c:pt>
                <c:pt idx="1">
                  <c:v>41</c:v>
                </c:pt>
                <c:pt idx="2">
                  <c:v>53</c:v>
                </c:pt>
                <c:pt idx="3">
                  <c:v>53</c:v>
                </c:pt>
                <c:pt idx="4">
                  <c:v>61</c:v>
                </c:pt>
                <c:pt idx="5">
                  <c:v>79</c:v>
                </c:pt>
                <c:pt idx="6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2272"/>
        <c:axId val="108423808"/>
      </c:lineChart>
      <c:dateAx>
        <c:axId val="108422272"/>
        <c:scaling>
          <c:orientation val="minMax"/>
          <c:max val="39904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423808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108423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84222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949524442717099"/>
          <c:y val="0.81597498906449739"/>
          <c:w val="0.75757725216471783"/>
          <c:h val="0.173611699800956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&amp;R&amp;D</c:oddFooter>
    </c:headerFooter>
    <c:pageMargins b="0.984251969" l="0.78740157499999996" r="0.78740157499999996" t="0.984251969" header="0.4921259845" footer="0.4921259845"/>
    <c:pageSetup paperSize="9"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5">
    <tabColor indexed="9"/>
  </sheetPr>
  <sheetViews>
    <sheetView tabSelected="1" zoomScale="109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>
    <oddFooter>&amp;R&amp;D</oddFoot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</xdr:row>
          <xdr:rowOff>485775</xdr:rowOff>
        </xdr:from>
        <xdr:to>
          <xdr:col>1</xdr:col>
          <xdr:colOff>47625</xdr:colOff>
          <xdr:row>2</xdr:row>
          <xdr:rowOff>790575</xdr:rowOff>
        </xdr:to>
        <xdr:sp macro="" textlink="">
          <xdr:nvSpPr>
            <xdr:cNvPr id="22529" name="valider_creation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</xdr:row>
          <xdr:rowOff>476250</xdr:rowOff>
        </xdr:from>
        <xdr:to>
          <xdr:col>2</xdr:col>
          <xdr:colOff>66675</xdr:colOff>
          <xdr:row>2</xdr:row>
          <xdr:rowOff>781050</xdr:rowOff>
        </xdr:to>
        <xdr:sp macro="" textlink="">
          <xdr:nvSpPr>
            <xdr:cNvPr id="22531" name="effacer_boutton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</xdr:row>
          <xdr:rowOff>38100</xdr:rowOff>
        </xdr:from>
        <xdr:to>
          <xdr:col>5</xdr:col>
          <xdr:colOff>695325</xdr:colOff>
          <xdr:row>7</xdr:row>
          <xdr:rowOff>285750</xdr:rowOff>
        </xdr:to>
        <xdr:sp macro="" textlink="">
          <xdr:nvSpPr>
            <xdr:cNvPr id="22533" name="recherche_ok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57150</xdr:rowOff>
        </xdr:from>
        <xdr:to>
          <xdr:col>4</xdr:col>
          <xdr:colOff>1704975</xdr:colOff>
          <xdr:row>0</xdr:row>
          <xdr:rowOff>266700</xdr:rowOff>
        </xdr:to>
        <xdr:sp macro="" textlink="">
          <xdr:nvSpPr>
            <xdr:cNvPr id="22534" name="choix_zone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2095500</xdr:colOff>
          <xdr:row>0</xdr:row>
          <xdr:rowOff>57150</xdr:rowOff>
        </xdr:from>
        <xdr:to>
          <xdr:col>4</xdr:col>
          <xdr:colOff>3133725</xdr:colOff>
          <xdr:row>0</xdr:row>
          <xdr:rowOff>266700</xdr:rowOff>
        </xdr:to>
        <xdr:sp macro="" textlink="">
          <xdr:nvSpPr>
            <xdr:cNvPr id="22536" name="choix_fait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38100</xdr:rowOff>
        </xdr:from>
        <xdr:to>
          <xdr:col>5</xdr:col>
          <xdr:colOff>704850</xdr:colOff>
          <xdr:row>12</xdr:row>
          <xdr:rowOff>285750</xdr:rowOff>
        </xdr:to>
        <xdr:sp macro="" textlink="">
          <xdr:nvSpPr>
            <xdr:cNvPr id="22537" name="finir_ok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57150</xdr:rowOff>
        </xdr:from>
        <xdr:to>
          <xdr:col>5</xdr:col>
          <xdr:colOff>704850</xdr:colOff>
          <xdr:row>18</xdr:row>
          <xdr:rowOff>304800</xdr:rowOff>
        </xdr:to>
        <xdr:sp macro="" textlink="">
          <xdr:nvSpPr>
            <xdr:cNvPr id="22544" name="del_fiche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19050</xdr:rowOff>
        </xdr:from>
        <xdr:to>
          <xdr:col>5</xdr:col>
          <xdr:colOff>685800</xdr:colOff>
          <xdr:row>15</xdr:row>
          <xdr:rowOff>200025</xdr:rowOff>
        </xdr:to>
        <xdr:sp macro="" textlink="">
          <xdr:nvSpPr>
            <xdr:cNvPr id="22554" name="Deplacer_ok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15</xdr:row>
          <xdr:rowOff>38100</xdr:rowOff>
        </xdr:from>
        <xdr:to>
          <xdr:col>4</xdr:col>
          <xdr:colOff>3981450</xdr:colOff>
          <xdr:row>15</xdr:row>
          <xdr:rowOff>247650</xdr:rowOff>
        </xdr:to>
        <xdr:sp macro="" textlink="">
          <xdr:nvSpPr>
            <xdr:cNvPr id="22555" name="Choix_Atelier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20</xdr:row>
          <xdr:rowOff>38100</xdr:rowOff>
        </xdr:from>
        <xdr:to>
          <xdr:col>5</xdr:col>
          <xdr:colOff>695325</xdr:colOff>
          <xdr:row>21</xdr:row>
          <xdr:rowOff>142875</xdr:rowOff>
        </xdr:to>
        <xdr:sp macro="" textlink="">
          <xdr:nvSpPr>
            <xdr:cNvPr id="22559" name="Annuler_ok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57982" cy="5662569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0</xdr:rowOff>
    </xdr:from>
    <xdr:to>
      <xdr:col>6</xdr:col>
      <xdr:colOff>142875</xdr:colOff>
      <xdr:row>18</xdr:row>
      <xdr:rowOff>0</xdr:rowOff>
    </xdr:to>
    <xdr:graphicFrame macro="">
      <xdr:nvGraphicFramePr>
        <xdr:cNvPr id="9492292" name="Graph_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6</xdr:col>
      <xdr:colOff>142875</xdr:colOff>
      <xdr:row>34</xdr:row>
      <xdr:rowOff>142875</xdr:rowOff>
    </xdr:to>
    <xdr:graphicFrame macro="">
      <xdr:nvGraphicFramePr>
        <xdr:cNvPr id="9492293" name="Graph_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18</xdr:row>
      <xdr:rowOff>0</xdr:rowOff>
    </xdr:from>
    <xdr:to>
      <xdr:col>12</xdr:col>
      <xdr:colOff>257175</xdr:colOff>
      <xdr:row>34</xdr:row>
      <xdr:rowOff>142875</xdr:rowOff>
    </xdr:to>
    <xdr:graphicFrame macro="">
      <xdr:nvGraphicFramePr>
        <xdr:cNvPr id="9492294" name="Graph_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142875</xdr:colOff>
      <xdr:row>1</xdr:row>
      <xdr:rowOff>0</xdr:rowOff>
    </xdr:from>
    <xdr:to>
      <xdr:col>12</xdr:col>
      <xdr:colOff>257175</xdr:colOff>
      <xdr:row>18</xdr:row>
      <xdr:rowOff>0</xdr:rowOff>
    </xdr:to>
    <xdr:graphicFrame macro="">
      <xdr:nvGraphicFramePr>
        <xdr:cNvPr id="9492295" name="Graph_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257175</xdr:colOff>
      <xdr:row>1</xdr:row>
      <xdr:rowOff>0</xdr:rowOff>
    </xdr:from>
    <xdr:to>
      <xdr:col>19</xdr:col>
      <xdr:colOff>85725</xdr:colOff>
      <xdr:row>18</xdr:row>
      <xdr:rowOff>0</xdr:rowOff>
    </xdr:to>
    <xdr:graphicFrame macro="">
      <xdr:nvGraphicFramePr>
        <xdr:cNvPr id="9492296" name="Graph_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34</xdr:row>
      <xdr:rowOff>142875</xdr:rowOff>
    </xdr:from>
    <xdr:to>
      <xdr:col>6</xdr:col>
      <xdr:colOff>142875</xdr:colOff>
      <xdr:row>51</xdr:row>
      <xdr:rowOff>123825</xdr:rowOff>
    </xdr:to>
    <xdr:graphicFrame macro="">
      <xdr:nvGraphicFramePr>
        <xdr:cNvPr id="9492297" name="Graph_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257175</xdr:colOff>
      <xdr:row>18</xdr:row>
      <xdr:rowOff>0</xdr:rowOff>
    </xdr:from>
    <xdr:to>
      <xdr:col>19</xdr:col>
      <xdr:colOff>95250</xdr:colOff>
      <xdr:row>34</xdr:row>
      <xdr:rowOff>142875</xdr:rowOff>
    </xdr:to>
    <xdr:graphicFrame macro="">
      <xdr:nvGraphicFramePr>
        <xdr:cNvPr id="9492298" name="Graph_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74</xdr:row>
      <xdr:rowOff>104775</xdr:rowOff>
    </xdr:from>
    <xdr:to>
      <xdr:col>6</xdr:col>
      <xdr:colOff>123825</xdr:colOff>
      <xdr:row>91</xdr:row>
      <xdr:rowOff>85725</xdr:rowOff>
    </xdr:to>
    <xdr:graphicFrame macro="">
      <xdr:nvGraphicFramePr>
        <xdr:cNvPr id="9492299" name="Graph_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56</xdr:row>
      <xdr:rowOff>104775</xdr:rowOff>
    </xdr:from>
    <xdr:to>
      <xdr:col>13</xdr:col>
      <xdr:colOff>133350</xdr:colOff>
      <xdr:row>73</xdr:row>
      <xdr:rowOff>85725</xdr:rowOff>
    </xdr:to>
    <xdr:graphicFrame macro="">
      <xdr:nvGraphicFramePr>
        <xdr:cNvPr id="9492300" name="Graph_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74</xdr:row>
      <xdr:rowOff>104775</xdr:rowOff>
    </xdr:from>
    <xdr:to>
      <xdr:col>13</xdr:col>
      <xdr:colOff>133350</xdr:colOff>
      <xdr:row>91</xdr:row>
      <xdr:rowOff>95250</xdr:rowOff>
    </xdr:to>
    <xdr:graphicFrame macro="">
      <xdr:nvGraphicFramePr>
        <xdr:cNvPr id="9492301" name="Graph_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93</xdr:row>
      <xdr:rowOff>28575</xdr:rowOff>
    </xdr:from>
    <xdr:to>
      <xdr:col>6</xdr:col>
      <xdr:colOff>133350</xdr:colOff>
      <xdr:row>110</xdr:row>
      <xdr:rowOff>19050</xdr:rowOff>
    </xdr:to>
    <xdr:graphicFrame macro="">
      <xdr:nvGraphicFramePr>
        <xdr:cNvPr id="9492302" name="Graph_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93</xdr:row>
      <xdr:rowOff>0</xdr:rowOff>
    </xdr:from>
    <xdr:to>
      <xdr:col>13</xdr:col>
      <xdr:colOff>142875</xdr:colOff>
      <xdr:row>110</xdr:row>
      <xdr:rowOff>0</xdr:rowOff>
    </xdr:to>
    <xdr:graphicFrame macro="">
      <xdr:nvGraphicFramePr>
        <xdr:cNvPr id="9492303" name="Graph_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111</xdr:row>
      <xdr:rowOff>133350</xdr:rowOff>
    </xdr:from>
    <xdr:to>
      <xdr:col>6</xdr:col>
      <xdr:colOff>142875</xdr:colOff>
      <xdr:row>128</xdr:row>
      <xdr:rowOff>123825</xdr:rowOff>
    </xdr:to>
    <xdr:graphicFrame macro="">
      <xdr:nvGraphicFramePr>
        <xdr:cNvPr id="9492304" name="Graph_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</xdr:row>
      <xdr:rowOff>0</xdr:rowOff>
    </xdr:from>
    <xdr:to>
      <xdr:col>3</xdr:col>
      <xdr:colOff>590550</xdr:colOff>
      <xdr:row>5</xdr:row>
      <xdr:rowOff>0</xdr:rowOff>
    </xdr:to>
    <xdr:sp macro="" textlink="">
      <xdr:nvSpPr>
        <xdr:cNvPr id="2833" name="Line 3"/>
        <xdr:cNvSpPr>
          <a:spLocks noChangeShapeType="1"/>
        </xdr:cNvSpPr>
      </xdr:nvSpPr>
      <xdr:spPr bwMode="auto">
        <a:xfrm flipV="1">
          <a:off x="7305675" y="92392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396</xdr:row>
      <xdr:rowOff>0</xdr:rowOff>
    </xdr:from>
    <xdr:to>
      <xdr:col>3</xdr:col>
      <xdr:colOff>600075</xdr:colOff>
      <xdr:row>396</xdr:row>
      <xdr:rowOff>0</xdr:rowOff>
    </xdr:to>
    <xdr:sp macro="" textlink="">
      <xdr:nvSpPr>
        <xdr:cNvPr id="10256416" name="Line 1"/>
        <xdr:cNvSpPr>
          <a:spLocks noChangeShapeType="1"/>
        </xdr:cNvSpPr>
      </xdr:nvSpPr>
      <xdr:spPr bwMode="auto">
        <a:xfrm flipV="1">
          <a:off x="6991350" y="62322075"/>
          <a:ext cx="485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114300</xdr:colOff>
      <xdr:row>22</xdr:row>
      <xdr:rowOff>0</xdr:rowOff>
    </xdr:from>
    <xdr:to>
      <xdr:col>3</xdr:col>
      <xdr:colOff>600075</xdr:colOff>
      <xdr:row>22</xdr:row>
      <xdr:rowOff>0</xdr:rowOff>
    </xdr:to>
    <xdr:sp macro="" textlink="">
      <xdr:nvSpPr>
        <xdr:cNvPr id="10256417" name="Line 3"/>
        <xdr:cNvSpPr>
          <a:spLocks noChangeShapeType="1"/>
        </xdr:cNvSpPr>
      </xdr:nvSpPr>
      <xdr:spPr bwMode="auto">
        <a:xfrm flipV="1">
          <a:off x="6991350" y="3514725"/>
          <a:ext cx="485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</xdr:colOff>
      <xdr:row>22</xdr:row>
      <xdr:rowOff>0</xdr:rowOff>
    </xdr:from>
    <xdr:to>
      <xdr:col>3</xdr:col>
      <xdr:colOff>600075</xdr:colOff>
      <xdr:row>22</xdr:row>
      <xdr:rowOff>0</xdr:rowOff>
    </xdr:to>
    <xdr:sp macro="" textlink="">
      <xdr:nvSpPr>
        <xdr:cNvPr id="10256418" name="Line 4"/>
        <xdr:cNvSpPr>
          <a:spLocks noChangeShapeType="1"/>
        </xdr:cNvSpPr>
      </xdr:nvSpPr>
      <xdr:spPr bwMode="auto">
        <a:xfrm flipV="1">
          <a:off x="6934200" y="3514725"/>
          <a:ext cx="542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</xdr:colOff>
      <xdr:row>352</xdr:row>
      <xdr:rowOff>0</xdr:rowOff>
    </xdr:from>
    <xdr:to>
      <xdr:col>3</xdr:col>
      <xdr:colOff>514350</xdr:colOff>
      <xdr:row>352</xdr:row>
      <xdr:rowOff>0</xdr:rowOff>
    </xdr:to>
    <xdr:sp macro="" textlink="">
      <xdr:nvSpPr>
        <xdr:cNvPr id="10256419" name="Line 8"/>
        <xdr:cNvSpPr>
          <a:spLocks noChangeShapeType="1"/>
        </xdr:cNvSpPr>
      </xdr:nvSpPr>
      <xdr:spPr bwMode="auto">
        <a:xfrm flipV="1">
          <a:off x="6915150" y="5531167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5</xdr:row>
      <xdr:rowOff>0</xdr:rowOff>
    </xdr:from>
    <xdr:to>
      <xdr:col>3</xdr:col>
      <xdr:colOff>447675</xdr:colOff>
      <xdr:row>5</xdr:row>
      <xdr:rowOff>0</xdr:rowOff>
    </xdr:to>
    <xdr:sp macro="" textlink="">
      <xdr:nvSpPr>
        <xdr:cNvPr id="10228773" name="Line 1"/>
        <xdr:cNvSpPr>
          <a:spLocks noChangeShapeType="1"/>
        </xdr:cNvSpPr>
      </xdr:nvSpPr>
      <xdr:spPr bwMode="auto">
        <a:xfrm flipV="1">
          <a:off x="7067550" y="923925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5</xdr:row>
      <xdr:rowOff>0</xdr:rowOff>
    </xdr:from>
    <xdr:to>
      <xdr:col>3</xdr:col>
      <xdr:colOff>457200</xdr:colOff>
      <xdr:row>5</xdr:row>
      <xdr:rowOff>0</xdr:rowOff>
    </xdr:to>
    <xdr:sp macro="" textlink="">
      <xdr:nvSpPr>
        <xdr:cNvPr id="10228774" name="Line 2"/>
        <xdr:cNvSpPr>
          <a:spLocks noChangeShapeType="1"/>
        </xdr:cNvSpPr>
      </xdr:nvSpPr>
      <xdr:spPr bwMode="auto">
        <a:xfrm flipV="1">
          <a:off x="7067550" y="923925"/>
          <a:ext cx="3905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5</xdr:row>
      <xdr:rowOff>0</xdr:rowOff>
    </xdr:from>
    <xdr:to>
      <xdr:col>3</xdr:col>
      <xdr:colOff>447675</xdr:colOff>
      <xdr:row>5</xdr:row>
      <xdr:rowOff>0</xdr:rowOff>
    </xdr:to>
    <xdr:sp macro="" textlink="">
      <xdr:nvSpPr>
        <xdr:cNvPr id="10228775" name="Line 4"/>
        <xdr:cNvSpPr>
          <a:spLocks noChangeShapeType="1"/>
        </xdr:cNvSpPr>
      </xdr:nvSpPr>
      <xdr:spPr bwMode="auto">
        <a:xfrm flipV="1">
          <a:off x="7067550" y="923925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5</xdr:row>
      <xdr:rowOff>0</xdr:rowOff>
    </xdr:from>
    <xdr:to>
      <xdr:col>3</xdr:col>
      <xdr:colOff>447675</xdr:colOff>
      <xdr:row>5</xdr:row>
      <xdr:rowOff>0</xdr:rowOff>
    </xdr:to>
    <xdr:sp macro="" textlink="">
      <xdr:nvSpPr>
        <xdr:cNvPr id="10228776" name="Line 5"/>
        <xdr:cNvSpPr>
          <a:spLocks noChangeShapeType="1"/>
        </xdr:cNvSpPr>
      </xdr:nvSpPr>
      <xdr:spPr bwMode="auto">
        <a:xfrm flipV="1">
          <a:off x="7067550" y="923925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97</xdr:row>
      <xdr:rowOff>0</xdr:rowOff>
    </xdr:from>
    <xdr:to>
      <xdr:col>3</xdr:col>
      <xdr:colOff>447675</xdr:colOff>
      <xdr:row>97</xdr:row>
      <xdr:rowOff>0</xdr:rowOff>
    </xdr:to>
    <xdr:sp macro="" textlink="">
      <xdr:nvSpPr>
        <xdr:cNvPr id="10257440" name="Line 1"/>
        <xdr:cNvSpPr>
          <a:spLocks noChangeShapeType="1"/>
        </xdr:cNvSpPr>
      </xdr:nvSpPr>
      <xdr:spPr bwMode="auto">
        <a:xfrm flipV="1">
          <a:off x="7943850" y="160401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97</xdr:row>
      <xdr:rowOff>0</xdr:rowOff>
    </xdr:from>
    <xdr:to>
      <xdr:col>3</xdr:col>
      <xdr:colOff>457200</xdr:colOff>
      <xdr:row>97</xdr:row>
      <xdr:rowOff>0</xdr:rowOff>
    </xdr:to>
    <xdr:sp macro="" textlink="">
      <xdr:nvSpPr>
        <xdr:cNvPr id="10257441" name="Line 2"/>
        <xdr:cNvSpPr>
          <a:spLocks noChangeShapeType="1"/>
        </xdr:cNvSpPr>
      </xdr:nvSpPr>
      <xdr:spPr bwMode="auto">
        <a:xfrm flipV="1">
          <a:off x="7943850" y="16040100"/>
          <a:ext cx="3905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97</xdr:row>
      <xdr:rowOff>0</xdr:rowOff>
    </xdr:from>
    <xdr:to>
      <xdr:col>3</xdr:col>
      <xdr:colOff>447675</xdr:colOff>
      <xdr:row>97</xdr:row>
      <xdr:rowOff>0</xdr:rowOff>
    </xdr:to>
    <xdr:sp macro="" textlink="">
      <xdr:nvSpPr>
        <xdr:cNvPr id="10257442" name="Line 3"/>
        <xdr:cNvSpPr>
          <a:spLocks noChangeShapeType="1"/>
        </xdr:cNvSpPr>
      </xdr:nvSpPr>
      <xdr:spPr bwMode="auto">
        <a:xfrm flipV="1">
          <a:off x="7943850" y="160401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97</xdr:row>
      <xdr:rowOff>0</xdr:rowOff>
    </xdr:from>
    <xdr:to>
      <xdr:col>3</xdr:col>
      <xdr:colOff>447675</xdr:colOff>
      <xdr:row>97</xdr:row>
      <xdr:rowOff>0</xdr:rowOff>
    </xdr:to>
    <xdr:sp macro="" textlink="">
      <xdr:nvSpPr>
        <xdr:cNvPr id="10257443" name="Line 4"/>
        <xdr:cNvSpPr>
          <a:spLocks noChangeShapeType="1"/>
        </xdr:cNvSpPr>
      </xdr:nvSpPr>
      <xdr:spPr bwMode="auto">
        <a:xfrm flipV="1">
          <a:off x="7943850" y="160401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17</xdr:row>
      <xdr:rowOff>0</xdr:rowOff>
    </xdr:from>
    <xdr:to>
      <xdr:col>3</xdr:col>
      <xdr:colOff>447675</xdr:colOff>
      <xdr:row>17</xdr:row>
      <xdr:rowOff>0</xdr:rowOff>
    </xdr:to>
    <xdr:sp macro="" textlink="">
      <xdr:nvSpPr>
        <xdr:cNvPr id="6870540" name="Line 1"/>
        <xdr:cNvSpPr>
          <a:spLocks noChangeShapeType="1"/>
        </xdr:cNvSpPr>
      </xdr:nvSpPr>
      <xdr:spPr bwMode="auto">
        <a:xfrm flipV="1">
          <a:off x="7239000" y="3762375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107</xdr:row>
      <xdr:rowOff>0</xdr:rowOff>
    </xdr:from>
    <xdr:to>
      <xdr:col>3</xdr:col>
      <xdr:colOff>447675</xdr:colOff>
      <xdr:row>107</xdr:row>
      <xdr:rowOff>0</xdr:rowOff>
    </xdr:to>
    <xdr:sp macro="" textlink="">
      <xdr:nvSpPr>
        <xdr:cNvPr id="6870541" name="Line 2"/>
        <xdr:cNvSpPr>
          <a:spLocks noChangeShapeType="1"/>
        </xdr:cNvSpPr>
      </xdr:nvSpPr>
      <xdr:spPr bwMode="auto">
        <a:xfrm flipV="1">
          <a:off x="7239000" y="29841825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</xdr:row>
      <xdr:rowOff>0</xdr:rowOff>
    </xdr:from>
    <xdr:to>
      <xdr:col>3</xdr:col>
      <xdr:colOff>590550</xdr:colOff>
      <xdr:row>1</xdr:row>
      <xdr:rowOff>0</xdr:rowOff>
    </xdr:to>
    <xdr:sp macro="" textlink="">
      <xdr:nvSpPr>
        <xdr:cNvPr id="19206" name="Line 1"/>
        <xdr:cNvSpPr>
          <a:spLocks noChangeShapeType="1"/>
        </xdr:cNvSpPr>
      </xdr:nvSpPr>
      <xdr:spPr bwMode="auto">
        <a:xfrm flipV="1">
          <a:off x="7734300" y="16192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2</xdr:row>
      <xdr:rowOff>0</xdr:rowOff>
    </xdr:from>
    <xdr:to>
      <xdr:col>3</xdr:col>
      <xdr:colOff>590550</xdr:colOff>
      <xdr:row>2</xdr:row>
      <xdr:rowOff>0</xdr:rowOff>
    </xdr:to>
    <xdr:sp macro="" textlink="">
      <xdr:nvSpPr>
        <xdr:cNvPr id="20230" name="Line 1"/>
        <xdr:cNvSpPr>
          <a:spLocks noChangeShapeType="1"/>
        </xdr:cNvSpPr>
      </xdr:nvSpPr>
      <xdr:spPr bwMode="auto">
        <a:xfrm flipV="1">
          <a:off x="7143750" y="476250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85725</xdr:rowOff>
        </xdr:from>
        <xdr:to>
          <xdr:col>7</xdr:col>
          <xdr:colOff>676275</xdr:colOff>
          <xdr:row>3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Liste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 enableFormatConditionsCalculation="0">
    <tabColor indexed="52"/>
  </sheetPr>
  <dimension ref="A1:N85"/>
  <sheetViews>
    <sheetView topLeftCell="A4" workbookViewId="0">
      <selection activeCell="E13" sqref="E13"/>
    </sheetView>
  </sheetViews>
  <sheetFormatPr baseColWidth="10" defaultRowHeight="12.75" x14ac:dyDescent="0.2"/>
  <cols>
    <col min="1" max="1" width="14.5703125" style="84" bestFit="1" customWidth="1"/>
    <col min="2" max="3" width="11.42578125" style="84"/>
    <col min="4" max="4" width="12.28515625" style="84" customWidth="1"/>
    <col min="5" max="5" width="61.28515625" style="84" customWidth="1"/>
    <col min="6" max="6" width="13.42578125" style="84" customWidth="1"/>
    <col min="7" max="8" width="11.42578125" style="84"/>
    <col min="9" max="9" width="13" style="84" customWidth="1"/>
    <col min="10" max="16384" width="11.42578125" style="84"/>
  </cols>
  <sheetData>
    <row r="1" spans="1:14" ht="26.25" customHeight="1" x14ac:dyDescent="0.2">
      <c r="A1" s="257" t="s">
        <v>2222</v>
      </c>
      <c r="B1" s="258"/>
      <c r="C1" s="259"/>
      <c r="D1" s="232" t="s">
        <v>2701</v>
      </c>
      <c r="E1" s="233"/>
      <c r="F1" s="234"/>
      <c r="G1" s="234"/>
      <c r="H1" s="234"/>
      <c r="I1" s="235"/>
      <c r="J1" s="88"/>
      <c r="K1" s="88"/>
      <c r="L1" s="88"/>
      <c r="M1" s="89" t="s">
        <v>2221</v>
      </c>
      <c r="N1" s="88"/>
    </row>
    <row r="2" spans="1:14" ht="12.75" customHeight="1" x14ac:dyDescent="0.2">
      <c r="A2" s="260"/>
      <c r="B2" s="261"/>
      <c r="C2" s="262"/>
      <c r="D2" s="236" t="s">
        <v>1472</v>
      </c>
      <c r="E2" s="237" t="s">
        <v>3221</v>
      </c>
      <c r="F2" s="237" t="s">
        <v>1818</v>
      </c>
      <c r="G2" s="237" t="s">
        <v>3383</v>
      </c>
      <c r="H2" s="237" t="s">
        <v>3384</v>
      </c>
      <c r="I2" s="238" t="s">
        <v>1078</v>
      </c>
      <c r="J2" s="88"/>
      <c r="K2" s="88"/>
      <c r="L2" s="88"/>
      <c r="M2" s="90" t="s">
        <v>3139</v>
      </c>
      <c r="N2" s="88"/>
    </row>
    <row r="3" spans="1:14" ht="71.25" customHeight="1" thickBot="1" x14ac:dyDescent="0.25">
      <c r="A3" s="263"/>
      <c r="B3" s="264"/>
      <c r="C3" s="265"/>
      <c r="D3" s="239"/>
      <c r="E3" s="246"/>
      <c r="F3" s="240"/>
      <c r="G3" s="241"/>
      <c r="H3" s="240"/>
      <c r="I3" s="85"/>
      <c r="J3" s="88"/>
      <c r="K3" s="88"/>
      <c r="L3" s="88"/>
      <c r="M3" s="91" t="e">
        <f>CONCATENATE("01/",IF(MONTH(#REF!)&lt;=9,CONCATENATE("0",MONTH(#REF!)),MONTH(#REF!)),"/",YEAR(#REF!))</f>
        <v>#REF!</v>
      </c>
      <c r="N3" s="88"/>
    </row>
    <row r="4" spans="1:14" x14ac:dyDescent="0.2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91" t="str">
        <f ca="1">CONCATENATE("01/",IF(MONTH(NOW())&lt;=9,CONCATENATE("0",MONTH(NOW())),MONTH(NOW())),"/",YEAR(NOW()))</f>
        <v>01/03/2013</v>
      </c>
      <c r="N4" s="88"/>
    </row>
    <row r="5" spans="1:14" x14ac:dyDescent="0.2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92"/>
      <c r="N5" s="88"/>
    </row>
    <row r="6" spans="1:14" x14ac:dyDescent="0.2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</row>
    <row r="7" spans="1:14" ht="13.5" thickBot="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</row>
    <row r="8" spans="1:14" ht="27" thickBot="1" x14ac:dyDescent="0.25">
      <c r="A8" s="266" t="s">
        <v>1554</v>
      </c>
      <c r="B8" s="267"/>
      <c r="C8" s="268"/>
      <c r="D8" s="94"/>
      <c r="E8" s="86">
        <v>9294</v>
      </c>
      <c r="F8" s="93"/>
      <c r="G8" s="88"/>
      <c r="H8" s="88"/>
      <c r="I8" s="88"/>
      <c r="J8" s="88"/>
      <c r="K8" s="88"/>
      <c r="L8" s="88"/>
      <c r="M8" s="88"/>
      <c r="N8" s="88"/>
    </row>
    <row r="9" spans="1:14" ht="13.5" thickBot="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</row>
    <row r="10" spans="1:14" ht="32.25" customHeight="1" thickBot="1" x14ac:dyDescent="0.45">
      <c r="A10" s="269" t="s">
        <v>3704</v>
      </c>
      <c r="B10" s="270"/>
      <c r="C10" s="271"/>
      <c r="D10" s="204"/>
      <c r="E10" s="203">
        <v>8337</v>
      </c>
      <c r="F10" s="93"/>
      <c r="G10" s="88"/>
      <c r="H10" s="88"/>
      <c r="I10" s="88"/>
      <c r="J10" s="88"/>
      <c r="K10" s="88"/>
      <c r="L10" s="88"/>
      <c r="M10" s="88"/>
      <c r="N10" s="88"/>
    </row>
    <row r="11" spans="1:14" x14ac:dyDescent="0.2">
      <c r="A11" s="88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</row>
    <row r="12" spans="1:14" ht="13.5" thickBot="1" x14ac:dyDescent="0.25">
      <c r="A12" s="88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</row>
    <row r="13" spans="1:14" ht="27" thickBot="1" x14ac:dyDescent="0.45">
      <c r="A13" s="269" t="s">
        <v>422</v>
      </c>
      <c r="B13" s="270"/>
      <c r="C13" s="271"/>
      <c r="D13" s="94"/>
      <c r="E13" s="86">
        <v>8963</v>
      </c>
      <c r="F13" s="119"/>
      <c r="G13" s="88"/>
      <c r="H13" s="88"/>
      <c r="I13" s="88"/>
      <c r="J13" s="88"/>
      <c r="K13" s="88"/>
      <c r="L13" s="88"/>
      <c r="M13" s="88"/>
      <c r="N13" s="88"/>
    </row>
    <row r="14" spans="1:14" ht="13.5" customHeight="1" thickBot="1" x14ac:dyDescent="0.25">
      <c r="A14" s="88"/>
      <c r="B14" s="88"/>
      <c r="C14" s="88"/>
      <c r="D14" s="120"/>
      <c r="E14" s="117"/>
      <c r="F14" s="121"/>
      <c r="G14" s="88"/>
      <c r="H14" s="214" t="s">
        <v>380</v>
      </c>
      <c r="I14" s="88"/>
      <c r="J14" s="88"/>
      <c r="K14" s="88"/>
      <c r="L14" s="88"/>
      <c r="M14" s="88"/>
      <c r="N14" s="88"/>
    </row>
    <row r="15" spans="1:14" x14ac:dyDescent="0.2">
      <c r="A15" s="253" t="s">
        <v>2182</v>
      </c>
      <c r="B15" s="254"/>
      <c r="C15" s="254"/>
      <c r="D15" s="115" t="s">
        <v>2702</v>
      </c>
      <c r="E15" s="125">
        <v>8991</v>
      </c>
      <c r="F15" s="118"/>
      <c r="G15" s="88"/>
      <c r="H15" s="88"/>
      <c r="I15" s="88"/>
      <c r="J15" s="88"/>
      <c r="K15" s="88"/>
      <c r="L15" s="88"/>
      <c r="M15" s="88"/>
      <c r="N15" s="88"/>
    </row>
    <row r="16" spans="1:14" ht="20.25" customHeight="1" thickBot="1" x14ac:dyDescent="0.25">
      <c r="A16" s="255"/>
      <c r="B16" s="256"/>
      <c r="C16" s="256"/>
      <c r="D16" s="124" t="s">
        <v>107</v>
      </c>
      <c r="E16" s="122"/>
      <c r="F16" s="123"/>
      <c r="G16" s="88"/>
      <c r="H16" s="88"/>
      <c r="I16" s="88"/>
      <c r="J16" s="88"/>
      <c r="K16" s="88"/>
      <c r="L16" s="88"/>
      <c r="M16" s="88"/>
      <c r="N16" s="88"/>
    </row>
    <row r="17" spans="1:14" x14ac:dyDescent="0.2">
      <c r="A17" s="88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</row>
    <row r="18" spans="1:14" ht="13.5" thickBot="1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</row>
    <row r="19" spans="1:14" ht="27" thickBot="1" x14ac:dyDescent="0.45">
      <c r="A19" s="269" t="s">
        <v>1687</v>
      </c>
      <c r="B19" s="270"/>
      <c r="C19" s="271"/>
      <c r="D19" s="94" t="s">
        <v>2702</v>
      </c>
      <c r="E19" s="86">
        <v>8888</v>
      </c>
      <c r="F19" s="93"/>
      <c r="G19" s="88"/>
      <c r="H19" s="95"/>
      <c r="I19" s="88"/>
      <c r="J19" s="88"/>
      <c r="K19" s="88"/>
      <c r="L19" s="88"/>
      <c r="M19" s="88"/>
      <c r="N19" s="88"/>
    </row>
    <row r="20" spans="1:14" ht="13.5" thickBot="1" x14ac:dyDescent="0.25">
      <c r="A20" s="88"/>
      <c r="B20" s="88"/>
      <c r="C20" s="88"/>
      <c r="D20" s="88"/>
      <c r="E20" s="96"/>
      <c r="F20" s="87"/>
      <c r="G20" s="88"/>
      <c r="H20" s="88"/>
      <c r="I20" s="88"/>
      <c r="J20" s="88"/>
      <c r="K20" s="88"/>
      <c r="L20" s="88"/>
      <c r="M20" s="88"/>
      <c r="N20" s="88"/>
    </row>
    <row r="21" spans="1:14" x14ac:dyDescent="0.2">
      <c r="A21" s="253" t="s">
        <v>3776</v>
      </c>
      <c r="B21" s="254"/>
      <c r="C21" s="254"/>
      <c r="D21" s="115" t="s">
        <v>2702</v>
      </c>
      <c r="E21" s="125">
        <v>66666</v>
      </c>
      <c r="F21" s="118"/>
      <c r="G21" s="88"/>
      <c r="H21" s="88"/>
      <c r="I21" s="88"/>
      <c r="J21" s="88"/>
      <c r="K21" s="88"/>
      <c r="L21" s="88"/>
      <c r="M21" s="88"/>
      <c r="N21" s="88"/>
    </row>
    <row r="22" spans="1:14" ht="13.5" thickBot="1" x14ac:dyDescent="0.25">
      <c r="A22" s="255"/>
      <c r="B22" s="256"/>
      <c r="C22" s="256"/>
      <c r="D22" s="124" t="s">
        <v>3640</v>
      </c>
      <c r="E22" s="122" t="s">
        <v>491</v>
      </c>
      <c r="F22" s="123"/>
      <c r="G22" s="88"/>
      <c r="H22" s="88"/>
      <c r="I22" s="88"/>
      <c r="J22" s="88"/>
      <c r="K22" s="88"/>
      <c r="L22" s="88"/>
      <c r="M22" s="88"/>
      <c r="N22" s="88"/>
    </row>
    <row r="41" spans="3:5" ht="13.5" thickBot="1" x14ac:dyDescent="0.25"/>
    <row r="42" spans="3:5" x14ac:dyDescent="0.2">
      <c r="C42" s="205" t="s">
        <v>3452</v>
      </c>
      <c r="D42" s="206" t="s">
        <v>3452</v>
      </c>
      <c r="E42" s="207" t="s">
        <v>3452</v>
      </c>
    </row>
    <row r="43" spans="3:5" x14ac:dyDescent="0.2">
      <c r="C43" s="208" t="s">
        <v>3452</v>
      </c>
      <c r="D43" s="224" t="s">
        <v>3453</v>
      </c>
      <c r="E43" s="209" t="str">
        <f ca="1">CONCATENATE((D43),"/",MONTH(NOW()),"/",(YEAR(NOW())))</f>
        <v>01/3/2013</v>
      </c>
    </row>
    <row r="44" spans="3:5" x14ac:dyDescent="0.2">
      <c r="C44" s="208" t="s">
        <v>3452</v>
      </c>
      <c r="D44" s="224" t="s">
        <v>3452</v>
      </c>
      <c r="E44" s="210"/>
    </row>
    <row r="45" spans="3:5" ht="13.5" thickBot="1" x14ac:dyDescent="0.25">
      <c r="C45" s="211" t="s">
        <v>3452</v>
      </c>
      <c r="D45" s="225">
        <f ca="1">MONTH(NOW())</f>
        <v>3</v>
      </c>
      <c r="E45" s="212"/>
    </row>
    <row r="50" spans="1:5" x14ac:dyDescent="0.2">
      <c r="A50" s="226" t="s">
        <v>14</v>
      </c>
      <c r="B50" s="88"/>
      <c r="C50" s="88"/>
      <c r="D50" s="227" t="s">
        <v>1749</v>
      </c>
      <c r="E50" s="88" t="s">
        <v>2801</v>
      </c>
    </row>
    <row r="51" spans="1:5" x14ac:dyDescent="0.2">
      <c r="A51" s="88"/>
      <c r="B51" s="88"/>
      <c r="C51" s="88"/>
      <c r="D51" s="88"/>
      <c r="E51" s="88" t="s">
        <v>2802</v>
      </c>
    </row>
    <row r="52" spans="1:5" x14ac:dyDescent="0.2">
      <c r="A52" s="228"/>
      <c r="B52" s="88"/>
      <c r="C52" s="88"/>
      <c r="D52" s="88"/>
      <c r="E52" s="88"/>
    </row>
    <row r="53" spans="1:5" ht="25.5" x14ac:dyDescent="0.2">
      <c r="A53" s="88"/>
      <c r="B53" s="88"/>
      <c r="C53" s="88"/>
      <c r="D53" s="229" t="s">
        <v>3146</v>
      </c>
      <c r="E53" s="230" t="s">
        <v>2531</v>
      </c>
    </row>
    <row r="54" spans="1:5" x14ac:dyDescent="0.2">
      <c r="A54" s="88"/>
      <c r="B54" s="88"/>
      <c r="C54" s="88"/>
      <c r="D54" s="88"/>
      <c r="E54" s="88"/>
    </row>
    <row r="55" spans="1:5" x14ac:dyDescent="0.2">
      <c r="A55" s="88"/>
      <c r="B55" s="88"/>
      <c r="C55" s="88" t="s">
        <v>3138</v>
      </c>
      <c r="D55" s="88"/>
      <c r="E55" s="88" t="s">
        <v>1733</v>
      </c>
    </row>
    <row r="56" spans="1:5" x14ac:dyDescent="0.2">
      <c r="A56" s="88"/>
      <c r="B56" s="88"/>
      <c r="C56" s="231" t="s">
        <v>3140</v>
      </c>
      <c r="D56" s="88"/>
      <c r="E56" s="88" t="s">
        <v>1734</v>
      </c>
    </row>
    <row r="57" spans="1:5" x14ac:dyDescent="0.2">
      <c r="A57" s="88"/>
      <c r="B57" s="88"/>
      <c r="C57" s="88"/>
      <c r="D57" s="88"/>
      <c r="E57" s="88" t="s">
        <v>1735</v>
      </c>
    </row>
    <row r="58" spans="1:5" x14ac:dyDescent="0.2">
      <c r="A58" s="88"/>
      <c r="B58" s="88"/>
      <c r="C58" s="88"/>
      <c r="D58" s="88"/>
      <c r="E58" s="88" t="s">
        <v>90</v>
      </c>
    </row>
    <row r="59" spans="1:5" x14ac:dyDescent="0.2">
      <c r="A59" s="88"/>
      <c r="B59" s="88"/>
      <c r="C59" s="88"/>
      <c r="D59" s="88"/>
      <c r="E59" s="88" t="s">
        <v>996</v>
      </c>
    </row>
    <row r="60" spans="1:5" x14ac:dyDescent="0.2">
      <c r="A60" s="88"/>
      <c r="B60" s="88"/>
      <c r="C60" s="88"/>
      <c r="D60" s="88"/>
      <c r="E60" s="88" t="s">
        <v>997</v>
      </c>
    </row>
    <row r="61" spans="1:5" x14ac:dyDescent="0.2">
      <c r="A61" s="88"/>
      <c r="B61" s="88"/>
      <c r="C61" s="88"/>
      <c r="D61" s="88"/>
      <c r="E61" s="88" t="s">
        <v>998</v>
      </c>
    </row>
    <row r="62" spans="1:5" x14ac:dyDescent="0.2">
      <c r="A62" s="88"/>
      <c r="B62" s="88"/>
      <c r="C62" s="88"/>
      <c r="D62" s="88"/>
      <c r="E62" s="88" t="s">
        <v>999</v>
      </c>
    </row>
    <row r="63" spans="1:5" x14ac:dyDescent="0.2">
      <c r="A63" s="88"/>
      <c r="B63" s="88"/>
      <c r="C63" s="88"/>
      <c r="D63" s="88"/>
      <c r="E63" s="88" t="s">
        <v>1000</v>
      </c>
    </row>
    <row r="64" spans="1:5" x14ac:dyDescent="0.2">
      <c r="A64" s="88"/>
      <c r="B64" s="88"/>
      <c r="C64" s="88"/>
      <c r="D64" s="88"/>
      <c r="E64" s="88" t="s">
        <v>678</v>
      </c>
    </row>
    <row r="65" spans="1:5" x14ac:dyDescent="0.2">
      <c r="A65" s="88"/>
      <c r="B65" s="88"/>
      <c r="C65" s="88"/>
      <c r="D65" s="88"/>
      <c r="E65" s="88" t="s">
        <v>679</v>
      </c>
    </row>
    <row r="66" spans="1:5" x14ac:dyDescent="0.2">
      <c r="A66" s="88"/>
      <c r="B66" s="88"/>
      <c r="C66" s="88"/>
      <c r="D66" s="88"/>
      <c r="E66" s="88" t="s">
        <v>680</v>
      </c>
    </row>
    <row r="67" spans="1:5" x14ac:dyDescent="0.2">
      <c r="A67" s="88"/>
      <c r="B67" s="88"/>
      <c r="C67" s="88"/>
      <c r="D67" s="88"/>
      <c r="E67" s="88" t="s">
        <v>2543</v>
      </c>
    </row>
    <row r="68" spans="1:5" x14ac:dyDescent="0.2">
      <c r="A68" s="88"/>
      <c r="B68" s="88"/>
      <c r="C68" s="88"/>
      <c r="D68" s="88"/>
      <c r="E68" s="88" t="s">
        <v>2568</v>
      </c>
    </row>
    <row r="69" spans="1:5" x14ac:dyDescent="0.2">
      <c r="A69" s="88"/>
      <c r="B69" s="88"/>
      <c r="C69" s="88"/>
      <c r="D69" s="88"/>
      <c r="E69" s="88" t="s">
        <v>887</v>
      </c>
    </row>
    <row r="70" spans="1:5" x14ac:dyDescent="0.2">
      <c r="A70" s="88"/>
      <c r="B70" s="88"/>
      <c r="C70" s="88"/>
      <c r="D70" s="88"/>
      <c r="E70" s="88" t="s">
        <v>888</v>
      </c>
    </row>
    <row r="71" spans="1:5" x14ac:dyDescent="0.2">
      <c r="A71" s="88"/>
      <c r="B71" s="88"/>
      <c r="C71" s="88"/>
      <c r="D71" s="88"/>
      <c r="E71" s="88" t="s">
        <v>889</v>
      </c>
    </row>
    <row r="72" spans="1:5" x14ac:dyDescent="0.2">
      <c r="A72" s="88"/>
      <c r="B72" s="88"/>
      <c r="C72" s="88"/>
      <c r="D72" s="88"/>
      <c r="E72" s="88" t="s">
        <v>890</v>
      </c>
    </row>
    <row r="73" spans="1:5" x14ac:dyDescent="0.2">
      <c r="A73" s="88"/>
      <c r="B73" s="88"/>
      <c r="C73" s="88"/>
      <c r="D73" s="88"/>
      <c r="E73" s="88" t="s">
        <v>3290</v>
      </c>
    </row>
    <row r="74" spans="1:5" x14ac:dyDescent="0.2">
      <c r="A74" s="88"/>
      <c r="B74" s="88"/>
      <c r="C74" s="88"/>
      <c r="D74" s="88"/>
      <c r="E74" s="88" t="s">
        <v>3291</v>
      </c>
    </row>
    <row r="75" spans="1:5" x14ac:dyDescent="0.2">
      <c r="A75" s="88"/>
      <c r="B75" s="88"/>
      <c r="C75" s="88"/>
      <c r="D75" s="88"/>
      <c r="E75" s="88" t="s">
        <v>2656</v>
      </c>
    </row>
    <row r="76" spans="1:5" x14ac:dyDescent="0.2">
      <c r="A76" s="88"/>
      <c r="B76" s="88"/>
      <c r="C76" s="88" t="s">
        <v>2445</v>
      </c>
      <c r="D76" s="97">
        <v>2597</v>
      </c>
      <c r="E76" s="88" t="s">
        <v>2657</v>
      </c>
    </row>
    <row r="77" spans="1:5" x14ac:dyDescent="0.2">
      <c r="A77" s="88"/>
      <c r="B77" s="88"/>
      <c r="C77" s="88" t="s">
        <v>170</v>
      </c>
      <c r="D77" s="242">
        <f ca="1">TODAY()</f>
        <v>41338</v>
      </c>
      <c r="E77" s="88" t="s">
        <v>2658</v>
      </c>
    </row>
    <row r="78" spans="1:5" x14ac:dyDescent="0.2">
      <c r="A78" s="88"/>
      <c r="B78" s="88"/>
      <c r="C78" s="88"/>
      <c r="D78" s="84">
        <v>37</v>
      </c>
      <c r="E78" s="88" t="s">
        <v>2659</v>
      </c>
    </row>
    <row r="79" spans="1:5" x14ac:dyDescent="0.2">
      <c r="A79" s="88"/>
      <c r="B79" s="88"/>
      <c r="C79" s="88"/>
      <c r="D79" s="88"/>
      <c r="E79" s="88" t="s">
        <v>2660</v>
      </c>
    </row>
    <row r="80" spans="1:5" x14ac:dyDescent="0.2">
      <c r="A80" s="88"/>
      <c r="B80" s="88"/>
      <c r="C80" s="88"/>
      <c r="D80" s="88"/>
      <c r="E80" s="88" t="s">
        <v>985</v>
      </c>
    </row>
    <row r="81" spans="1:5" x14ac:dyDescent="0.2">
      <c r="A81" s="88"/>
      <c r="B81" s="88"/>
      <c r="C81" s="88"/>
      <c r="D81" s="88"/>
      <c r="E81" s="88" t="s">
        <v>3371</v>
      </c>
    </row>
    <row r="82" spans="1:5" x14ac:dyDescent="0.2">
      <c r="A82" s="88"/>
      <c r="B82" s="88"/>
      <c r="C82" s="88"/>
      <c r="D82" s="88"/>
      <c r="E82" s="88" t="s">
        <v>3372</v>
      </c>
    </row>
    <row r="83" spans="1:5" x14ac:dyDescent="0.2">
      <c r="A83" s="88"/>
      <c r="B83" s="88"/>
      <c r="C83" s="88"/>
      <c r="D83" s="88"/>
      <c r="E83" s="88" t="s">
        <v>2134</v>
      </c>
    </row>
    <row r="84" spans="1:5" x14ac:dyDescent="0.2">
      <c r="A84" s="88"/>
      <c r="B84" s="88"/>
      <c r="C84" s="88"/>
      <c r="D84" s="88"/>
      <c r="E84" s="88" t="s">
        <v>1549</v>
      </c>
    </row>
    <row r="85" spans="1:5" x14ac:dyDescent="0.2">
      <c r="A85" s="88"/>
      <c r="B85" s="88"/>
      <c r="C85" s="88"/>
      <c r="D85" s="88"/>
      <c r="E85" s="88"/>
    </row>
  </sheetData>
  <sheetProtection password="CA89" sheet="1" selectLockedCells="1"/>
  <dataConsolidate/>
  <mergeCells count="7">
    <mergeCell ref="A21:C22"/>
    <mergeCell ref="A1:C3"/>
    <mergeCell ref="A8:C8"/>
    <mergeCell ref="A19:C19"/>
    <mergeCell ref="A10:C10"/>
    <mergeCell ref="A13:C13"/>
    <mergeCell ref="A15:C16"/>
  </mergeCells>
  <phoneticPr fontId="7" type="noConversion"/>
  <dataValidations count="4">
    <dataValidation type="whole" operator="notEqual" allowBlank="1" showErrorMessage="1" errorTitle="Indiquez un nombre..." error="Indiquez un nombre..." sqref="G3 E8">
      <formula1>0</formula1>
    </dataValidation>
    <dataValidation type="whole" operator="notEqual" allowBlank="1" showErrorMessage="1" errorTitle="Attention" error="Indiquez un nombre..." sqref="E13 E15 E21">
      <formula1>0</formula1>
    </dataValidation>
    <dataValidation type="list" allowBlank="1" showInputMessage="1" showErrorMessage="1" sqref="H12">
      <formula1>liste</formula1>
    </dataValidation>
    <dataValidation type="whole" operator="notEqual" allowBlank="1" showInputMessage="1" showErrorMessage="1" sqref="E19">
      <formula1>0</formula1>
    </dataValidation>
  </dataValidation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59" r:id="rId4" name="Annuler_ok">
          <controlPr defaultSize="0" autoLine="0" r:id="rId5">
            <anchor moveWithCells="1">
              <from>
                <xdr:col>5</xdr:col>
                <xdr:colOff>57150</xdr:colOff>
                <xdr:row>20</xdr:row>
                <xdr:rowOff>38100</xdr:rowOff>
              </from>
              <to>
                <xdr:col>5</xdr:col>
                <xdr:colOff>695325</xdr:colOff>
                <xdr:row>21</xdr:row>
                <xdr:rowOff>142875</xdr:rowOff>
              </to>
            </anchor>
          </controlPr>
        </control>
      </mc:Choice>
      <mc:Fallback>
        <control shapeId="22559" r:id="rId4" name="Annuler_ok"/>
      </mc:Fallback>
    </mc:AlternateContent>
    <mc:AlternateContent xmlns:mc="http://schemas.openxmlformats.org/markup-compatibility/2006">
      <mc:Choice Requires="x14">
        <control shapeId="22555" r:id="rId6" name="Choix_Atelier">
          <controlPr defaultSize="0" autoLine="0" r:id="rId7">
            <anchor moveWithCells="1">
              <from>
                <xdr:col>4</xdr:col>
                <xdr:colOff>57150</xdr:colOff>
                <xdr:row>15</xdr:row>
                <xdr:rowOff>38100</xdr:rowOff>
              </from>
              <to>
                <xdr:col>4</xdr:col>
                <xdr:colOff>3981450</xdr:colOff>
                <xdr:row>15</xdr:row>
                <xdr:rowOff>247650</xdr:rowOff>
              </to>
            </anchor>
          </controlPr>
        </control>
      </mc:Choice>
      <mc:Fallback>
        <control shapeId="22555" r:id="rId6" name="Choix_Atelier"/>
      </mc:Fallback>
    </mc:AlternateContent>
    <mc:AlternateContent xmlns:mc="http://schemas.openxmlformats.org/markup-compatibility/2006">
      <mc:Choice Requires="x14">
        <control shapeId="22554" r:id="rId8" name="Deplacer_ok">
          <controlPr defaultSize="0" autoLine="0" r:id="rId9">
            <anchor moveWithCells="1">
              <from>
                <xdr:col>5</xdr:col>
                <xdr:colOff>28575</xdr:colOff>
                <xdr:row>14</xdr:row>
                <xdr:rowOff>19050</xdr:rowOff>
              </from>
              <to>
                <xdr:col>5</xdr:col>
                <xdr:colOff>685800</xdr:colOff>
                <xdr:row>15</xdr:row>
                <xdr:rowOff>200025</xdr:rowOff>
              </to>
            </anchor>
          </controlPr>
        </control>
      </mc:Choice>
      <mc:Fallback>
        <control shapeId="22554" r:id="rId8" name="Deplacer_ok"/>
      </mc:Fallback>
    </mc:AlternateContent>
    <mc:AlternateContent xmlns:mc="http://schemas.openxmlformats.org/markup-compatibility/2006">
      <mc:Choice Requires="x14">
        <control shapeId="22544" r:id="rId10" name="del_fiche">
          <controlPr defaultSize="0" autoLine="0" r:id="rId11">
            <anchor moveWithCells="1">
              <from>
                <xdr:col>5</xdr:col>
                <xdr:colOff>47625</xdr:colOff>
                <xdr:row>18</xdr:row>
                <xdr:rowOff>57150</xdr:rowOff>
              </from>
              <to>
                <xdr:col>5</xdr:col>
                <xdr:colOff>704850</xdr:colOff>
                <xdr:row>18</xdr:row>
                <xdr:rowOff>304800</xdr:rowOff>
              </to>
            </anchor>
          </controlPr>
        </control>
      </mc:Choice>
      <mc:Fallback>
        <control shapeId="22544" r:id="rId10" name="del_fiche"/>
      </mc:Fallback>
    </mc:AlternateContent>
    <mc:AlternateContent xmlns:mc="http://schemas.openxmlformats.org/markup-compatibility/2006">
      <mc:Choice Requires="x14">
        <control shapeId="22537" r:id="rId12" name="finir_ok">
          <controlPr defaultSize="0" autoLine="0" r:id="rId13">
            <anchor moveWithCells="1">
              <from>
                <xdr:col>5</xdr:col>
                <xdr:colOff>47625</xdr:colOff>
                <xdr:row>12</xdr:row>
                <xdr:rowOff>38100</xdr:rowOff>
              </from>
              <to>
                <xdr:col>5</xdr:col>
                <xdr:colOff>704850</xdr:colOff>
                <xdr:row>12</xdr:row>
                <xdr:rowOff>285750</xdr:rowOff>
              </to>
            </anchor>
          </controlPr>
        </control>
      </mc:Choice>
      <mc:Fallback>
        <control shapeId="22537" r:id="rId12" name="finir_ok"/>
      </mc:Fallback>
    </mc:AlternateContent>
    <mc:AlternateContent xmlns:mc="http://schemas.openxmlformats.org/markup-compatibility/2006">
      <mc:Choice Requires="x14">
        <control shapeId="22536" r:id="rId14" name="choix_fait">
          <controlPr defaultSize="0" autoLine="0" r:id="rId15">
            <anchor moveWithCells="1">
              <from>
                <xdr:col>4</xdr:col>
                <xdr:colOff>2095500</xdr:colOff>
                <xdr:row>0</xdr:row>
                <xdr:rowOff>57150</xdr:rowOff>
              </from>
              <to>
                <xdr:col>4</xdr:col>
                <xdr:colOff>3133725</xdr:colOff>
                <xdr:row>0</xdr:row>
                <xdr:rowOff>266700</xdr:rowOff>
              </to>
            </anchor>
          </controlPr>
        </control>
      </mc:Choice>
      <mc:Fallback>
        <control shapeId="22536" r:id="rId14" name="choix_fait"/>
      </mc:Fallback>
    </mc:AlternateContent>
    <mc:AlternateContent xmlns:mc="http://schemas.openxmlformats.org/markup-compatibility/2006">
      <mc:Choice Requires="x14">
        <control shapeId="22534" r:id="rId16" name="choix_zone">
          <controlPr defaultSize="0" autoLine="0" r:id="rId17">
            <anchor moveWithCells="1">
              <from>
                <xdr:col>4</xdr:col>
                <xdr:colOff>180975</xdr:colOff>
                <xdr:row>0</xdr:row>
                <xdr:rowOff>57150</xdr:rowOff>
              </from>
              <to>
                <xdr:col>4</xdr:col>
                <xdr:colOff>1704975</xdr:colOff>
                <xdr:row>0</xdr:row>
                <xdr:rowOff>266700</xdr:rowOff>
              </to>
            </anchor>
          </controlPr>
        </control>
      </mc:Choice>
      <mc:Fallback>
        <control shapeId="22534" r:id="rId16" name="choix_zone"/>
      </mc:Fallback>
    </mc:AlternateContent>
    <mc:AlternateContent xmlns:mc="http://schemas.openxmlformats.org/markup-compatibility/2006">
      <mc:Choice Requires="x14">
        <control shapeId="22533" r:id="rId18" name="recherche_ok">
          <controlPr defaultSize="0" autoLine="0" r:id="rId19">
            <anchor moveWithCells="1">
              <from>
                <xdr:col>5</xdr:col>
                <xdr:colOff>38100</xdr:colOff>
                <xdr:row>7</xdr:row>
                <xdr:rowOff>38100</xdr:rowOff>
              </from>
              <to>
                <xdr:col>5</xdr:col>
                <xdr:colOff>695325</xdr:colOff>
                <xdr:row>7</xdr:row>
                <xdr:rowOff>285750</xdr:rowOff>
              </to>
            </anchor>
          </controlPr>
        </control>
      </mc:Choice>
      <mc:Fallback>
        <control shapeId="22533" r:id="rId18" name="recherche_ok"/>
      </mc:Fallback>
    </mc:AlternateContent>
    <mc:AlternateContent xmlns:mc="http://schemas.openxmlformats.org/markup-compatibility/2006">
      <mc:Choice Requires="x14">
        <control shapeId="22531" r:id="rId20" name="effacer_boutton">
          <controlPr defaultSize="0" autoLine="0" r:id="rId21">
            <anchor moveWithCells="1">
              <from>
                <xdr:col>1</xdr:col>
                <xdr:colOff>342900</xdr:colOff>
                <xdr:row>2</xdr:row>
                <xdr:rowOff>476250</xdr:rowOff>
              </from>
              <to>
                <xdr:col>2</xdr:col>
                <xdr:colOff>66675</xdr:colOff>
                <xdr:row>2</xdr:row>
                <xdr:rowOff>781050</xdr:rowOff>
              </to>
            </anchor>
          </controlPr>
        </control>
      </mc:Choice>
      <mc:Fallback>
        <control shapeId="22531" r:id="rId20" name="effacer_boutton"/>
      </mc:Fallback>
    </mc:AlternateContent>
    <mc:AlternateContent xmlns:mc="http://schemas.openxmlformats.org/markup-compatibility/2006">
      <mc:Choice Requires="x14">
        <control shapeId="22529" r:id="rId22" name="valider_creation">
          <controlPr defaultSize="0" autoLine="0" r:id="rId23">
            <anchor moveWithCells="1">
              <from>
                <xdr:col>0</xdr:col>
                <xdr:colOff>419100</xdr:colOff>
                <xdr:row>2</xdr:row>
                <xdr:rowOff>485775</xdr:rowOff>
              </from>
              <to>
                <xdr:col>1</xdr:col>
                <xdr:colOff>47625</xdr:colOff>
                <xdr:row>2</xdr:row>
                <xdr:rowOff>790575</xdr:rowOff>
              </to>
            </anchor>
          </controlPr>
        </control>
      </mc:Choice>
      <mc:Fallback>
        <control shapeId="22529" r:id="rId22" name="valider_cre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enableFormatConditionsCalculation="0">
    <tabColor indexed="9"/>
    <pageSetUpPr fitToPage="1"/>
  </sheetPr>
  <dimension ref="A1:CK59"/>
  <sheetViews>
    <sheetView topLeftCell="A33" workbookViewId="0">
      <pane xSplit="2" topLeftCell="C1" activePane="topRight" state="frozenSplit"/>
      <selection pane="topRight" activeCell="A52" sqref="A52:E52"/>
    </sheetView>
  </sheetViews>
  <sheetFormatPr baseColWidth="10" defaultRowHeight="12" x14ac:dyDescent="0.2"/>
  <cols>
    <col min="1" max="1" width="12.85546875" style="1" customWidth="1"/>
    <col min="2" max="2" width="35.85546875" style="1" customWidth="1"/>
    <col min="3" max="25" width="8.7109375" style="2" customWidth="1"/>
    <col min="26" max="26" width="8.7109375" style="1" customWidth="1"/>
    <col min="27" max="79" width="11.42578125" style="1"/>
    <col min="80" max="80" width="7.28515625" style="1" customWidth="1"/>
    <col min="81" max="16384" width="11.42578125" style="1"/>
  </cols>
  <sheetData>
    <row r="1" spans="1:89" ht="12.75" thickBot="1" x14ac:dyDescent="0.25">
      <c r="A1" s="1">
        <v>1</v>
      </c>
      <c r="B1" s="1">
        <v>2</v>
      </c>
      <c r="C1" s="2">
        <v>3</v>
      </c>
      <c r="D1" s="1">
        <v>4</v>
      </c>
      <c r="E1" s="1">
        <v>5</v>
      </c>
      <c r="F1" s="2">
        <v>6</v>
      </c>
      <c r="G1" s="1">
        <v>7</v>
      </c>
      <c r="H1" s="1">
        <v>8</v>
      </c>
      <c r="I1" s="2">
        <v>9</v>
      </c>
      <c r="J1" s="1">
        <v>10</v>
      </c>
      <c r="K1" s="1">
        <v>11</v>
      </c>
      <c r="L1" s="2">
        <v>12</v>
      </c>
      <c r="M1" s="1">
        <v>13</v>
      </c>
      <c r="N1" s="1">
        <v>14</v>
      </c>
      <c r="O1" s="2">
        <v>15</v>
      </c>
      <c r="P1" s="1">
        <v>16</v>
      </c>
      <c r="Q1" s="1">
        <v>17</v>
      </c>
      <c r="R1" s="2">
        <v>18</v>
      </c>
      <c r="S1" s="1">
        <v>19</v>
      </c>
      <c r="T1" s="1">
        <v>20</v>
      </c>
      <c r="U1" s="2">
        <v>21</v>
      </c>
      <c r="V1" s="1">
        <v>22</v>
      </c>
      <c r="W1" s="1">
        <v>23</v>
      </c>
      <c r="X1" s="2">
        <v>24</v>
      </c>
      <c r="Y1" s="1">
        <v>25</v>
      </c>
      <c r="Z1" s="1">
        <v>26</v>
      </c>
      <c r="AA1" s="2">
        <v>27</v>
      </c>
      <c r="AB1" s="1">
        <v>28</v>
      </c>
      <c r="AC1" s="1">
        <v>29</v>
      </c>
      <c r="AD1" s="2">
        <v>30</v>
      </c>
      <c r="AE1" s="1">
        <v>31</v>
      </c>
      <c r="AF1" s="1">
        <v>32</v>
      </c>
      <c r="AG1" s="2">
        <v>33</v>
      </c>
      <c r="AH1" s="1">
        <v>34</v>
      </c>
      <c r="AI1" s="2">
        <v>35</v>
      </c>
      <c r="AJ1" s="1">
        <v>36</v>
      </c>
      <c r="AK1" s="2">
        <v>37</v>
      </c>
      <c r="AL1" s="1">
        <v>38</v>
      </c>
      <c r="AM1" s="2">
        <v>39</v>
      </c>
    </row>
    <row r="2" spans="1:89" s="17" customFormat="1" ht="12.75" thickBot="1" x14ac:dyDescent="0.25">
      <c r="C2" s="18">
        <v>38718</v>
      </c>
      <c r="D2" s="19">
        <v>38749</v>
      </c>
      <c r="E2" s="18">
        <v>38777</v>
      </c>
      <c r="F2" s="20">
        <v>38808</v>
      </c>
      <c r="G2" s="18">
        <v>38838</v>
      </c>
      <c r="H2" s="20">
        <v>38869</v>
      </c>
      <c r="I2" s="18">
        <v>38899</v>
      </c>
      <c r="J2" s="20">
        <v>38930</v>
      </c>
      <c r="K2" s="18">
        <v>38961</v>
      </c>
      <c r="L2" s="20">
        <v>38991</v>
      </c>
      <c r="M2" s="18">
        <v>39022</v>
      </c>
      <c r="N2" s="21">
        <v>39052</v>
      </c>
      <c r="O2" s="18">
        <v>39083</v>
      </c>
      <c r="P2" s="19">
        <v>39114</v>
      </c>
      <c r="Q2" s="19">
        <v>39142</v>
      </c>
      <c r="R2" s="18">
        <v>39173</v>
      </c>
      <c r="S2" s="18">
        <v>39203</v>
      </c>
      <c r="T2" s="18">
        <v>39234</v>
      </c>
      <c r="U2" s="18">
        <v>39264</v>
      </c>
      <c r="V2" s="18">
        <v>39295</v>
      </c>
      <c r="W2" s="18">
        <v>39326</v>
      </c>
      <c r="X2" s="18">
        <v>39356</v>
      </c>
      <c r="Y2" s="18">
        <v>39387</v>
      </c>
      <c r="Z2" s="18">
        <v>39417</v>
      </c>
      <c r="AA2" s="18">
        <v>39448</v>
      </c>
      <c r="AB2" s="18">
        <v>39479</v>
      </c>
      <c r="AC2" s="18">
        <v>39508</v>
      </c>
      <c r="AD2" s="18">
        <v>39539</v>
      </c>
      <c r="AE2" s="18">
        <v>39569</v>
      </c>
      <c r="AF2" s="18">
        <v>39600</v>
      </c>
      <c r="AG2" s="18">
        <v>39630</v>
      </c>
      <c r="AH2" s="18">
        <v>39661</v>
      </c>
      <c r="AI2" s="18">
        <v>39692</v>
      </c>
      <c r="AJ2" s="18">
        <v>39722</v>
      </c>
      <c r="AK2" s="18">
        <v>39753</v>
      </c>
      <c r="AL2" s="18">
        <v>39783</v>
      </c>
      <c r="AM2" s="18">
        <v>39814</v>
      </c>
      <c r="AN2" s="18">
        <v>39845</v>
      </c>
      <c r="AO2" s="18">
        <v>39873</v>
      </c>
      <c r="AP2" s="18">
        <v>39904</v>
      </c>
      <c r="AQ2" s="18">
        <v>39934</v>
      </c>
      <c r="AR2" s="18">
        <v>39965</v>
      </c>
      <c r="AS2" s="18">
        <v>39995</v>
      </c>
      <c r="AT2" s="18">
        <v>40026</v>
      </c>
      <c r="AU2" s="18">
        <v>40057</v>
      </c>
      <c r="AV2" s="18">
        <v>40087</v>
      </c>
      <c r="AW2" s="18">
        <v>40118</v>
      </c>
      <c r="AX2" s="18">
        <v>40148</v>
      </c>
      <c r="AY2" s="18">
        <v>40179</v>
      </c>
      <c r="AZ2" s="18">
        <v>40210</v>
      </c>
      <c r="BA2" s="18">
        <v>40238</v>
      </c>
      <c r="BB2" s="18">
        <v>40269</v>
      </c>
      <c r="BC2" s="18">
        <v>40299</v>
      </c>
      <c r="BD2" s="18">
        <v>40330</v>
      </c>
      <c r="BE2" s="18">
        <v>40360</v>
      </c>
      <c r="BF2" s="18">
        <v>40391</v>
      </c>
      <c r="BG2" s="18">
        <v>40422</v>
      </c>
      <c r="BH2" s="18">
        <v>40452</v>
      </c>
      <c r="BI2" s="18">
        <v>40483</v>
      </c>
      <c r="BJ2" s="18">
        <v>40513</v>
      </c>
      <c r="BK2" s="18">
        <v>40544</v>
      </c>
      <c r="BL2" s="18">
        <v>40575</v>
      </c>
      <c r="BM2" s="18">
        <v>40603</v>
      </c>
      <c r="BN2" s="18">
        <v>40634</v>
      </c>
      <c r="BO2" s="18">
        <v>40664</v>
      </c>
      <c r="BP2" s="18">
        <v>40695</v>
      </c>
      <c r="BQ2" s="18">
        <v>40725</v>
      </c>
      <c r="BR2" s="18">
        <v>40756</v>
      </c>
      <c r="BS2" s="18">
        <v>40787</v>
      </c>
      <c r="BT2" s="18">
        <v>40817</v>
      </c>
      <c r="BU2" s="18">
        <v>40848</v>
      </c>
      <c r="BV2" s="18">
        <v>40878</v>
      </c>
      <c r="BW2" s="18">
        <v>40909</v>
      </c>
      <c r="BX2" s="18">
        <v>40940</v>
      </c>
      <c r="BY2" s="18">
        <v>40969</v>
      </c>
      <c r="BZ2" s="18">
        <v>41000</v>
      </c>
      <c r="CA2" s="18">
        <v>41030</v>
      </c>
      <c r="CB2" s="18" t="s">
        <v>1424</v>
      </c>
      <c r="CC2" s="18">
        <v>41061</v>
      </c>
      <c r="CD2" s="18">
        <v>41091</v>
      </c>
      <c r="CE2" s="18">
        <v>41122</v>
      </c>
      <c r="CF2" s="18">
        <v>41153</v>
      </c>
      <c r="CG2" s="18">
        <v>41183</v>
      </c>
      <c r="CH2" s="18">
        <v>41214</v>
      </c>
      <c r="CI2" s="18">
        <v>41244</v>
      </c>
      <c r="CJ2" s="18">
        <v>41275</v>
      </c>
      <c r="CK2" s="18">
        <v>41306</v>
      </c>
    </row>
    <row r="3" spans="1:89" x14ac:dyDescent="0.2">
      <c r="A3" s="7" t="s">
        <v>1473</v>
      </c>
      <c r="B3" s="100" t="s">
        <v>3337</v>
      </c>
      <c r="C3" s="101">
        <v>4</v>
      </c>
      <c r="D3" s="101">
        <v>8</v>
      </c>
      <c r="E3" s="101">
        <v>7</v>
      </c>
      <c r="F3" s="101">
        <v>1</v>
      </c>
      <c r="G3" s="101">
        <v>17</v>
      </c>
      <c r="H3" s="101">
        <v>1</v>
      </c>
      <c r="I3" s="101">
        <v>3</v>
      </c>
      <c r="J3" s="101">
        <v>6</v>
      </c>
      <c r="K3" s="101">
        <v>5</v>
      </c>
      <c r="L3" s="101">
        <v>13</v>
      </c>
      <c r="M3" s="101">
        <v>8</v>
      </c>
      <c r="N3" s="101">
        <v>3</v>
      </c>
      <c r="O3" s="101">
        <v>9</v>
      </c>
      <c r="P3" s="101">
        <v>10</v>
      </c>
      <c r="Q3" s="101">
        <v>5</v>
      </c>
      <c r="R3" s="101">
        <v>4</v>
      </c>
      <c r="S3" s="101">
        <v>7</v>
      </c>
      <c r="T3" s="101">
        <v>9</v>
      </c>
      <c r="U3" s="101">
        <v>12</v>
      </c>
      <c r="V3" s="101">
        <v>1</v>
      </c>
      <c r="W3" s="101">
        <v>11</v>
      </c>
      <c r="X3" s="101">
        <v>11</v>
      </c>
      <c r="Y3" s="101">
        <v>11</v>
      </c>
      <c r="Z3" s="101">
        <v>6</v>
      </c>
      <c r="AA3" s="101">
        <v>15</v>
      </c>
      <c r="AB3" s="101">
        <v>11</v>
      </c>
      <c r="AC3" s="101">
        <v>1</v>
      </c>
      <c r="AD3" s="101">
        <v>6</v>
      </c>
      <c r="AE3" s="101">
        <v>2</v>
      </c>
      <c r="AF3" s="101">
        <v>1</v>
      </c>
      <c r="AG3" s="101">
        <v>14</v>
      </c>
      <c r="AH3" s="101">
        <v>0</v>
      </c>
      <c r="AI3" s="101">
        <v>4</v>
      </c>
      <c r="AJ3" s="101">
        <v>0</v>
      </c>
      <c r="AK3" s="101">
        <v>1</v>
      </c>
      <c r="AL3" s="101">
        <v>20</v>
      </c>
      <c r="AM3" s="101">
        <v>9</v>
      </c>
      <c r="AN3" s="101">
        <v>9</v>
      </c>
      <c r="AO3" s="101">
        <v>12</v>
      </c>
      <c r="AP3" s="101">
        <v>14</v>
      </c>
      <c r="AQ3" s="101">
        <v>9</v>
      </c>
      <c r="AR3" s="101">
        <v>21</v>
      </c>
      <c r="AS3" s="101">
        <v>7</v>
      </c>
      <c r="AT3" s="101">
        <v>1</v>
      </c>
      <c r="AU3" s="101">
        <v>9</v>
      </c>
      <c r="AV3" s="101">
        <v>1</v>
      </c>
      <c r="AW3" s="101">
        <v>7</v>
      </c>
      <c r="AX3" s="101">
        <v>7</v>
      </c>
      <c r="AY3" s="101">
        <v>11</v>
      </c>
      <c r="AZ3" s="101">
        <v>5</v>
      </c>
      <c r="BA3" s="101">
        <v>5</v>
      </c>
      <c r="BB3" s="101">
        <v>1</v>
      </c>
      <c r="BC3" s="101">
        <v>5</v>
      </c>
      <c r="BD3" s="101">
        <v>7</v>
      </c>
      <c r="BE3" s="101">
        <v>14</v>
      </c>
      <c r="BF3" s="101">
        <v>4</v>
      </c>
      <c r="BG3" s="101">
        <v>12</v>
      </c>
      <c r="BH3" s="101">
        <v>19</v>
      </c>
      <c r="BI3" s="101">
        <v>19</v>
      </c>
      <c r="BJ3" s="101">
        <v>6</v>
      </c>
      <c r="BK3" s="101">
        <v>10</v>
      </c>
      <c r="BL3" s="101">
        <v>9</v>
      </c>
      <c r="BM3" s="101">
        <v>16</v>
      </c>
      <c r="BN3" s="101">
        <v>8</v>
      </c>
      <c r="BO3" s="101">
        <v>6</v>
      </c>
      <c r="BP3" s="101">
        <v>-33</v>
      </c>
      <c r="BQ3" s="101">
        <v>25</v>
      </c>
      <c r="BR3" s="101">
        <v>6</v>
      </c>
      <c r="BS3" s="101">
        <v>16</v>
      </c>
      <c r="BT3" s="101">
        <v>17</v>
      </c>
      <c r="BU3" s="101">
        <v>10</v>
      </c>
      <c r="BV3" s="101">
        <v>8</v>
      </c>
      <c r="BW3" s="101">
        <v>2</v>
      </c>
      <c r="BX3" s="101">
        <v>0</v>
      </c>
      <c r="BY3" s="101">
        <v>0</v>
      </c>
      <c r="BZ3" s="101">
        <v>0</v>
      </c>
      <c r="CA3" s="101">
        <v>4</v>
      </c>
      <c r="CB3" s="101">
        <v>21</v>
      </c>
      <c r="CC3" s="101">
        <v>1</v>
      </c>
      <c r="CD3" s="101">
        <v>0</v>
      </c>
      <c r="CE3" s="101">
        <v>0</v>
      </c>
      <c r="CF3" s="101">
        <v>2</v>
      </c>
      <c r="CG3" s="101">
        <v>1</v>
      </c>
      <c r="CH3" s="101">
        <v>8</v>
      </c>
      <c r="CI3" s="101">
        <v>2</v>
      </c>
      <c r="CJ3" s="101">
        <v>0</v>
      </c>
      <c r="CK3" s="101">
        <v>0</v>
      </c>
    </row>
    <row r="4" spans="1:89" x14ac:dyDescent="0.2">
      <c r="A4" s="14"/>
      <c r="B4" s="102" t="s">
        <v>3253</v>
      </c>
      <c r="C4" s="103">
        <v>0</v>
      </c>
      <c r="D4" s="103">
        <v>1</v>
      </c>
      <c r="E4" s="103">
        <v>3</v>
      </c>
      <c r="F4" s="103">
        <v>2</v>
      </c>
      <c r="G4" s="103">
        <v>9</v>
      </c>
      <c r="H4" s="103">
        <v>4</v>
      </c>
      <c r="I4" s="103">
        <v>1</v>
      </c>
      <c r="J4" s="103">
        <v>1</v>
      </c>
      <c r="K4" s="103">
        <v>4</v>
      </c>
      <c r="L4" s="103">
        <v>7</v>
      </c>
      <c r="M4" s="103">
        <v>10</v>
      </c>
      <c r="N4" s="103">
        <v>4</v>
      </c>
      <c r="O4" s="103">
        <v>12</v>
      </c>
      <c r="P4" s="103">
        <v>9</v>
      </c>
      <c r="Q4" s="103">
        <v>10</v>
      </c>
      <c r="R4" s="103">
        <v>6</v>
      </c>
      <c r="S4" s="103">
        <v>7</v>
      </c>
      <c r="T4" s="103">
        <v>7</v>
      </c>
      <c r="U4" s="103">
        <v>4</v>
      </c>
      <c r="V4" s="103">
        <v>6</v>
      </c>
      <c r="W4" s="103">
        <v>13</v>
      </c>
      <c r="X4" s="103">
        <v>5</v>
      </c>
      <c r="Y4" s="103">
        <v>17</v>
      </c>
      <c r="Z4" s="103"/>
      <c r="AA4" s="103">
        <v>8</v>
      </c>
      <c r="AB4" s="103">
        <v>9</v>
      </c>
      <c r="AC4" s="103">
        <v>3</v>
      </c>
      <c r="AD4" s="103">
        <v>15</v>
      </c>
      <c r="AE4" s="103">
        <v>7</v>
      </c>
      <c r="AF4" s="103">
        <v>0</v>
      </c>
      <c r="AG4" s="103">
        <v>1</v>
      </c>
      <c r="AH4" s="103">
        <v>0</v>
      </c>
      <c r="AI4" s="103">
        <v>2</v>
      </c>
      <c r="AJ4" s="103">
        <v>1</v>
      </c>
      <c r="AK4" s="103">
        <v>0</v>
      </c>
      <c r="AL4" s="103">
        <v>1</v>
      </c>
      <c r="AM4" s="103">
        <v>10</v>
      </c>
      <c r="AN4" s="103">
        <v>27</v>
      </c>
      <c r="AO4" s="103">
        <v>11</v>
      </c>
      <c r="AP4" s="103">
        <v>14</v>
      </c>
      <c r="AQ4" s="103">
        <v>2</v>
      </c>
      <c r="AR4" s="103">
        <v>21</v>
      </c>
      <c r="AS4" s="103">
        <v>7</v>
      </c>
      <c r="AT4" s="103">
        <v>10</v>
      </c>
      <c r="AU4" s="103">
        <v>1</v>
      </c>
      <c r="AV4" s="103">
        <v>0</v>
      </c>
      <c r="AW4" s="103">
        <v>13</v>
      </c>
      <c r="AX4" s="103">
        <v>0</v>
      </c>
      <c r="AY4" s="103">
        <v>7</v>
      </c>
      <c r="AZ4" s="103">
        <f>2+6</f>
        <v>8</v>
      </c>
      <c r="BA4" s="103">
        <v>14</v>
      </c>
      <c r="BB4" s="103">
        <v>0</v>
      </c>
      <c r="BC4" s="103">
        <v>0</v>
      </c>
      <c r="BD4" s="103">
        <v>0</v>
      </c>
      <c r="BE4" s="103">
        <v>0</v>
      </c>
      <c r="BF4" s="103">
        <v>0</v>
      </c>
      <c r="BG4" s="103">
        <v>0</v>
      </c>
      <c r="BH4" s="103">
        <v>9</v>
      </c>
      <c r="BI4" s="103">
        <v>27</v>
      </c>
      <c r="BJ4" s="103">
        <v>17</v>
      </c>
      <c r="BK4" s="103">
        <v>1</v>
      </c>
      <c r="BL4" s="103">
        <v>0</v>
      </c>
      <c r="BM4" s="103">
        <v>0</v>
      </c>
      <c r="BN4" s="103">
        <v>6</v>
      </c>
      <c r="BO4" s="103">
        <v>18</v>
      </c>
      <c r="BP4" s="103">
        <v>3</v>
      </c>
      <c r="BQ4" s="103">
        <v>17</v>
      </c>
      <c r="BR4" s="103">
        <v>0</v>
      </c>
      <c r="BS4" s="103">
        <v>1</v>
      </c>
      <c r="BT4" s="103">
        <v>17</v>
      </c>
      <c r="BU4" s="103">
        <v>10</v>
      </c>
      <c r="BV4" s="103">
        <v>0</v>
      </c>
      <c r="BW4" s="103">
        <v>6</v>
      </c>
      <c r="BX4" s="103">
        <v>0</v>
      </c>
      <c r="BY4" s="103">
        <v>0</v>
      </c>
      <c r="BZ4" s="103">
        <v>10</v>
      </c>
      <c r="CA4" s="103">
        <v>26</v>
      </c>
      <c r="CB4" s="103">
        <v>0</v>
      </c>
      <c r="CC4" s="103">
        <v>9</v>
      </c>
      <c r="CD4" s="103">
        <v>7</v>
      </c>
      <c r="CE4" s="103">
        <v>10</v>
      </c>
      <c r="CF4" s="103">
        <v>15</v>
      </c>
      <c r="CG4" s="103">
        <v>7</v>
      </c>
      <c r="CH4" s="103">
        <v>2</v>
      </c>
      <c r="CI4" s="103">
        <v>8</v>
      </c>
      <c r="CJ4" s="103">
        <v>3</v>
      </c>
      <c r="CK4" s="103">
        <v>2</v>
      </c>
    </row>
    <row r="5" spans="1:89" ht="12.75" thickBot="1" x14ac:dyDescent="0.25">
      <c r="A5" s="15"/>
      <c r="B5" s="104" t="s">
        <v>1959</v>
      </c>
      <c r="C5" s="105">
        <f>C3-C4</f>
        <v>4</v>
      </c>
      <c r="D5" s="105">
        <f t="shared" ref="D5:BW5" si="0">D3-D4+C5</f>
        <v>11</v>
      </c>
      <c r="E5" s="105">
        <f t="shared" si="0"/>
        <v>15</v>
      </c>
      <c r="F5" s="105">
        <f t="shared" si="0"/>
        <v>14</v>
      </c>
      <c r="G5" s="105">
        <f t="shared" si="0"/>
        <v>22</v>
      </c>
      <c r="H5" s="105">
        <f t="shared" si="0"/>
        <v>19</v>
      </c>
      <c r="I5" s="105">
        <f t="shared" si="0"/>
        <v>21</v>
      </c>
      <c r="J5" s="105">
        <f t="shared" si="0"/>
        <v>26</v>
      </c>
      <c r="K5" s="105">
        <f t="shared" si="0"/>
        <v>27</v>
      </c>
      <c r="L5" s="105">
        <f t="shared" si="0"/>
        <v>33</v>
      </c>
      <c r="M5" s="105">
        <f t="shared" si="0"/>
        <v>31</v>
      </c>
      <c r="N5" s="105">
        <f t="shared" si="0"/>
        <v>30</v>
      </c>
      <c r="O5" s="105">
        <f t="shared" si="0"/>
        <v>27</v>
      </c>
      <c r="P5" s="105">
        <f t="shared" si="0"/>
        <v>28</v>
      </c>
      <c r="Q5" s="105">
        <f t="shared" si="0"/>
        <v>23</v>
      </c>
      <c r="R5" s="105">
        <f t="shared" si="0"/>
        <v>21</v>
      </c>
      <c r="S5" s="105">
        <f t="shared" si="0"/>
        <v>21</v>
      </c>
      <c r="T5" s="105">
        <f t="shared" si="0"/>
        <v>23</v>
      </c>
      <c r="U5" s="105">
        <f t="shared" si="0"/>
        <v>31</v>
      </c>
      <c r="V5" s="105">
        <f t="shared" si="0"/>
        <v>26</v>
      </c>
      <c r="W5" s="105">
        <f t="shared" si="0"/>
        <v>24</v>
      </c>
      <c r="X5" s="105">
        <f t="shared" si="0"/>
        <v>30</v>
      </c>
      <c r="Y5" s="105">
        <f t="shared" si="0"/>
        <v>24</v>
      </c>
      <c r="Z5" s="105">
        <f t="shared" si="0"/>
        <v>30</v>
      </c>
      <c r="AA5" s="105">
        <f t="shared" si="0"/>
        <v>37</v>
      </c>
      <c r="AB5" s="105">
        <f t="shared" si="0"/>
        <v>39</v>
      </c>
      <c r="AC5" s="105">
        <f t="shared" si="0"/>
        <v>37</v>
      </c>
      <c r="AD5" s="105">
        <f t="shared" si="0"/>
        <v>28</v>
      </c>
      <c r="AE5" s="105">
        <f t="shared" si="0"/>
        <v>23</v>
      </c>
      <c r="AF5" s="105">
        <f t="shared" si="0"/>
        <v>24</v>
      </c>
      <c r="AG5" s="105">
        <f t="shared" si="0"/>
        <v>37</v>
      </c>
      <c r="AH5" s="105">
        <f t="shared" si="0"/>
        <v>37</v>
      </c>
      <c r="AI5" s="105">
        <f t="shared" si="0"/>
        <v>39</v>
      </c>
      <c r="AJ5" s="105">
        <f t="shared" si="0"/>
        <v>38</v>
      </c>
      <c r="AK5" s="105">
        <f t="shared" si="0"/>
        <v>39</v>
      </c>
      <c r="AL5" s="105">
        <f t="shared" si="0"/>
        <v>58</v>
      </c>
      <c r="AM5" s="105">
        <f t="shared" si="0"/>
        <v>57</v>
      </c>
      <c r="AN5" s="105">
        <f t="shared" si="0"/>
        <v>39</v>
      </c>
      <c r="AO5" s="105">
        <f t="shared" si="0"/>
        <v>40</v>
      </c>
      <c r="AP5" s="105">
        <f t="shared" si="0"/>
        <v>40</v>
      </c>
      <c r="AQ5" s="105">
        <f t="shared" si="0"/>
        <v>47</v>
      </c>
      <c r="AR5" s="105">
        <f t="shared" si="0"/>
        <v>47</v>
      </c>
      <c r="AS5" s="105">
        <f t="shared" si="0"/>
        <v>47</v>
      </c>
      <c r="AT5" s="105">
        <f t="shared" si="0"/>
        <v>38</v>
      </c>
      <c r="AU5" s="105">
        <f t="shared" si="0"/>
        <v>46</v>
      </c>
      <c r="AV5" s="105">
        <f t="shared" si="0"/>
        <v>47</v>
      </c>
      <c r="AW5" s="105">
        <f t="shared" si="0"/>
        <v>41</v>
      </c>
      <c r="AX5" s="105">
        <f t="shared" si="0"/>
        <v>48</v>
      </c>
      <c r="AY5" s="105">
        <f t="shared" si="0"/>
        <v>52</v>
      </c>
      <c r="AZ5" s="105">
        <f t="shared" si="0"/>
        <v>49</v>
      </c>
      <c r="BA5" s="105">
        <f t="shared" si="0"/>
        <v>40</v>
      </c>
      <c r="BB5" s="105">
        <f t="shared" si="0"/>
        <v>41</v>
      </c>
      <c r="BC5" s="105">
        <f t="shared" si="0"/>
        <v>46</v>
      </c>
      <c r="BD5" s="105">
        <f t="shared" si="0"/>
        <v>53</v>
      </c>
      <c r="BE5" s="105">
        <f t="shared" si="0"/>
        <v>67</v>
      </c>
      <c r="BF5" s="105">
        <f t="shared" si="0"/>
        <v>71</v>
      </c>
      <c r="BG5" s="105">
        <f t="shared" si="0"/>
        <v>83</v>
      </c>
      <c r="BH5" s="105">
        <f t="shared" si="0"/>
        <v>93</v>
      </c>
      <c r="BI5" s="105">
        <f t="shared" si="0"/>
        <v>85</v>
      </c>
      <c r="BJ5" s="105">
        <f t="shared" si="0"/>
        <v>74</v>
      </c>
      <c r="BK5" s="105">
        <f t="shared" si="0"/>
        <v>83</v>
      </c>
      <c r="BL5" s="105">
        <f t="shared" si="0"/>
        <v>92</v>
      </c>
      <c r="BM5" s="105">
        <f t="shared" si="0"/>
        <v>108</v>
      </c>
      <c r="BN5" s="105">
        <f t="shared" si="0"/>
        <v>110</v>
      </c>
      <c r="BO5" s="105">
        <f t="shared" si="0"/>
        <v>98</v>
      </c>
      <c r="BP5" s="105">
        <f t="shared" si="0"/>
        <v>62</v>
      </c>
      <c r="BQ5" s="105">
        <f t="shared" si="0"/>
        <v>70</v>
      </c>
      <c r="BR5" s="105">
        <f t="shared" si="0"/>
        <v>76</v>
      </c>
      <c r="BS5" s="105">
        <f t="shared" si="0"/>
        <v>91</v>
      </c>
      <c r="BT5" s="105">
        <f t="shared" si="0"/>
        <v>91</v>
      </c>
      <c r="BU5" s="105">
        <f t="shared" si="0"/>
        <v>91</v>
      </c>
      <c r="BV5" s="105">
        <f t="shared" si="0"/>
        <v>99</v>
      </c>
      <c r="BW5" s="105">
        <f t="shared" si="0"/>
        <v>95</v>
      </c>
      <c r="BX5" s="105">
        <f>BX3-BX4+BW5</f>
        <v>95</v>
      </c>
      <c r="BY5" s="105">
        <v>117</v>
      </c>
      <c r="BZ5" s="105">
        <f t="shared" ref="BZ5:CH5" si="1">BZ3-BZ4+BY5</f>
        <v>107</v>
      </c>
      <c r="CA5" s="105">
        <f t="shared" si="1"/>
        <v>85</v>
      </c>
      <c r="CB5" s="105">
        <f t="shared" si="1"/>
        <v>106</v>
      </c>
      <c r="CC5" s="105">
        <f t="shared" si="1"/>
        <v>98</v>
      </c>
      <c r="CD5" s="105">
        <f>CD3-CD4+CC5</f>
        <v>91</v>
      </c>
      <c r="CE5" s="105">
        <f t="shared" si="1"/>
        <v>81</v>
      </c>
      <c r="CF5" s="105">
        <f t="shared" si="1"/>
        <v>68</v>
      </c>
      <c r="CG5" s="105">
        <f t="shared" si="1"/>
        <v>62</v>
      </c>
      <c r="CH5" s="105">
        <f t="shared" si="1"/>
        <v>68</v>
      </c>
      <c r="CI5" s="105">
        <f>CI3-CI4+CH5</f>
        <v>62</v>
      </c>
      <c r="CJ5" s="105">
        <f>CJ3-CJ4+CI5</f>
        <v>59</v>
      </c>
      <c r="CK5" s="105">
        <f>CK3-CK4+CJ5</f>
        <v>57</v>
      </c>
    </row>
    <row r="6" spans="1:89" x14ac:dyDescent="0.2">
      <c r="A6" s="7" t="s">
        <v>223</v>
      </c>
      <c r="B6" s="100" t="s">
        <v>3337</v>
      </c>
      <c r="C6" s="101">
        <v>1</v>
      </c>
      <c r="D6" s="101">
        <v>0</v>
      </c>
      <c r="E6" s="101">
        <v>8</v>
      </c>
      <c r="F6" s="101">
        <v>0</v>
      </c>
      <c r="G6" s="101">
        <v>1</v>
      </c>
      <c r="H6" s="101">
        <v>1</v>
      </c>
      <c r="I6" s="101">
        <v>4</v>
      </c>
      <c r="J6" s="101">
        <v>3</v>
      </c>
      <c r="K6" s="101">
        <v>0</v>
      </c>
      <c r="L6" s="101">
        <v>10</v>
      </c>
      <c r="M6" s="101">
        <v>11</v>
      </c>
      <c r="N6" s="101">
        <v>8</v>
      </c>
      <c r="O6" s="101">
        <v>23</v>
      </c>
      <c r="P6" s="101">
        <v>25</v>
      </c>
      <c r="Q6" s="101">
        <v>21</v>
      </c>
      <c r="R6" s="101">
        <v>28</v>
      </c>
      <c r="S6" s="101">
        <v>14</v>
      </c>
      <c r="T6" s="101">
        <v>14</v>
      </c>
      <c r="U6" s="101">
        <v>21</v>
      </c>
      <c r="V6" s="101">
        <v>8</v>
      </c>
      <c r="W6" s="101">
        <v>18</v>
      </c>
      <c r="X6" s="101">
        <v>28</v>
      </c>
      <c r="Y6" s="101">
        <v>15</v>
      </c>
      <c r="Z6" s="101">
        <v>17</v>
      </c>
      <c r="AA6" s="101">
        <v>14</v>
      </c>
      <c r="AB6" s="101">
        <v>22</v>
      </c>
      <c r="AC6" s="101">
        <v>25</v>
      </c>
      <c r="AD6" s="101">
        <v>20</v>
      </c>
      <c r="AE6" s="101">
        <v>28</v>
      </c>
      <c r="AF6" s="101">
        <v>21</v>
      </c>
      <c r="AG6" s="101">
        <v>17</v>
      </c>
      <c r="AH6" s="101">
        <v>9</v>
      </c>
      <c r="AI6" s="101">
        <v>21</v>
      </c>
      <c r="AJ6" s="101">
        <v>19</v>
      </c>
      <c r="AK6" s="101">
        <v>15</v>
      </c>
      <c r="AL6" s="101">
        <v>9</v>
      </c>
      <c r="AM6" s="101">
        <v>12</v>
      </c>
      <c r="AN6" s="101">
        <v>12</v>
      </c>
      <c r="AO6" s="101">
        <v>8</v>
      </c>
      <c r="AP6" s="101">
        <v>24</v>
      </c>
      <c r="AQ6" s="101">
        <v>16</v>
      </c>
      <c r="AR6" s="101">
        <v>15</v>
      </c>
      <c r="AS6" s="101">
        <v>16</v>
      </c>
      <c r="AT6" s="101">
        <v>17</v>
      </c>
      <c r="AU6" s="101">
        <v>19</v>
      </c>
      <c r="AV6" s="101">
        <v>16</v>
      </c>
      <c r="AW6" s="101">
        <v>24</v>
      </c>
      <c r="AX6" s="101">
        <v>8</v>
      </c>
      <c r="AY6" s="101">
        <v>8</v>
      </c>
      <c r="AZ6" s="101">
        <v>7</v>
      </c>
      <c r="BA6" s="101">
        <v>21</v>
      </c>
      <c r="BB6" s="101">
        <v>4</v>
      </c>
      <c r="BC6" s="101">
        <v>6</v>
      </c>
      <c r="BD6" s="101">
        <v>15</v>
      </c>
      <c r="BE6" s="101">
        <v>24</v>
      </c>
      <c r="BF6" s="101">
        <v>2</v>
      </c>
      <c r="BG6" s="101">
        <v>2</v>
      </c>
      <c r="BH6" s="101">
        <v>14</v>
      </c>
      <c r="BI6" s="101">
        <v>9</v>
      </c>
      <c r="BJ6" s="101">
        <v>3</v>
      </c>
      <c r="BK6" s="101">
        <v>6</v>
      </c>
      <c r="BL6" s="101">
        <v>9</v>
      </c>
      <c r="BM6" s="101">
        <v>25</v>
      </c>
      <c r="BN6" s="101">
        <v>7</v>
      </c>
      <c r="BO6" s="101">
        <v>14</v>
      </c>
      <c r="BP6" s="101">
        <v>-26</v>
      </c>
      <c r="BQ6" s="101">
        <v>24</v>
      </c>
      <c r="BR6" s="101">
        <v>5</v>
      </c>
      <c r="BS6" s="101">
        <v>9</v>
      </c>
      <c r="BT6" s="101">
        <v>4</v>
      </c>
      <c r="BU6" s="101">
        <v>8</v>
      </c>
      <c r="BV6" s="101">
        <v>2</v>
      </c>
      <c r="BW6" s="101">
        <v>0</v>
      </c>
      <c r="BX6" s="101">
        <v>0</v>
      </c>
      <c r="BY6" s="101">
        <v>0</v>
      </c>
      <c r="BZ6" s="101">
        <v>1</v>
      </c>
      <c r="CA6" s="101">
        <v>2</v>
      </c>
      <c r="CB6" s="101">
        <v>14</v>
      </c>
      <c r="CC6" s="101">
        <v>1</v>
      </c>
      <c r="CD6" s="101">
        <v>0</v>
      </c>
      <c r="CE6" s="101">
        <v>1</v>
      </c>
      <c r="CF6" s="101">
        <v>2</v>
      </c>
      <c r="CG6" s="101">
        <v>2</v>
      </c>
      <c r="CH6" s="101">
        <v>0</v>
      </c>
      <c r="CI6" s="101">
        <v>1</v>
      </c>
      <c r="CJ6" s="101">
        <v>0</v>
      </c>
      <c r="CK6" s="101">
        <v>0</v>
      </c>
    </row>
    <row r="7" spans="1:89" x14ac:dyDescent="0.2">
      <c r="A7" s="14"/>
      <c r="B7" s="102" t="s">
        <v>3253</v>
      </c>
      <c r="C7" s="103">
        <v>0</v>
      </c>
      <c r="D7" s="103">
        <v>0</v>
      </c>
      <c r="E7" s="103">
        <v>2</v>
      </c>
      <c r="F7" s="103">
        <v>2</v>
      </c>
      <c r="G7" s="103">
        <v>2</v>
      </c>
      <c r="H7" s="103">
        <v>2</v>
      </c>
      <c r="I7" s="103">
        <v>2</v>
      </c>
      <c r="J7" s="103">
        <v>3</v>
      </c>
      <c r="K7" s="103">
        <v>2</v>
      </c>
      <c r="L7" s="103">
        <v>5</v>
      </c>
      <c r="M7" s="103">
        <v>10</v>
      </c>
      <c r="N7" s="103">
        <v>8</v>
      </c>
      <c r="O7" s="103">
        <v>10</v>
      </c>
      <c r="P7" s="103">
        <v>10</v>
      </c>
      <c r="Q7" s="103">
        <v>36</v>
      </c>
      <c r="R7" s="103">
        <v>20</v>
      </c>
      <c r="S7" s="103">
        <v>19</v>
      </c>
      <c r="T7" s="103">
        <v>14</v>
      </c>
      <c r="U7" s="103">
        <v>9</v>
      </c>
      <c r="V7" s="103">
        <v>13</v>
      </c>
      <c r="W7" s="103">
        <v>16</v>
      </c>
      <c r="X7" s="103">
        <v>13</v>
      </c>
      <c r="Y7" s="103">
        <v>23</v>
      </c>
      <c r="Z7" s="103">
        <v>5</v>
      </c>
      <c r="AA7" s="103">
        <v>14</v>
      </c>
      <c r="AB7" s="103">
        <v>14</v>
      </c>
      <c r="AC7" s="103">
        <v>7</v>
      </c>
      <c r="AD7" s="103">
        <v>20</v>
      </c>
      <c r="AE7" s="103">
        <v>17</v>
      </c>
      <c r="AF7" s="103">
        <v>17</v>
      </c>
      <c r="AG7" s="103">
        <v>7</v>
      </c>
      <c r="AH7" s="103">
        <v>1</v>
      </c>
      <c r="AI7" s="103">
        <v>31</v>
      </c>
      <c r="AJ7" s="103">
        <v>19</v>
      </c>
      <c r="AK7" s="103">
        <v>27</v>
      </c>
      <c r="AL7" s="103">
        <v>1</v>
      </c>
      <c r="AM7" s="103">
        <v>39</v>
      </c>
      <c r="AN7" s="103">
        <v>21</v>
      </c>
      <c r="AO7" s="103">
        <v>35</v>
      </c>
      <c r="AP7" s="103">
        <v>15</v>
      </c>
      <c r="AQ7" s="103">
        <v>16</v>
      </c>
      <c r="AR7" s="103">
        <v>19</v>
      </c>
      <c r="AS7" s="103">
        <v>15</v>
      </c>
      <c r="AT7" s="103">
        <v>22</v>
      </c>
      <c r="AU7" s="103">
        <v>21</v>
      </c>
      <c r="AV7" s="103">
        <v>16</v>
      </c>
      <c r="AW7" s="103">
        <v>29</v>
      </c>
      <c r="AX7" s="103">
        <v>2</v>
      </c>
      <c r="AY7" s="103">
        <v>13</v>
      </c>
      <c r="AZ7" s="103">
        <f>4+7</f>
        <v>11</v>
      </c>
      <c r="BA7" s="103">
        <v>15</v>
      </c>
      <c r="BB7" s="103">
        <v>0</v>
      </c>
      <c r="BC7" s="103">
        <v>0</v>
      </c>
      <c r="BD7" s="103">
        <v>4</v>
      </c>
      <c r="BE7" s="103">
        <v>0</v>
      </c>
      <c r="BF7" s="103">
        <v>0</v>
      </c>
      <c r="BG7" s="103">
        <v>33</v>
      </c>
      <c r="BH7" s="103">
        <v>0</v>
      </c>
      <c r="BI7" s="103">
        <v>10</v>
      </c>
      <c r="BJ7" s="103">
        <v>14</v>
      </c>
      <c r="BK7" s="103">
        <v>1</v>
      </c>
      <c r="BL7" s="103">
        <v>0</v>
      </c>
      <c r="BM7" s="103">
        <v>43</v>
      </c>
      <c r="BN7" s="103">
        <v>6</v>
      </c>
      <c r="BO7" s="103">
        <v>3</v>
      </c>
      <c r="BP7" s="103">
        <v>6</v>
      </c>
      <c r="BQ7" s="103">
        <v>14</v>
      </c>
      <c r="BR7" s="103">
        <v>2</v>
      </c>
      <c r="BS7" s="103">
        <v>0</v>
      </c>
      <c r="BT7" s="103">
        <v>34</v>
      </c>
      <c r="BU7" s="103">
        <v>3</v>
      </c>
      <c r="BV7" s="103">
        <v>0</v>
      </c>
      <c r="BW7" s="103">
        <v>41</v>
      </c>
      <c r="BX7" s="103">
        <v>0</v>
      </c>
      <c r="BY7" s="103">
        <v>0</v>
      </c>
      <c r="BZ7" s="103">
        <v>25</v>
      </c>
      <c r="CA7" s="103">
        <v>4</v>
      </c>
      <c r="CB7" s="103">
        <v>0</v>
      </c>
      <c r="CC7" s="103">
        <v>5</v>
      </c>
      <c r="CD7" s="103">
        <v>30</v>
      </c>
      <c r="CE7" s="103">
        <v>31</v>
      </c>
      <c r="CF7" s="103">
        <v>2</v>
      </c>
      <c r="CG7" s="103">
        <v>7</v>
      </c>
      <c r="CH7" s="103">
        <v>7</v>
      </c>
      <c r="CI7" s="103">
        <v>7</v>
      </c>
      <c r="CJ7" s="103">
        <v>3</v>
      </c>
      <c r="CK7" s="103">
        <v>4</v>
      </c>
    </row>
    <row r="8" spans="1:89" ht="12.75" thickBot="1" x14ac:dyDescent="0.25">
      <c r="A8" s="15"/>
      <c r="B8" s="104" t="s">
        <v>1959</v>
      </c>
      <c r="C8" s="105">
        <f>C6-C7</f>
        <v>1</v>
      </c>
      <c r="D8" s="105">
        <f t="shared" ref="D8:CK8" si="2">D6-D7+C8</f>
        <v>1</v>
      </c>
      <c r="E8" s="105">
        <f t="shared" si="2"/>
        <v>7</v>
      </c>
      <c r="F8" s="105">
        <f t="shared" si="2"/>
        <v>5</v>
      </c>
      <c r="G8" s="105">
        <f t="shared" si="2"/>
        <v>4</v>
      </c>
      <c r="H8" s="105">
        <f t="shared" si="2"/>
        <v>3</v>
      </c>
      <c r="I8" s="105">
        <f t="shared" si="2"/>
        <v>5</v>
      </c>
      <c r="J8" s="105">
        <f t="shared" si="2"/>
        <v>5</v>
      </c>
      <c r="K8" s="105">
        <f t="shared" si="2"/>
        <v>3</v>
      </c>
      <c r="L8" s="105">
        <f t="shared" si="2"/>
        <v>8</v>
      </c>
      <c r="M8" s="105">
        <f t="shared" si="2"/>
        <v>9</v>
      </c>
      <c r="N8" s="105">
        <f t="shared" si="2"/>
        <v>9</v>
      </c>
      <c r="O8" s="105">
        <f t="shared" si="2"/>
        <v>22</v>
      </c>
      <c r="P8" s="105">
        <f t="shared" si="2"/>
        <v>37</v>
      </c>
      <c r="Q8" s="105">
        <f t="shared" si="2"/>
        <v>22</v>
      </c>
      <c r="R8" s="105">
        <f t="shared" si="2"/>
        <v>30</v>
      </c>
      <c r="S8" s="105">
        <f t="shared" si="2"/>
        <v>25</v>
      </c>
      <c r="T8" s="105">
        <f t="shared" si="2"/>
        <v>25</v>
      </c>
      <c r="U8" s="105">
        <f t="shared" si="2"/>
        <v>37</v>
      </c>
      <c r="V8" s="105">
        <f t="shared" si="2"/>
        <v>32</v>
      </c>
      <c r="W8" s="105">
        <f t="shared" si="2"/>
        <v>34</v>
      </c>
      <c r="X8" s="105">
        <f t="shared" si="2"/>
        <v>49</v>
      </c>
      <c r="Y8" s="105">
        <f t="shared" si="2"/>
        <v>41</v>
      </c>
      <c r="Z8" s="105">
        <f t="shared" si="2"/>
        <v>53</v>
      </c>
      <c r="AA8" s="105">
        <f t="shared" si="2"/>
        <v>53</v>
      </c>
      <c r="AB8" s="105">
        <f t="shared" si="2"/>
        <v>61</v>
      </c>
      <c r="AC8" s="105">
        <f t="shared" si="2"/>
        <v>79</v>
      </c>
      <c r="AD8" s="105">
        <f t="shared" si="2"/>
        <v>79</v>
      </c>
      <c r="AE8" s="105">
        <f t="shared" si="2"/>
        <v>90</v>
      </c>
      <c r="AF8" s="105">
        <f t="shared" si="2"/>
        <v>94</v>
      </c>
      <c r="AG8" s="105">
        <f t="shared" si="2"/>
        <v>104</v>
      </c>
      <c r="AH8" s="105">
        <f t="shared" si="2"/>
        <v>112</v>
      </c>
      <c r="AI8" s="105">
        <f t="shared" si="2"/>
        <v>102</v>
      </c>
      <c r="AJ8" s="105">
        <f t="shared" si="2"/>
        <v>102</v>
      </c>
      <c r="AK8" s="105">
        <f t="shared" si="2"/>
        <v>90</v>
      </c>
      <c r="AL8" s="105">
        <f t="shared" si="2"/>
        <v>98</v>
      </c>
      <c r="AM8" s="105">
        <f t="shared" si="2"/>
        <v>71</v>
      </c>
      <c r="AN8" s="105">
        <f t="shared" si="2"/>
        <v>62</v>
      </c>
      <c r="AO8" s="105">
        <f t="shared" si="2"/>
        <v>35</v>
      </c>
      <c r="AP8" s="105">
        <f t="shared" si="2"/>
        <v>44</v>
      </c>
      <c r="AQ8" s="105">
        <f t="shared" si="2"/>
        <v>44</v>
      </c>
      <c r="AR8" s="105">
        <f t="shared" si="2"/>
        <v>40</v>
      </c>
      <c r="AS8" s="105">
        <f t="shared" si="2"/>
        <v>41</v>
      </c>
      <c r="AT8" s="105">
        <f t="shared" si="2"/>
        <v>36</v>
      </c>
      <c r="AU8" s="105">
        <f t="shared" si="2"/>
        <v>34</v>
      </c>
      <c r="AV8" s="105">
        <f t="shared" si="2"/>
        <v>34</v>
      </c>
      <c r="AW8" s="105">
        <f t="shared" si="2"/>
        <v>29</v>
      </c>
      <c r="AX8" s="105">
        <f t="shared" si="2"/>
        <v>35</v>
      </c>
      <c r="AY8" s="105">
        <f t="shared" si="2"/>
        <v>30</v>
      </c>
      <c r="AZ8" s="105">
        <f t="shared" si="2"/>
        <v>26</v>
      </c>
      <c r="BA8" s="105">
        <f t="shared" si="2"/>
        <v>32</v>
      </c>
      <c r="BB8" s="105">
        <f t="shared" si="2"/>
        <v>36</v>
      </c>
      <c r="BC8" s="105">
        <f t="shared" si="2"/>
        <v>42</v>
      </c>
      <c r="BD8" s="105">
        <f t="shared" si="2"/>
        <v>53</v>
      </c>
      <c r="BE8" s="105">
        <f t="shared" si="2"/>
        <v>77</v>
      </c>
      <c r="BF8" s="105">
        <f t="shared" si="2"/>
        <v>79</v>
      </c>
      <c r="BG8" s="105">
        <f t="shared" si="2"/>
        <v>48</v>
      </c>
      <c r="BH8" s="105">
        <f t="shared" si="2"/>
        <v>62</v>
      </c>
      <c r="BI8" s="105">
        <f t="shared" si="2"/>
        <v>61</v>
      </c>
      <c r="BJ8" s="105">
        <f t="shared" si="2"/>
        <v>50</v>
      </c>
      <c r="BK8" s="105">
        <f t="shared" si="2"/>
        <v>55</v>
      </c>
      <c r="BL8" s="105">
        <f t="shared" si="2"/>
        <v>64</v>
      </c>
      <c r="BM8" s="105">
        <f t="shared" si="2"/>
        <v>46</v>
      </c>
      <c r="BN8" s="105">
        <f t="shared" si="2"/>
        <v>47</v>
      </c>
      <c r="BO8" s="105">
        <f t="shared" si="2"/>
        <v>58</v>
      </c>
      <c r="BP8" s="105">
        <f t="shared" si="2"/>
        <v>26</v>
      </c>
      <c r="BQ8" s="105">
        <f t="shared" si="2"/>
        <v>36</v>
      </c>
      <c r="BR8" s="105">
        <f t="shared" si="2"/>
        <v>39</v>
      </c>
      <c r="BS8" s="105">
        <f t="shared" si="2"/>
        <v>48</v>
      </c>
      <c r="BT8" s="105">
        <f t="shared" si="2"/>
        <v>18</v>
      </c>
      <c r="BU8" s="105">
        <f t="shared" si="2"/>
        <v>23</v>
      </c>
      <c r="BV8" s="105">
        <f t="shared" si="2"/>
        <v>25</v>
      </c>
      <c r="BW8" s="105">
        <f t="shared" si="2"/>
        <v>-16</v>
      </c>
      <c r="BX8" s="105">
        <f t="shared" si="2"/>
        <v>-16</v>
      </c>
      <c r="BY8" s="105">
        <v>110</v>
      </c>
      <c r="BZ8" s="105">
        <f t="shared" si="2"/>
        <v>86</v>
      </c>
      <c r="CA8" s="105">
        <f>CA6-CA7+BZ8</f>
        <v>84</v>
      </c>
      <c r="CB8" s="105">
        <f>CB6-CB7+CA8</f>
        <v>98</v>
      </c>
      <c r="CC8" s="105">
        <f>CC6-CC7+CB8</f>
        <v>94</v>
      </c>
      <c r="CD8" s="105">
        <f t="shared" si="2"/>
        <v>64</v>
      </c>
      <c r="CE8" s="105">
        <f t="shared" si="2"/>
        <v>34</v>
      </c>
      <c r="CF8" s="105">
        <f t="shared" si="2"/>
        <v>34</v>
      </c>
      <c r="CG8" s="105">
        <f t="shared" si="2"/>
        <v>29</v>
      </c>
      <c r="CH8" s="105">
        <f t="shared" si="2"/>
        <v>22</v>
      </c>
      <c r="CI8" s="105">
        <f t="shared" si="2"/>
        <v>16</v>
      </c>
      <c r="CJ8" s="105">
        <f t="shared" si="2"/>
        <v>13</v>
      </c>
      <c r="CK8" s="105">
        <f t="shared" si="2"/>
        <v>9</v>
      </c>
    </row>
    <row r="9" spans="1:89" x14ac:dyDescent="0.2">
      <c r="A9" s="7" t="s">
        <v>224</v>
      </c>
      <c r="B9" s="100" t="s">
        <v>3337</v>
      </c>
      <c r="C9" s="101">
        <v>1</v>
      </c>
      <c r="D9" s="101">
        <v>0</v>
      </c>
      <c r="E9" s="101">
        <v>3</v>
      </c>
      <c r="F9" s="101">
        <v>0</v>
      </c>
      <c r="G9" s="101">
        <v>3</v>
      </c>
      <c r="H9" s="101">
        <v>1</v>
      </c>
      <c r="I9" s="101">
        <v>5</v>
      </c>
      <c r="J9" s="101">
        <v>2</v>
      </c>
      <c r="K9" s="101">
        <v>3</v>
      </c>
      <c r="L9" s="101">
        <v>4</v>
      </c>
      <c r="M9" s="101">
        <v>6</v>
      </c>
      <c r="N9" s="101">
        <v>8</v>
      </c>
      <c r="O9" s="101">
        <v>16</v>
      </c>
      <c r="P9" s="101">
        <v>51</v>
      </c>
      <c r="Q9" s="101">
        <v>15</v>
      </c>
      <c r="R9" s="101">
        <v>15</v>
      </c>
      <c r="S9" s="101">
        <v>19</v>
      </c>
      <c r="T9" s="101">
        <v>9</v>
      </c>
      <c r="U9" s="101">
        <v>38</v>
      </c>
      <c r="V9" s="101">
        <v>7</v>
      </c>
      <c r="W9" s="101">
        <v>11</v>
      </c>
      <c r="X9" s="101">
        <v>9</v>
      </c>
      <c r="Y9" s="101">
        <v>6</v>
      </c>
      <c r="Z9" s="101">
        <v>18</v>
      </c>
      <c r="AA9" s="101">
        <v>6</v>
      </c>
      <c r="AB9" s="101">
        <v>19</v>
      </c>
      <c r="AC9" s="101">
        <v>19</v>
      </c>
      <c r="AD9" s="101">
        <v>6</v>
      </c>
      <c r="AE9" s="101">
        <v>3</v>
      </c>
      <c r="AF9" s="101">
        <v>11</v>
      </c>
      <c r="AG9" s="101">
        <v>11</v>
      </c>
      <c r="AH9" s="101">
        <v>3</v>
      </c>
      <c r="AI9" s="101">
        <v>3</v>
      </c>
      <c r="AJ9" s="101">
        <v>9</v>
      </c>
      <c r="AK9" s="101">
        <v>4</v>
      </c>
      <c r="AL9" s="101">
        <v>4</v>
      </c>
      <c r="AM9" s="101">
        <v>8</v>
      </c>
      <c r="AN9" s="101">
        <v>10</v>
      </c>
      <c r="AO9" s="101">
        <v>4</v>
      </c>
      <c r="AP9" s="101">
        <v>10</v>
      </c>
      <c r="AQ9" s="101">
        <v>4</v>
      </c>
      <c r="AR9" s="101">
        <v>10</v>
      </c>
      <c r="AS9" s="101">
        <v>3</v>
      </c>
      <c r="AT9" s="101">
        <v>2</v>
      </c>
      <c r="AU9" s="101">
        <v>10</v>
      </c>
      <c r="AV9" s="101">
        <v>4</v>
      </c>
      <c r="AW9" s="101">
        <v>10</v>
      </c>
      <c r="AX9" s="101">
        <v>3</v>
      </c>
      <c r="AY9" s="101">
        <v>2</v>
      </c>
      <c r="AZ9" s="101">
        <v>1</v>
      </c>
      <c r="BA9" s="101">
        <v>7</v>
      </c>
      <c r="BB9" s="101">
        <v>7</v>
      </c>
      <c r="BC9" s="101">
        <v>1</v>
      </c>
      <c r="BD9" s="101">
        <v>8</v>
      </c>
      <c r="BE9" s="101">
        <v>4</v>
      </c>
      <c r="BF9" s="101">
        <v>3</v>
      </c>
      <c r="BG9" s="101">
        <v>0</v>
      </c>
      <c r="BH9" s="101">
        <v>7</v>
      </c>
      <c r="BI9" s="101">
        <v>2</v>
      </c>
      <c r="BJ9" s="101">
        <v>2</v>
      </c>
      <c r="BK9" s="101">
        <v>6</v>
      </c>
      <c r="BL9" s="101">
        <v>10</v>
      </c>
      <c r="BM9" s="101">
        <v>20</v>
      </c>
      <c r="BN9" s="101">
        <v>11</v>
      </c>
      <c r="BO9" s="101">
        <v>30</v>
      </c>
      <c r="BP9" s="101">
        <v>15</v>
      </c>
      <c r="BQ9" s="101">
        <v>24</v>
      </c>
      <c r="BR9" s="101">
        <v>13</v>
      </c>
      <c r="BS9" s="101">
        <v>14</v>
      </c>
      <c r="BT9" s="101">
        <v>18</v>
      </c>
      <c r="BU9" s="101">
        <v>16</v>
      </c>
      <c r="BV9" s="101">
        <v>4</v>
      </c>
      <c r="BW9" s="101">
        <v>2</v>
      </c>
      <c r="BX9" s="101">
        <v>0</v>
      </c>
      <c r="BY9" s="101">
        <v>-1</v>
      </c>
      <c r="BZ9" s="101">
        <v>1</v>
      </c>
      <c r="CA9" s="101">
        <v>23</v>
      </c>
      <c r="CB9" s="101">
        <v>41</v>
      </c>
      <c r="CC9" s="101">
        <v>0</v>
      </c>
      <c r="CD9" s="101">
        <v>1</v>
      </c>
      <c r="CE9" s="101">
        <v>2</v>
      </c>
      <c r="CF9" s="101">
        <v>1</v>
      </c>
      <c r="CG9" s="101">
        <v>9</v>
      </c>
      <c r="CH9" s="101">
        <v>0</v>
      </c>
      <c r="CI9" s="101">
        <v>7</v>
      </c>
      <c r="CJ9" s="101">
        <v>0</v>
      </c>
      <c r="CK9" s="101">
        <v>0</v>
      </c>
    </row>
    <row r="10" spans="1:89" x14ac:dyDescent="0.2">
      <c r="A10" s="14"/>
      <c r="B10" s="102" t="s">
        <v>3253</v>
      </c>
      <c r="C10" s="103">
        <v>0</v>
      </c>
      <c r="D10" s="103">
        <v>0</v>
      </c>
      <c r="E10" s="103">
        <v>1</v>
      </c>
      <c r="F10" s="103">
        <v>1</v>
      </c>
      <c r="G10" s="103">
        <v>1</v>
      </c>
      <c r="H10" s="103">
        <v>1</v>
      </c>
      <c r="I10" s="103">
        <v>2</v>
      </c>
      <c r="J10" s="103">
        <v>4</v>
      </c>
      <c r="K10" s="103">
        <v>2</v>
      </c>
      <c r="L10" s="103">
        <v>3</v>
      </c>
      <c r="M10" s="103">
        <v>1</v>
      </c>
      <c r="N10" s="103">
        <v>9</v>
      </c>
      <c r="O10" s="103">
        <v>2</v>
      </c>
      <c r="P10" s="103">
        <v>25</v>
      </c>
      <c r="Q10" s="103">
        <v>50</v>
      </c>
      <c r="R10" s="103">
        <v>17</v>
      </c>
      <c r="S10" s="103">
        <v>7</v>
      </c>
      <c r="T10" s="103">
        <v>7</v>
      </c>
      <c r="U10" s="103">
        <v>15</v>
      </c>
      <c r="V10" s="103">
        <v>32</v>
      </c>
      <c r="W10" s="103">
        <v>16</v>
      </c>
      <c r="X10" s="103">
        <v>6</v>
      </c>
      <c r="Y10" s="103">
        <v>6</v>
      </c>
      <c r="Z10" s="103">
        <v>6</v>
      </c>
      <c r="AA10" s="103">
        <v>11</v>
      </c>
      <c r="AB10" s="103">
        <v>7</v>
      </c>
      <c r="AC10" s="103">
        <v>2</v>
      </c>
      <c r="AD10" s="103">
        <v>18</v>
      </c>
      <c r="AE10" s="103">
        <v>7</v>
      </c>
      <c r="AF10" s="103">
        <v>4</v>
      </c>
      <c r="AG10" s="103">
        <v>5</v>
      </c>
      <c r="AH10" s="103">
        <v>0</v>
      </c>
      <c r="AI10" s="103">
        <v>1</v>
      </c>
      <c r="AJ10" s="103">
        <v>3</v>
      </c>
      <c r="AK10" s="103">
        <v>21</v>
      </c>
      <c r="AL10" s="103">
        <v>1</v>
      </c>
      <c r="AM10" s="103">
        <v>19</v>
      </c>
      <c r="AN10" s="103">
        <v>12</v>
      </c>
      <c r="AO10" s="103">
        <v>11</v>
      </c>
      <c r="AP10" s="103">
        <v>12</v>
      </c>
      <c r="AQ10" s="103">
        <v>10</v>
      </c>
      <c r="AR10" s="103">
        <v>3</v>
      </c>
      <c r="AS10" s="103">
        <v>7</v>
      </c>
      <c r="AT10" s="103">
        <v>4</v>
      </c>
      <c r="AU10" s="103">
        <v>2</v>
      </c>
      <c r="AV10" s="103">
        <v>3</v>
      </c>
      <c r="AW10" s="103">
        <v>11</v>
      </c>
      <c r="AX10" s="103">
        <v>0</v>
      </c>
      <c r="AY10" s="103">
        <v>11</v>
      </c>
      <c r="AZ10" s="103">
        <f>1+1</f>
        <v>2</v>
      </c>
      <c r="BA10" s="103">
        <v>0</v>
      </c>
      <c r="BB10" s="103">
        <v>0</v>
      </c>
      <c r="BC10" s="103">
        <v>0</v>
      </c>
      <c r="BD10" s="103">
        <v>3</v>
      </c>
      <c r="BE10" s="103">
        <v>0</v>
      </c>
      <c r="BF10" s="103">
        <v>0</v>
      </c>
      <c r="BG10" s="103">
        <v>13</v>
      </c>
      <c r="BH10" s="103">
        <v>0</v>
      </c>
      <c r="BI10" s="103">
        <v>6</v>
      </c>
      <c r="BJ10" s="103">
        <v>10</v>
      </c>
      <c r="BK10" s="103">
        <v>1</v>
      </c>
      <c r="BL10" s="103">
        <v>0</v>
      </c>
      <c r="BM10" s="103">
        <v>42</v>
      </c>
      <c r="BN10" s="103">
        <v>8</v>
      </c>
      <c r="BO10" s="103">
        <v>5</v>
      </c>
      <c r="BP10" s="103">
        <v>11</v>
      </c>
      <c r="BQ10" s="103">
        <v>10</v>
      </c>
      <c r="BR10" s="103">
        <v>0</v>
      </c>
      <c r="BS10" s="103">
        <v>7</v>
      </c>
      <c r="BT10" s="103">
        <v>15</v>
      </c>
      <c r="BU10" s="103">
        <v>9</v>
      </c>
      <c r="BV10" s="103">
        <v>0</v>
      </c>
      <c r="BW10" s="103">
        <v>21</v>
      </c>
      <c r="BX10" s="103">
        <v>0</v>
      </c>
      <c r="BY10" s="103">
        <v>0</v>
      </c>
      <c r="BZ10" s="103">
        <v>55</v>
      </c>
      <c r="CA10" s="103">
        <v>30</v>
      </c>
      <c r="CB10" s="103">
        <v>0</v>
      </c>
      <c r="CC10" s="103">
        <v>26</v>
      </c>
      <c r="CD10" s="103">
        <v>19</v>
      </c>
      <c r="CE10" s="103">
        <v>7</v>
      </c>
      <c r="CF10" s="103">
        <v>18</v>
      </c>
      <c r="CG10" s="103">
        <v>9</v>
      </c>
      <c r="CH10" s="103">
        <v>20</v>
      </c>
      <c r="CI10" s="103">
        <v>8</v>
      </c>
      <c r="CJ10" s="103">
        <v>13</v>
      </c>
      <c r="CK10" s="103">
        <v>8</v>
      </c>
    </row>
    <row r="11" spans="1:89" ht="12.75" thickBot="1" x14ac:dyDescent="0.25">
      <c r="A11" s="15"/>
      <c r="B11" s="104" t="s">
        <v>1959</v>
      </c>
      <c r="C11" s="105">
        <f>C9-C10</f>
        <v>1</v>
      </c>
      <c r="D11" s="105">
        <f t="shared" ref="D11:CK11" si="3">D9-D10+C11</f>
        <v>1</v>
      </c>
      <c r="E11" s="105">
        <f>E9-E10+D11</f>
        <v>3</v>
      </c>
      <c r="F11" s="105">
        <f t="shared" si="3"/>
        <v>2</v>
      </c>
      <c r="G11" s="105">
        <f t="shared" si="3"/>
        <v>4</v>
      </c>
      <c r="H11" s="105">
        <f t="shared" si="3"/>
        <v>4</v>
      </c>
      <c r="I11" s="105">
        <f t="shared" si="3"/>
        <v>7</v>
      </c>
      <c r="J11" s="105">
        <f t="shared" si="3"/>
        <v>5</v>
      </c>
      <c r="K11" s="105">
        <f t="shared" si="3"/>
        <v>6</v>
      </c>
      <c r="L11" s="105">
        <f t="shared" si="3"/>
        <v>7</v>
      </c>
      <c r="M11" s="105">
        <f t="shared" si="3"/>
        <v>12</v>
      </c>
      <c r="N11" s="105">
        <f t="shared" si="3"/>
        <v>11</v>
      </c>
      <c r="O11" s="105">
        <f t="shared" si="3"/>
        <v>25</v>
      </c>
      <c r="P11" s="105">
        <f t="shared" si="3"/>
        <v>51</v>
      </c>
      <c r="Q11" s="105">
        <f t="shared" si="3"/>
        <v>16</v>
      </c>
      <c r="R11" s="105">
        <f t="shared" si="3"/>
        <v>14</v>
      </c>
      <c r="S11" s="105">
        <f t="shared" si="3"/>
        <v>26</v>
      </c>
      <c r="T11" s="105">
        <f t="shared" si="3"/>
        <v>28</v>
      </c>
      <c r="U11" s="105">
        <f t="shared" si="3"/>
        <v>51</v>
      </c>
      <c r="V11" s="105">
        <f t="shared" si="3"/>
        <v>26</v>
      </c>
      <c r="W11" s="105">
        <f t="shared" si="3"/>
        <v>21</v>
      </c>
      <c r="X11" s="105">
        <f t="shared" si="3"/>
        <v>24</v>
      </c>
      <c r="Y11" s="105">
        <f t="shared" si="3"/>
        <v>24</v>
      </c>
      <c r="Z11" s="105">
        <f t="shared" si="3"/>
        <v>36</v>
      </c>
      <c r="AA11" s="105">
        <f t="shared" si="3"/>
        <v>31</v>
      </c>
      <c r="AB11" s="105">
        <f t="shared" si="3"/>
        <v>43</v>
      </c>
      <c r="AC11" s="105">
        <f t="shared" si="3"/>
        <v>60</v>
      </c>
      <c r="AD11" s="105">
        <f t="shared" si="3"/>
        <v>48</v>
      </c>
      <c r="AE11" s="105">
        <f t="shared" si="3"/>
        <v>44</v>
      </c>
      <c r="AF11" s="105">
        <f t="shared" si="3"/>
        <v>51</v>
      </c>
      <c r="AG11" s="105">
        <f t="shared" si="3"/>
        <v>57</v>
      </c>
      <c r="AH11" s="105">
        <f t="shared" si="3"/>
        <v>60</v>
      </c>
      <c r="AI11" s="105">
        <f t="shared" si="3"/>
        <v>62</v>
      </c>
      <c r="AJ11" s="105">
        <f t="shared" si="3"/>
        <v>68</v>
      </c>
      <c r="AK11" s="105">
        <f t="shared" si="3"/>
        <v>51</v>
      </c>
      <c r="AL11" s="105">
        <f t="shared" si="3"/>
        <v>54</v>
      </c>
      <c r="AM11" s="105">
        <f t="shared" si="3"/>
        <v>43</v>
      </c>
      <c r="AN11" s="105">
        <f t="shared" si="3"/>
        <v>41</v>
      </c>
      <c r="AO11" s="105">
        <f t="shared" si="3"/>
        <v>34</v>
      </c>
      <c r="AP11" s="105">
        <f t="shared" si="3"/>
        <v>32</v>
      </c>
      <c r="AQ11" s="105">
        <f t="shared" si="3"/>
        <v>26</v>
      </c>
      <c r="AR11" s="105">
        <f t="shared" si="3"/>
        <v>33</v>
      </c>
      <c r="AS11" s="105">
        <f t="shared" si="3"/>
        <v>29</v>
      </c>
      <c r="AT11" s="105">
        <f t="shared" si="3"/>
        <v>27</v>
      </c>
      <c r="AU11" s="105">
        <f t="shared" si="3"/>
        <v>35</v>
      </c>
      <c r="AV11" s="105">
        <f t="shared" si="3"/>
        <v>36</v>
      </c>
      <c r="AW11" s="105">
        <f t="shared" si="3"/>
        <v>35</v>
      </c>
      <c r="AX11" s="105">
        <f t="shared" si="3"/>
        <v>38</v>
      </c>
      <c r="AY11" s="105">
        <f t="shared" si="3"/>
        <v>29</v>
      </c>
      <c r="AZ11" s="105">
        <f t="shared" si="3"/>
        <v>28</v>
      </c>
      <c r="BA11" s="105">
        <f t="shared" si="3"/>
        <v>35</v>
      </c>
      <c r="BB11" s="105">
        <f t="shared" si="3"/>
        <v>42</v>
      </c>
      <c r="BC11" s="105">
        <f t="shared" si="3"/>
        <v>43</v>
      </c>
      <c r="BD11" s="105">
        <f t="shared" si="3"/>
        <v>48</v>
      </c>
      <c r="BE11" s="105">
        <f t="shared" si="3"/>
        <v>52</v>
      </c>
      <c r="BF11" s="105">
        <f t="shared" si="3"/>
        <v>55</v>
      </c>
      <c r="BG11" s="105">
        <f t="shared" si="3"/>
        <v>42</v>
      </c>
      <c r="BH11" s="105">
        <f t="shared" si="3"/>
        <v>49</v>
      </c>
      <c r="BI11" s="105">
        <f t="shared" si="3"/>
        <v>45</v>
      </c>
      <c r="BJ11" s="105">
        <f t="shared" si="3"/>
        <v>37</v>
      </c>
      <c r="BK11" s="105">
        <f t="shared" si="3"/>
        <v>42</v>
      </c>
      <c r="BL11" s="105">
        <f t="shared" si="3"/>
        <v>52</v>
      </c>
      <c r="BM11" s="105">
        <f t="shared" si="3"/>
        <v>30</v>
      </c>
      <c r="BN11" s="105">
        <f t="shared" si="3"/>
        <v>33</v>
      </c>
      <c r="BO11" s="105">
        <f t="shared" si="3"/>
        <v>58</v>
      </c>
      <c r="BP11" s="105">
        <f t="shared" si="3"/>
        <v>62</v>
      </c>
      <c r="BQ11" s="105">
        <f t="shared" si="3"/>
        <v>76</v>
      </c>
      <c r="BR11" s="105">
        <f t="shared" si="3"/>
        <v>89</v>
      </c>
      <c r="BS11" s="105">
        <f t="shared" si="3"/>
        <v>96</v>
      </c>
      <c r="BT11" s="105">
        <f t="shared" si="3"/>
        <v>99</v>
      </c>
      <c r="BU11" s="105">
        <f t="shared" si="3"/>
        <v>106</v>
      </c>
      <c r="BV11" s="105">
        <f t="shared" si="3"/>
        <v>110</v>
      </c>
      <c r="BW11" s="105">
        <f t="shared" si="3"/>
        <v>91</v>
      </c>
      <c r="BX11" s="105">
        <f t="shared" si="3"/>
        <v>91</v>
      </c>
      <c r="BY11" s="105">
        <v>141</v>
      </c>
      <c r="BZ11" s="105">
        <f t="shared" si="3"/>
        <v>87</v>
      </c>
      <c r="CA11" s="105">
        <f t="shared" si="3"/>
        <v>80</v>
      </c>
      <c r="CB11" s="105">
        <f>CB9-CB10+CA11</f>
        <v>121</v>
      </c>
      <c r="CC11" s="105">
        <f>CC9-CC10+CB11</f>
        <v>95</v>
      </c>
      <c r="CD11" s="105">
        <f t="shared" si="3"/>
        <v>77</v>
      </c>
      <c r="CE11" s="105">
        <f t="shared" si="3"/>
        <v>72</v>
      </c>
      <c r="CF11" s="105">
        <f t="shared" si="3"/>
        <v>55</v>
      </c>
      <c r="CG11" s="105">
        <f t="shared" si="3"/>
        <v>55</v>
      </c>
      <c r="CH11" s="105">
        <f t="shared" si="3"/>
        <v>35</v>
      </c>
      <c r="CI11" s="105">
        <f t="shared" si="3"/>
        <v>34</v>
      </c>
      <c r="CJ11" s="105">
        <f t="shared" si="3"/>
        <v>21</v>
      </c>
      <c r="CK11" s="105">
        <f t="shared" si="3"/>
        <v>13</v>
      </c>
    </row>
    <row r="12" spans="1:89" x14ac:dyDescent="0.2">
      <c r="A12" s="7" t="s">
        <v>3254</v>
      </c>
      <c r="B12" s="100" t="s">
        <v>3337</v>
      </c>
      <c r="C12" s="101">
        <v>3</v>
      </c>
      <c r="D12" s="101">
        <v>13</v>
      </c>
      <c r="E12" s="101">
        <v>9</v>
      </c>
      <c r="F12" s="101">
        <v>2</v>
      </c>
      <c r="G12" s="101">
        <v>3</v>
      </c>
      <c r="H12" s="101">
        <v>16</v>
      </c>
      <c r="I12" s="101">
        <v>4</v>
      </c>
      <c r="J12" s="101">
        <v>3</v>
      </c>
      <c r="K12" s="101">
        <v>7</v>
      </c>
      <c r="L12" s="101">
        <v>10</v>
      </c>
      <c r="M12" s="101">
        <v>9</v>
      </c>
      <c r="N12" s="101"/>
      <c r="O12" s="101">
        <v>6</v>
      </c>
      <c r="P12" s="101">
        <v>19</v>
      </c>
      <c r="Q12" s="101">
        <v>8</v>
      </c>
      <c r="R12" s="101">
        <v>12</v>
      </c>
      <c r="S12" s="101">
        <v>8</v>
      </c>
      <c r="T12" s="101">
        <v>18</v>
      </c>
      <c r="U12" s="101">
        <v>6</v>
      </c>
      <c r="V12" s="101">
        <v>14</v>
      </c>
      <c r="W12" s="101">
        <v>23</v>
      </c>
      <c r="X12" s="101">
        <v>12</v>
      </c>
      <c r="Y12" s="101">
        <v>12</v>
      </c>
      <c r="Z12" s="101">
        <v>8</v>
      </c>
      <c r="AA12" s="101">
        <v>13</v>
      </c>
      <c r="AB12" s="101">
        <v>13</v>
      </c>
      <c r="AC12" s="101">
        <v>13</v>
      </c>
      <c r="AD12" s="101">
        <v>24</v>
      </c>
      <c r="AE12" s="101">
        <v>8</v>
      </c>
      <c r="AF12" s="101">
        <v>13</v>
      </c>
      <c r="AG12" s="101">
        <v>10</v>
      </c>
      <c r="AH12" s="101">
        <v>3</v>
      </c>
      <c r="AI12" s="101">
        <v>5</v>
      </c>
      <c r="AJ12" s="101">
        <v>4</v>
      </c>
      <c r="AK12" s="101">
        <v>17</v>
      </c>
      <c r="AL12" s="101">
        <v>1</v>
      </c>
      <c r="AM12" s="101">
        <v>12</v>
      </c>
      <c r="AN12" s="101">
        <v>14</v>
      </c>
      <c r="AO12" s="101">
        <v>21</v>
      </c>
      <c r="AP12" s="101">
        <v>12</v>
      </c>
      <c r="AQ12" s="101">
        <v>13</v>
      </c>
      <c r="AR12" s="101">
        <v>19</v>
      </c>
      <c r="AS12" s="101">
        <v>13</v>
      </c>
      <c r="AT12" s="101">
        <v>3</v>
      </c>
      <c r="AU12" s="101">
        <v>8</v>
      </c>
      <c r="AV12" s="101">
        <v>17</v>
      </c>
      <c r="AW12" s="101">
        <v>14</v>
      </c>
      <c r="AX12" s="101">
        <v>11</v>
      </c>
      <c r="AY12" s="101">
        <v>5</v>
      </c>
      <c r="AZ12" s="101">
        <v>0</v>
      </c>
      <c r="BA12" s="101">
        <v>7</v>
      </c>
      <c r="BB12" s="101">
        <v>4</v>
      </c>
      <c r="BC12" s="101">
        <v>6</v>
      </c>
      <c r="BD12" s="101">
        <v>4</v>
      </c>
      <c r="BE12" s="101">
        <v>30</v>
      </c>
      <c r="BF12" s="101">
        <v>3</v>
      </c>
      <c r="BG12" s="101">
        <v>8</v>
      </c>
      <c r="BH12" s="101">
        <v>9</v>
      </c>
      <c r="BI12" s="101">
        <v>0</v>
      </c>
      <c r="BJ12" s="101">
        <v>4</v>
      </c>
      <c r="BK12" s="101">
        <v>1</v>
      </c>
      <c r="BL12" s="101">
        <v>3</v>
      </c>
      <c r="BM12" s="101">
        <v>6</v>
      </c>
      <c r="BN12" s="101">
        <v>6</v>
      </c>
      <c r="BO12" s="101">
        <v>3</v>
      </c>
      <c r="BP12" s="101">
        <v>6</v>
      </c>
      <c r="BQ12" s="101">
        <v>3</v>
      </c>
      <c r="BR12" s="101">
        <v>2</v>
      </c>
      <c r="BS12" s="101">
        <v>16</v>
      </c>
      <c r="BT12" s="101">
        <v>4</v>
      </c>
      <c r="BU12" s="101">
        <v>6</v>
      </c>
      <c r="BV12" s="101">
        <v>1</v>
      </c>
      <c r="BW12" s="101">
        <v>1</v>
      </c>
      <c r="BX12" s="101">
        <v>0</v>
      </c>
      <c r="BY12" s="101">
        <v>0</v>
      </c>
      <c r="BZ12" s="101">
        <v>2</v>
      </c>
      <c r="CA12" s="101">
        <v>9</v>
      </c>
      <c r="CB12" s="101">
        <v>16</v>
      </c>
      <c r="CC12" s="101">
        <v>2</v>
      </c>
      <c r="CD12" s="101">
        <v>3</v>
      </c>
      <c r="CE12" s="101">
        <v>1</v>
      </c>
      <c r="CF12" s="101">
        <v>5</v>
      </c>
      <c r="CG12" s="101">
        <v>1</v>
      </c>
      <c r="CH12" s="101">
        <v>2</v>
      </c>
      <c r="CI12" s="101">
        <v>0</v>
      </c>
      <c r="CJ12" s="101">
        <v>0</v>
      </c>
      <c r="CK12" s="101">
        <v>0</v>
      </c>
    </row>
    <row r="13" spans="1:89" x14ac:dyDescent="0.2">
      <c r="A13" s="14"/>
      <c r="B13" s="102" t="s">
        <v>3253</v>
      </c>
      <c r="C13" s="103">
        <v>0</v>
      </c>
      <c r="D13" s="103">
        <v>6</v>
      </c>
      <c r="E13" s="103">
        <v>11</v>
      </c>
      <c r="F13" s="103">
        <v>1</v>
      </c>
      <c r="G13" s="103">
        <v>0</v>
      </c>
      <c r="H13" s="103">
        <v>2</v>
      </c>
      <c r="I13" s="103">
        <v>9</v>
      </c>
      <c r="J13" s="103">
        <v>2</v>
      </c>
      <c r="K13" s="103">
        <v>8</v>
      </c>
      <c r="L13" s="103">
        <v>11</v>
      </c>
      <c r="M13" s="103">
        <v>4</v>
      </c>
      <c r="N13" s="103">
        <v>7</v>
      </c>
      <c r="O13" s="103">
        <v>11</v>
      </c>
      <c r="P13" s="103">
        <v>9</v>
      </c>
      <c r="Q13" s="103">
        <v>9</v>
      </c>
      <c r="R13" s="103">
        <v>15</v>
      </c>
      <c r="S13" s="103">
        <v>7</v>
      </c>
      <c r="T13" s="103">
        <v>17</v>
      </c>
      <c r="U13" s="103">
        <v>7</v>
      </c>
      <c r="V13" s="103">
        <v>15</v>
      </c>
      <c r="W13" s="103">
        <v>15</v>
      </c>
      <c r="X13" s="103">
        <v>13</v>
      </c>
      <c r="Y13" s="103">
        <v>9</v>
      </c>
      <c r="Z13" s="103">
        <v>4</v>
      </c>
      <c r="AA13" s="103">
        <v>13</v>
      </c>
      <c r="AB13" s="103">
        <v>14</v>
      </c>
      <c r="AC13" s="103">
        <v>8</v>
      </c>
      <c r="AD13" s="103">
        <v>13</v>
      </c>
      <c r="AE13" s="103">
        <v>13</v>
      </c>
      <c r="AF13" s="103">
        <v>2</v>
      </c>
      <c r="AG13" s="103">
        <v>10</v>
      </c>
      <c r="AH13" s="103">
        <v>2</v>
      </c>
      <c r="AI13" s="103">
        <v>4</v>
      </c>
      <c r="AJ13" s="103">
        <v>9</v>
      </c>
      <c r="AK13" s="103">
        <v>28</v>
      </c>
      <c r="AL13" s="103">
        <v>3</v>
      </c>
      <c r="AM13" s="103">
        <v>13</v>
      </c>
      <c r="AN13" s="103">
        <v>14</v>
      </c>
      <c r="AO13" s="103">
        <v>17</v>
      </c>
      <c r="AP13" s="103">
        <v>12</v>
      </c>
      <c r="AQ13" s="103">
        <v>7</v>
      </c>
      <c r="AR13" s="103">
        <v>12</v>
      </c>
      <c r="AS13" s="103">
        <v>35</v>
      </c>
      <c r="AT13" s="103">
        <v>11</v>
      </c>
      <c r="AU13" s="103">
        <v>9</v>
      </c>
      <c r="AV13" s="103">
        <v>1</v>
      </c>
      <c r="AW13" s="103">
        <v>8</v>
      </c>
      <c r="AX13" s="103">
        <v>1</v>
      </c>
      <c r="AY13" s="103">
        <v>20</v>
      </c>
      <c r="AZ13" s="103">
        <v>1</v>
      </c>
      <c r="BA13" s="103">
        <v>0</v>
      </c>
      <c r="BB13" s="103">
        <v>0</v>
      </c>
      <c r="BC13" s="103">
        <v>0</v>
      </c>
      <c r="BD13" s="103">
        <v>0</v>
      </c>
      <c r="BE13" s="103">
        <v>0</v>
      </c>
      <c r="BF13" s="103">
        <v>0</v>
      </c>
      <c r="BG13" s="103">
        <v>21</v>
      </c>
      <c r="BH13" s="103">
        <v>0</v>
      </c>
      <c r="BI13" s="103">
        <v>5</v>
      </c>
      <c r="BJ13" s="103">
        <v>7</v>
      </c>
      <c r="BK13" s="103">
        <v>0</v>
      </c>
      <c r="BL13" s="103">
        <v>0</v>
      </c>
      <c r="BM13" s="103">
        <v>1</v>
      </c>
      <c r="BN13" s="103">
        <v>0</v>
      </c>
      <c r="BO13" s="103">
        <v>3</v>
      </c>
      <c r="BP13" s="103">
        <v>54</v>
      </c>
      <c r="BQ13" s="103">
        <v>0</v>
      </c>
      <c r="BR13" s="103">
        <v>0</v>
      </c>
      <c r="BS13" s="103">
        <v>0</v>
      </c>
      <c r="BT13" s="103">
        <v>14</v>
      </c>
      <c r="BU13" s="103">
        <v>12</v>
      </c>
      <c r="BV13" s="103">
        <v>4</v>
      </c>
      <c r="BW13" s="103">
        <v>2</v>
      </c>
      <c r="BX13" s="103">
        <v>8</v>
      </c>
      <c r="BY13" s="103">
        <v>0</v>
      </c>
      <c r="BZ13" s="103">
        <v>5</v>
      </c>
      <c r="CA13" s="103">
        <v>18</v>
      </c>
      <c r="CB13" s="103">
        <v>0</v>
      </c>
      <c r="CC13" s="103">
        <v>9</v>
      </c>
      <c r="CD13" s="103">
        <v>10</v>
      </c>
      <c r="CE13" s="103">
        <v>6</v>
      </c>
      <c r="CF13" s="103">
        <v>5</v>
      </c>
      <c r="CG13" s="103">
        <v>1</v>
      </c>
      <c r="CH13" s="103">
        <v>4</v>
      </c>
      <c r="CI13" s="103">
        <v>0</v>
      </c>
      <c r="CJ13" s="103">
        <v>4</v>
      </c>
      <c r="CK13" s="103">
        <v>1</v>
      </c>
    </row>
    <row r="14" spans="1:89" ht="12.75" thickBot="1" x14ac:dyDescent="0.25">
      <c r="A14" s="15"/>
      <c r="B14" s="104" t="s">
        <v>1959</v>
      </c>
      <c r="C14" s="105">
        <f>C12-C13</f>
        <v>3</v>
      </c>
      <c r="D14" s="105">
        <f t="shared" ref="D14:CG14" si="4">D12-D13+C14</f>
        <v>10</v>
      </c>
      <c r="E14" s="105">
        <f t="shared" si="4"/>
        <v>8</v>
      </c>
      <c r="F14" s="105">
        <f t="shared" si="4"/>
        <v>9</v>
      </c>
      <c r="G14" s="105">
        <f t="shared" si="4"/>
        <v>12</v>
      </c>
      <c r="H14" s="105">
        <f t="shared" si="4"/>
        <v>26</v>
      </c>
      <c r="I14" s="105">
        <f t="shared" si="4"/>
        <v>21</v>
      </c>
      <c r="J14" s="105">
        <f t="shared" si="4"/>
        <v>22</v>
      </c>
      <c r="K14" s="105">
        <f t="shared" si="4"/>
        <v>21</v>
      </c>
      <c r="L14" s="105">
        <f t="shared" si="4"/>
        <v>20</v>
      </c>
      <c r="M14" s="105">
        <f t="shared" si="4"/>
        <v>25</v>
      </c>
      <c r="N14" s="105">
        <f t="shared" si="4"/>
        <v>18</v>
      </c>
      <c r="O14" s="105">
        <f t="shared" si="4"/>
        <v>13</v>
      </c>
      <c r="P14" s="105">
        <f t="shared" si="4"/>
        <v>23</v>
      </c>
      <c r="Q14" s="105">
        <f t="shared" si="4"/>
        <v>22</v>
      </c>
      <c r="R14" s="105">
        <f t="shared" si="4"/>
        <v>19</v>
      </c>
      <c r="S14" s="105">
        <f t="shared" si="4"/>
        <v>20</v>
      </c>
      <c r="T14" s="105">
        <f t="shared" si="4"/>
        <v>21</v>
      </c>
      <c r="U14" s="105">
        <f t="shared" si="4"/>
        <v>20</v>
      </c>
      <c r="V14" s="105">
        <f t="shared" si="4"/>
        <v>19</v>
      </c>
      <c r="W14" s="105">
        <f t="shared" si="4"/>
        <v>27</v>
      </c>
      <c r="X14" s="105">
        <f t="shared" si="4"/>
        <v>26</v>
      </c>
      <c r="Y14" s="105">
        <f t="shared" si="4"/>
        <v>29</v>
      </c>
      <c r="Z14" s="105">
        <f t="shared" si="4"/>
        <v>33</v>
      </c>
      <c r="AA14" s="105">
        <f t="shared" si="4"/>
        <v>33</v>
      </c>
      <c r="AB14" s="105">
        <f t="shared" si="4"/>
        <v>32</v>
      </c>
      <c r="AC14" s="105">
        <f t="shared" si="4"/>
        <v>37</v>
      </c>
      <c r="AD14" s="105">
        <f t="shared" si="4"/>
        <v>48</v>
      </c>
      <c r="AE14" s="105">
        <f t="shared" si="4"/>
        <v>43</v>
      </c>
      <c r="AF14" s="105">
        <f t="shared" si="4"/>
        <v>54</v>
      </c>
      <c r="AG14" s="105">
        <f t="shared" si="4"/>
        <v>54</v>
      </c>
      <c r="AH14" s="105">
        <f t="shared" si="4"/>
        <v>55</v>
      </c>
      <c r="AI14" s="105">
        <f t="shared" si="4"/>
        <v>56</v>
      </c>
      <c r="AJ14" s="105">
        <f t="shared" si="4"/>
        <v>51</v>
      </c>
      <c r="AK14" s="105">
        <f t="shared" si="4"/>
        <v>40</v>
      </c>
      <c r="AL14" s="105">
        <f t="shared" si="4"/>
        <v>38</v>
      </c>
      <c r="AM14" s="105">
        <f t="shared" si="4"/>
        <v>37</v>
      </c>
      <c r="AN14" s="105">
        <f t="shared" si="4"/>
        <v>37</v>
      </c>
      <c r="AO14" s="105">
        <f t="shared" si="4"/>
        <v>41</v>
      </c>
      <c r="AP14" s="105">
        <f t="shared" si="4"/>
        <v>41</v>
      </c>
      <c r="AQ14" s="105">
        <f t="shared" si="4"/>
        <v>47</v>
      </c>
      <c r="AR14" s="105">
        <f t="shared" si="4"/>
        <v>54</v>
      </c>
      <c r="AS14" s="105">
        <f t="shared" si="4"/>
        <v>32</v>
      </c>
      <c r="AT14" s="105">
        <f t="shared" si="4"/>
        <v>24</v>
      </c>
      <c r="AU14" s="105">
        <f t="shared" si="4"/>
        <v>23</v>
      </c>
      <c r="AV14" s="105">
        <f t="shared" si="4"/>
        <v>39</v>
      </c>
      <c r="AW14" s="105">
        <f t="shared" si="4"/>
        <v>45</v>
      </c>
      <c r="AX14" s="105">
        <f t="shared" si="4"/>
        <v>55</v>
      </c>
      <c r="AY14" s="105">
        <f t="shared" si="4"/>
        <v>40</v>
      </c>
      <c r="AZ14" s="105">
        <f t="shared" si="4"/>
        <v>39</v>
      </c>
      <c r="BA14" s="105">
        <f t="shared" si="4"/>
        <v>46</v>
      </c>
      <c r="BB14" s="105">
        <f t="shared" si="4"/>
        <v>50</v>
      </c>
      <c r="BC14" s="105">
        <f t="shared" si="4"/>
        <v>56</v>
      </c>
      <c r="BD14" s="105">
        <f t="shared" si="4"/>
        <v>60</v>
      </c>
      <c r="BE14" s="105">
        <f t="shared" si="4"/>
        <v>90</v>
      </c>
      <c r="BF14" s="105">
        <f t="shared" si="4"/>
        <v>93</v>
      </c>
      <c r="BG14" s="105">
        <f t="shared" si="4"/>
        <v>80</v>
      </c>
      <c r="BH14" s="105">
        <f t="shared" si="4"/>
        <v>89</v>
      </c>
      <c r="BI14" s="105">
        <f t="shared" si="4"/>
        <v>84</v>
      </c>
      <c r="BJ14" s="105">
        <f t="shared" si="4"/>
        <v>81</v>
      </c>
      <c r="BK14" s="105">
        <f t="shared" si="4"/>
        <v>82</v>
      </c>
      <c r="BL14" s="105">
        <f t="shared" si="4"/>
        <v>85</v>
      </c>
      <c r="BM14" s="105">
        <f t="shared" si="4"/>
        <v>90</v>
      </c>
      <c r="BN14" s="105">
        <f t="shared" si="4"/>
        <v>96</v>
      </c>
      <c r="BO14" s="105">
        <f t="shared" si="4"/>
        <v>96</v>
      </c>
      <c r="BP14" s="105">
        <f t="shared" si="4"/>
        <v>48</v>
      </c>
      <c r="BQ14" s="105">
        <f t="shared" si="4"/>
        <v>51</v>
      </c>
      <c r="BR14" s="105">
        <f t="shared" si="4"/>
        <v>53</v>
      </c>
      <c r="BS14" s="105">
        <f t="shared" si="4"/>
        <v>69</v>
      </c>
      <c r="BT14" s="105">
        <f t="shared" si="4"/>
        <v>59</v>
      </c>
      <c r="BU14" s="105">
        <f t="shared" si="4"/>
        <v>53</v>
      </c>
      <c r="BV14" s="105">
        <f t="shared" si="4"/>
        <v>50</v>
      </c>
      <c r="BW14" s="105">
        <f t="shared" si="4"/>
        <v>49</v>
      </c>
      <c r="BX14" s="105">
        <f t="shared" si="4"/>
        <v>41</v>
      </c>
      <c r="BY14" s="105">
        <v>61</v>
      </c>
      <c r="BZ14" s="105">
        <f t="shared" si="4"/>
        <v>58</v>
      </c>
      <c r="CA14" s="105">
        <f t="shared" si="4"/>
        <v>49</v>
      </c>
      <c r="CB14" s="105">
        <f>CB12-CB13+CA14</f>
        <v>65</v>
      </c>
      <c r="CC14" s="105">
        <f>CC12-CC13+CB14</f>
        <v>58</v>
      </c>
      <c r="CD14" s="105">
        <f t="shared" si="4"/>
        <v>51</v>
      </c>
      <c r="CE14" s="105">
        <f t="shared" si="4"/>
        <v>46</v>
      </c>
      <c r="CF14" s="105">
        <f t="shared" si="4"/>
        <v>46</v>
      </c>
      <c r="CG14" s="105">
        <f t="shared" si="4"/>
        <v>46</v>
      </c>
      <c r="CH14" s="105">
        <f>CH12-CH13+CG14</f>
        <v>44</v>
      </c>
      <c r="CI14" s="105">
        <f>CI12-CI13+CH14</f>
        <v>44</v>
      </c>
      <c r="CJ14" s="105">
        <f>CJ12-CJ13+CI14</f>
        <v>40</v>
      </c>
      <c r="CK14" s="105">
        <f>CK12-CK13+CJ14</f>
        <v>39</v>
      </c>
    </row>
    <row r="15" spans="1:89" x14ac:dyDescent="0.2">
      <c r="A15" s="7" t="s">
        <v>225</v>
      </c>
      <c r="B15" s="100" t="s">
        <v>3337</v>
      </c>
      <c r="C15" s="101">
        <v>0</v>
      </c>
      <c r="D15" s="101">
        <v>0</v>
      </c>
      <c r="E15" s="101">
        <v>0</v>
      </c>
      <c r="F15" s="101">
        <v>0</v>
      </c>
      <c r="G15" s="101">
        <v>1</v>
      </c>
      <c r="H15" s="101">
        <v>1</v>
      </c>
      <c r="I15" s="101">
        <v>0</v>
      </c>
      <c r="J15" s="101">
        <v>2</v>
      </c>
      <c r="K15" s="101">
        <v>0</v>
      </c>
      <c r="L15" s="101">
        <v>0</v>
      </c>
      <c r="M15" s="101">
        <v>2</v>
      </c>
      <c r="N15" s="101">
        <v>1</v>
      </c>
      <c r="O15" s="101">
        <v>5</v>
      </c>
      <c r="P15" s="101">
        <v>1</v>
      </c>
      <c r="Q15" s="101">
        <v>2</v>
      </c>
      <c r="R15" s="101">
        <v>1</v>
      </c>
      <c r="S15" s="101">
        <v>1</v>
      </c>
      <c r="T15" s="101">
        <v>6</v>
      </c>
      <c r="U15" s="101">
        <v>1</v>
      </c>
      <c r="V15" s="101">
        <v>1</v>
      </c>
      <c r="W15" s="101">
        <v>3</v>
      </c>
      <c r="X15" s="101">
        <v>3</v>
      </c>
      <c r="Y15" s="101">
        <v>4</v>
      </c>
      <c r="Z15" s="101">
        <v>1</v>
      </c>
      <c r="AA15" s="101">
        <v>1</v>
      </c>
      <c r="AB15" s="101">
        <v>0</v>
      </c>
      <c r="AC15" s="101">
        <v>0</v>
      </c>
      <c r="AD15" s="101">
        <v>3</v>
      </c>
      <c r="AE15" s="101">
        <v>0</v>
      </c>
      <c r="AF15" s="101">
        <v>1</v>
      </c>
      <c r="AG15" s="101">
        <v>0</v>
      </c>
      <c r="AH15" s="101">
        <v>0</v>
      </c>
      <c r="AI15" s="101">
        <v>1</v>
      </c>
      <c r="AJ15" s="101">
        <v>0</v>
      </c>
      <c r="AK15" s="101">
        <v>0</v>
      </c>
      <c r="AL15" s="101">
        <v>0</v>
      </c>
      <c r="AM15" s="101">
        <v>0</v>
      </c>
      <c r="AN15" s="101">
        <v>2</v>
      </c>
      <c r="AO15" s="101">
        <v>4</v>
      </c>
      <c r="AP15" s="101">
        <v>1</v>
      </c>
      <c r="AQ15" s="101">
        <v>1</v>
      </c>
      <c r="AR15" s="101">
        <v>0</v>
      </c>
      <c r="AS15" s="101">
        <v>2</v>
      </c>
      <c r="AT15" s="101">
        <v>0</v>
      </c>
      <c r="AU15" s="101">
        <v>0</v>
      </c>
      <c r="AV15" s="101">
        <v>3</v>
      </c>
      <c r="AW15" s="101">
        <v>2</v>
      </c>
      <c r="AX15" s="101">
        <v>0</v>
      </c>
      <c r="AY15" s="101">
        <v>0</v>
      </c>
      <c r="AZ15" s="101">
        <v>1</v>
      </c>
      <c r="BA15" s="101">
        <v>0</v>
      </c>
      <c r="BB15" s="101">
        <v>3</v>
      </c>
      <c r="BC15" s="101">
        <v>0</v>
      </c>
      <c r="BD15" s="101">
        <v>0</v>
      </c>
      <c r="BE15" s="101">
        <v>8</v>
      </c>
      <c r="BF15" s="101">
        <v>0</v>
      </c>
      <c r="BG15" s="101">
        <v>0</v>
      </c>
      <c r="BH15" s="101">
        <v>3</v>
      </c>
      <c r="BI15" s="101">
        <v>0</v>
      </c>
      <c r="BJ15" s="101">
        <v>0</v>
      </c>
      <c r="BK15" s="101">
        <v>0</v>
      </c>
      <c r="BL15" s="101">
        <v>0</v>
      </c>
      <c r="BM15" s="101">
        <v>0</v>
      </c>
      <c r="BN15" s="101">
        <v>0</v>
      </c>
      <c r="BO15" s="101">
        <v>0</v>
      </c>
      <c r="BP15" s="101">
        <v>0</v>
      </c>
      <c r="BQ15" s="101">
        <v>0</v>
      </c>
      <c r="BR15" s="101">
        <v>1</v>
      </c>
      <c r="BS15" s="101">
        <v>0</v>
      </c>
      <c r="BT15" s="101">
        <v>0</v>
      </c>
      <c r="BU15" s="101">
        <v>0</v>
      </c>
      <c r="BV15" s="101">
        <v>0</v>
      </c>
      <c r="BW15" s="101">
        <v>0</v>
      </c>
      <c r="BX15" s="101">
        <v>0</v>
      </c>
      <c r="BY15" s="101">
        <v>0</v>
      </c>
      <c r="BZ15" s="101">
        <v>0</v>
      </c>
      <c r="CA15" s="101">
        <v>0</v>
      </c>
      <c r="CB15" s="101">
        <v>0</v>
      </c>
      <c r="CC15" s="101">
        <v>0</v>
      </c>
      <c r="CD15" s="101">
        <v>0</v>
      </c>
      <c r="CE15" s="101">
        <v>0</v>
      </c>
      <c r="CF15" s="101">
        <v>0</v>
      </c>
      <c r="CG15" s="101">
        <v>0</v>
      </c>
      <c r="CH15" s="101">
        <v>0</v>
      </c>
      <c r="CI15" s="101">
        <v>0</v>
      </c>
      <c r="CJ15" s="101">
        <v>0</v>
      </c>
      <c r="CK15" s="101">
        <v>0</v>
      </c>
    </row>
    <row r="16" spans="1:89" x14ac:dyDescent="0.2">
      <c r="A16" s="14"/>
      <c r="B16" s="102" t="s">
        <v>3253</v>
      </c>
      <c r="C16" s="103">
        <v>0</v>
      </c>
      <c r="D16" s="103">
        <v>0</v>
      </c>
      <c r="E16" s="103">
        <v>0</v>
      </c>
      <c r="F16" s="103">
        <v>0</v>
      </c>
      <c r="G16" s="103">
        <v>1</v>
      </c>
      <c r="H16" s="103">
        <v>0</v>
      </c>
      <c r="I16" s="103">
        <v>0</v>
      </c>
      <c r="J16" s="103">
        <v>0</v>
      </c>
      <c r="K16" s="103">
        <v>3</v>
      </c>
      <c r="L16" s="103">
        <v>0</v>
      </c>
      <c r="M16" s="103">
        <v>0</v>
      </c>
      <c r="N16" s="103"/>
      <c r="O16" s="103">
        <v>2</v>
      </c>
      <c r="P16" s="103">
        <v>2</v>
      </c>
      <c r="Q16" s="103">
        <v>1</v>
      </c>
      <c r="R16" s="103">
        <v>0</v>
      </c>
      <c r="S16" s="103">
        <v>0</v>
      </c>
      <c r="T16" s="103">
        <v>0</v>
      </c>
      <c r="U16" s="103">
        <v>2</v>
      </c>
      <c r="V16" s="103">
        <v>2</v>
      </c>
      <c r="W16" s="103">
        <v>2</v>
      </c>
      <c r="X16" s="103">
        <v>2</v>
      </c>
      <c r="Y16" s="103">
        <v>6</v>
      </c>
      <c r="Z16" s="103">
        <v>1</v>
      </c>
      <c r="AA16" s="103">
        <v>1</v>
      </c>
      <c r="AB16" s="103">
        <v>1</v>
      </c>
      <c r="AC16" s="103">
        <v>0</v>
      </c>
      <c r="AD16" s="103">
        <v>0</v>
      </c>
      <c r="AE16" s="103">
        <v>1</v>
      </c>
      <c r="AF16" s="103">
        <v>1</v>
      </c>
      <c r="AG16" s="103">
        <v>0</v>
      </c>
      <c r="AH16" s="103">
        <v>0</v>
      </c>
      <c r="AI16" s="103">
        <v>0</v>
      </c>
      <c r="AJ16" s="103">
        <v>1</v>
      </c>
      <c r="AK16" s="103">
        <v>1</v>
      </c>
      <c r="AL16" s="103">
        <v>0</v>
      </c>
      <c r="AM16" s="103">
        <v>2</v>
      </c>
      <c r="AN16" s="103">
        <v>2</v>
      </c>
      <c r="AO16" s="103">
        <v>3</v>
      </c>
      <c r="AP16" s="103">
        <v>0</v>
      </c>
      <c r="AQ16" s="103">
        <v>0</v>
      </c>
      <c r="AR16" s="103">
        <v>1</v>
      </c>
      <c r="AS16" s="103">
        <v>1</v>
      </c>
      <c r="AT16" s="103">
        <v>0</v>
      </c>
      <c r="AU16" s="103">
        <v>0</v>
      </c>
      <c r="AV16" s="103">
        <v>0</v>
      </c>
      <c r="AW16" s="103">
        <v>0</v>
      </c>
      <c r="AX16" s="103">
        <v>14</v>
      </c>
      <c r="AY16" s="103">
        <v>0</v>
      </c>
      <c r="AZ16" s="103">
        <v>0</v>
      </c>
      <c r="BA16" s="103">
        <v>0</v>
      </c>
      <c r="BB16" s="103">
        <v>0</v>
      </c>
      <c r="BC16" s="103">
        <v>0</v>
      </c>
      <c r="BD16" s="103">
        <v>0</v>
      </c>
      <c r="BE16" s="103">
        <v>0</v>
      </c>
      <c r="BF16" s="103">
        <v>0</v>
      </c>
      <c r="BG16" s="103">
        <v>2</v>
      </c>
      <c r="BH16" s="103">
        <v>0</v>
      </c>
      <c r="BI16" s="103">
        <v>0</v>
      </c>
      <c r="BJ16" s="103">
        <v>0</v>
      </c>
      <c r="BK16" s="103">
        <v>0</v>
      </c>
      <c r="BL16" s="103">
        <v>0</v>
      </c>
      <c r="BM16" s="103">
        <v>0</v>
      </c>
      <c r="BN16" s="103">
        <v>0</v>
      </c>
      <c r="BO16" s="103">
        <v>0</v>
      </c>
      <c r="BP16" s="103">
        <v>0</v>
      </c>
      <c r="BQ16" s="103">
        <v>0</v>
      </c>
      <c r="BR16" s="103">
        <v>0</v>
      </c>
      <c r="BS16" s="103">
        <v>0</v>
      </c>
      <c r="BT16" s="103">
        <v>0</v>
      </c>
      <c r="BU16" s="103">
        <v>0</v>
      </c>
      <c r="BV16" s="103">
        <v>0</v>
      </c>
      <c r="BW16" s="103">
        <v>0</v>
      </c>
      <c r="BX16" s="103">
        <v>0</v>
      </c>
      <c r="BY16" s="103">
        <v>0</v>
      </c>
      <c r="BZ16" s="103">
        <v>0</v>
      </c>
      <c r="CA16" s="103">
        <v>3</v>
      </c>
      <c r="CB16" s="103">
        <v>0</v>
      </c>
      <c r="CC16" s="103">
        <v>0</v>
      </c>
      <c r="CD16" s="103">
        <v>1</v>
      </c>
      <c r="CE16" s="103">
        <v>0</v>
      </c>
      <c r="CF16" s="103">
        <v>7</v>
      </c>
      <c r="CG16" s="103">
        <v>2</v>
      </c>
      <c r="CH16" s="103">
        <v>0</v>
      </c>
      <c r="CI16" s="103">
        <v>0</v>
      </c>
      <c r="CJ16" s="103">
        <v>1</v>
      </c>
      <c r="CK16" s="103">
        <v>0</v>
      </c>
    </row>
    <row r="17" spans="1:89" ht="12.75" thickBot="1" x14ac:dyDescent="0.25">
      <c r="A17" s="15"/>
      <c r="B17" s="104" t="s">
        <v>1959</v>
      </c>
      <c r="C17" s="105">
        <f>C15-C16</f>
        <v>0</v>
      </c>
      <c r="D17" s="105">
        <f t="shared" ref="D17:BY17" si="5">D15-D16+C17</f>
        <v>0</v>
      </c>
      <c r="E17" s="105">
        <f t="shared" si="5"/>
        <v>0</v>
      </c>
      <c r="F17" s="105">
        <f t="shared" si="5"/>
        <v>0</v>
      </c>
      <c r="G17" s="105">
        <f t="shared" si="5"/>
        <v>0</v>
      </c>
      <c r="H17" s="105">
        <f t="shared" si="5"/>
        <v>1</v>
      </c>
      <c r="I17" s="105">
        <f t="shared" si="5"/>
        <v>1</v>
      </c>
      <c r="J17" s="105">
        <f t="shared" si="5"/>
        <v>3</v>
      </c>
      <c r="K17" s="105">
        <f t="shared" si="5"/>
        <v>0</v>
      </c>
      <c r="L17" s="105">
        <f t="shared" si="5"/>
        <v>0</v>
      </c>
      <c r="M17" s="105">
        <f t="shared" si="5"/>
        <v>2</v>
      </c>
      <c r="N17" s="105">
        <f t="shared" si="5"/>
        <v>3</v>
      </c>
      <c r="O17" s="105">
        <f t="shared" si="5"/>
        <v>6</v>
      </c>
      <c r="P17" s="105">
        <f t="shared" si="5"/>
        <v>5</v>
      </c>
      <c r="Q17" s="105">
        <f t="shared" si="5"/>
        <v>6</v>
      </c>
      <c r="R17" s="105">
        <f t="shared" si="5"/>
        <v>7</v>
      </c>
      <c r="S17" s="105">
        <f t="shared" si="5"/>
        <v>8</v>
      </c>
      <c r="T17" s="105">
        <f t="shared" si="5"/>
        <v>14</v>
      </c>
      <c r="U17" s="105">
        <f t="shared" si="5"/>
        <v>13</v>
      </c>
      <c r="V17" s="105">
        <f t="shared" si="5"/>
        <v>12</v>
      </c>
      <c r="W17" s="105">
        <f t="shared" si="5"/>
        <v>13</v>
      </c>
      <c r="X17" s="105">
        <f t="shared" si="5"/>
        <v>14</v>
      </c>
      <c r="Y17" s="105">
        <f t="shared" si="5"/>
        <v>12</v>
      </c>
      <c r="Z17" s="105">
        <f t="shared" si="5"/>
        <v>12</v>
      </c>
      <c r="AA17" s="105">
        <f t="shared" si="5"/>
        <v>12</v>
      </c>
      <c r="AB17" s="105">
        <f t="shared" si="5"/>
        <v>11</v>
      </c>
      <c r="AC17" s="105">
        <f t="shared" si="5"/>
        <v>11</v>
      </c>
      <c r="AD17" s="105">
        <f t="shared" si="5"/>
        <v>14</v>
      </c>
      <c r="AE17" s="105">
        <f t="shared" si="5"/>
        <v>13</v>
      </c>
      <c r="AF17" s="105">
        <f t="shared" si="5"/>
        <v>13</v>
      </c>
      <c r="AG17" s="105">
        <f t="shared" si="5"/>
        <v>13</v>
      </c>
      <c r="AH17" s="105">
        <f t="shared" si="5"/>
        <v>13</v>
      </c>
      <c r="AI17" s="105">
        <f t="shared" si="5"/>
        <v>14</v>
      </c>
      <c r="AJ17" s="105">
        <f t="shared" si="5"/>
        <v>13</v>
      </c>
      <c r="AK17" s="105">
        <f t="shared" si="5"/>
        <v>12</v>
      </c>
      <c r="AL17" s="105">
        <f t="shared" si="5"/>
        <v>12</v>
      </c>
      <c r="AM17" s="105">
        <f t="shared" si="5"/>
        <v>10</v>
      </c>
      <c r="AN17" s="105">
        <f t="shared" si="5"/>
        <v>10</v>
      </c>
      <c r="AO17" s="105">
        <f t="shared" si="5"/>
        <v>11</v>
      </c>
      <c r="AP17" s="105">
        <f t="shared" si="5"/>
        <v>12</v>
      </c>
      <c r="AQ17" s="105">
        <f t="shared" si="5"/>
        <v>13</v>
      </c>
      <c r="AR17" s="105">
        <f t="shared" si="5"/>
        <v>12</v>
      </c>
      <c r="AS17" s="105">
        <f t="shared" si="5"/>
        <v>13</v>
      </c>
      <c r="AT17" s="105">
        <f t="shared" si="5"/>
        <v>13</v>
      </c>
      <c r="AU17" s="105">
        <f t="shared" si="5"/>
        <v>13</v>
      </c>
      <c r="AV17" s="105">
        <f t="shared" si="5"/>
        <v>16</v>
      </c>
      <c r="AW17" s="105">
        <f t="shared" si="5"/>
        <v>18</v>
      </c>
      <c r="AX17" s="105">
        <f t="shared" si="5"/>
        <v>4</v>
      </c>
      <c r="AY17" s="105">
        <f t="shared" si="5"/>
        <v>4</v>
      </c>
      <c r="AZ17" s="105">
        <f t="shared" si="5"/>
        <v>5</v>
      </c>
      <c r="BA17" s="105">
        <f t="shared" si="5"/>
        <v>5</v>
      </c>
      <c r="BB17" s="105">
        <f t="shared" si="5"/>
        <v>8</v>
      </c>
      <c r="BC17" s="105">
        <f t="shared" si="5"/>
        <v>8</v>
      </c>
      <c r="BD17" s="105">
        <f t="shared" si="5"/>
        <v>8</v>
      </c>
      <c r="BE17" s="105">
        <f t="shared" si="5"/>
        <v>16</v>
      </c>
      <c r="BF17" s="105">
        <f t="shared" si="5"/>
        <v>16</v>
      </c>
      <c r="BG17" s="105">
        <f t="shared" si="5"/>
        <v>14</v>
      </c>
      <c r="BH17" s="105">
        <f t="shared" si="5"/>
        <v>17</v>
      </c>
      <c r="BI17" s="105">
        <f t="shared" si="5"/>
        <v>17</v>
      </c>
      <c r="BJ17" s="105">
        <f t="shared" si="5"/>
        <v>17</v>
      </c>
      <c r="BK17" s="105">
        <f t="shared" si="5"/>
        <v>17</v>
      </c>
      <c r="BL17" s="105">
        <f t="shared" si="5"/>
        <v>17</v>
      </c>
      <c r="BM17" s="105">
        <f t="shared" si="5"/>
        <v>17</v>
      </c>
      <c r="BN17" s="105">
        <f t="shared" si="5"/>
        <v>17</v>
      </c>
      <c r="BO17" s="105">
        <f t="shared" si="5"/>
        <v>17</v>
      </c>
      <c r="BP17" s="105">
        <f t="shared" si="5"/>
        <v>17</v>
      </c>
      <c r="BQ17" s="105">
        <f t="shared" si="5"/>
        <v>17</v>
      </c>
      <c r="BR17" s="105">
        <f t="shared" si="5"/>
        <v>18</v>
      </c>
      <c r="BS17" s="105">
        <f t="shared" si="5"/>
        <v>18</v>
      </c>
      <c r="BT17" s="105">
        <f t="shared" si="5"/>
        <v>18</v>
      </c>
      <c r="BU17" s="105">
        <f t="shared" si="5"/>
        <v>18</v>
      </c>
      <c r="BV17" s="105">
        <f t="shared" si="5"/>
        <v>18</v>
      </c>
      <c r="BW17" s="105">
        <f t="shared" si="5"/>
        <v>18</v>
      </c>
      <c r="BX17" s="105">
        <f t="shared" si="5"/>
        <v>18</v>
      </c>
      <c r="BY17" s="105">
        <f t="shared" si="5"/>
        <v>18</v>
      </c>
      <c r="BZ17" s="105">
        <f t="shared" ref="BZ17:CK17" si="6">BZ15-BZ16+BY17</f>
        <v>18</v>
      </c>
      <c r="CA17" s="105">
        <f t="shared" si="6"/>
        <v>15</v>
      </c>
      <c r="CB17" s="105">
        <f>CB15-CB16+CA17</f>
        <v>15</v>
      </c>
      <c r="CC17" s="105">
        <f>CC15-CC16+CB17</f>
        <v>15</v>
      </c>
      <c r="CD17" s="105">
        <f t="shared" si="6"/>
        <v>14</v>
      </c>
      <c r="CE17" s="105">
        <f t="shared" si="6"/>
        <v>14</v>
      </c>
      <c r="CF17" s="105">
        <f t="shared" si="6"/>
        <v>7</v>
      </c>
      <c r="CG17" s="105">
        <f t="shared" si="6"/>
        <v>5</v>
      </c>
      <c r="CH17" s="105">
        <f t="shared" si="6"/>
        <v>5</v>
      </c>
      <c r="CI17" s="105">
        <f t="shared" si="6"/>
        <v>5</v>
      </c>
      <c r="CJ17" s="105">
        <f t="shared" si="6"/>
        <v>4</v>
      </c>
      <c r="CK17" s="105">
        <f t="shared" si="6"/>
        <v>4</v>
      </c>
    </row>
    <row r="18" spans="1:89" x14ac:dyDescent="0.2">
      <c r="A18" s="7" t="s">
        <v>3602</v>
      </c>
      <c r="B18" s="100" t="s">
        <v>3337</v>
      </c>
      <c r="C18" s="101">
        <v>0</v>
      </c>
      <c r="D18" s="101">
        <v>0</v>
      </c>
      <c r="E18" s="101">
        <v>0</v>
      </c>
      <c r="F18" s="101">
        <v>0</v>
      </c>
      <c r="G18" s="101">
        <v>1</v>
      </c>
      <c r="H18" s="101">
        <v>0</v>
      </c>
      <c r="I18" s="101">
        <v>0</v>
      </c>
      <c r="J18" s="101">
        <v>0</v>
      </c>
      <c r="K18" s="101">
        <v>0</v>
      </c>
      <c r="L18" s="101">
        <v>1</v>
      </c>
      <c r="M18" s="101">
        <v>1</v>
      </c>
      <c r="N18" s="101">
        <v>0</v>
      </c>
      <c r="O18" s="101">
        <v>1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5</v>
      </c>
      <c r="V18" s="101">
        <v>0</v>
      </c>
      <c r="W18" s="101">
        <v>0</v>
      </c>
      <c r="X18" s="101">
        <v>1</v>
      </c>
      <c r="Y18" s="101">
        <v>2</v>
      </c>
      <c r="Z18" s="101">
        <v>0</v>
      </c>
      <c r="AA18" s="101">
        <v>2</v>
      </c>
      <c r="AB18" s="101">
        <v>0</v>
      </c>
      <c r="AC18" s="101">
        <v>0</v>
      </c>
      <c r="AD18" s="101">
        <v>0</v>
      </c>
      <c r="AE18" s="101">
        <v>0</v>
      </c>
      <c r="AF18" s="101">
        <v>0</v>
      </c>
      <c r="AG18" s="101">
        <v>0</v>
      </c>
      <c r="AH18" s="101">
        <v>1</v>
      </c>
      <c r="AI18" s="101">
        <v>2</v>
      </c>
      <c r="AJ18" s="101">
        <v>0</v>
      </c>
      <c r="AK18" s="101">
        <v>0</v>
      </c>
      <c r="AL18" s="101">
        <v>0</v>
      </c>
      <c r="AM18" s="101">
        <v>0</v>
      </c>
      <c r="AN18" s="101">
        <v>0</v>
      </c>
      <c r="AO18" s="101">
        <v>0</v>
      </c>
      <c r="AP18" s="101">
        <v>0</v>
      </c>
      <c r="AQ18" s="101">
        <v>0</v>
      </c>
      <c r="AR18" s="101">
        <v>0</v>
      </c>
      <c r="AS18" s="101">
        <v>0</v>
      </c>
      <c r="AT18" s="101">
        <v>0</v>
      </c>
      <c r="AU18" s="101">
        <v>1</v>
      </c>
      <c r="AV18" s="101">
        <v>0</v>
      </c>
      <c r="AW18" s="101">
        <v>0</v>
      </c>
      <c r="AX18" s="101">
        <v>1</v>
      </c>
      <c r="AY18" s="101">
        <v>0</v>
      </c>
      <c r="AZ18" s="101">
        <v>0</v>
      </c>
      <c r="BA18" s="101">
        <v>0</v>
      </c>
      <c r="BB18" s="101">
        <v>0</v>
      </c>
      <c r="BC18" s="101">
        <v>0</v>
      </c>
      <c r="BD18" s="101">
        <v>1</v>
      </c>
      <c r="BE18" s="101">
        <v>0</v>
      </c>
      <c r="BF18" s="101">
        <v>0</v>
      </c>
      <c r="BG18" s="101">
        <v>0</v>
      </c>
      <c r="BH18" s="101">
        <v>1</v>
      </c>
      <c r="BI18" s="101">
        <v>0</v>
      </c>
      <c r="BJ18" s="101">
        <v>0</v>
      </c>
      <c r="BK18" s="101">
        <v>0</v>
      </c>
      <c r="BL18" s="101">
        <v>0</v>
      </c>
      <c r="BM18" s="101">
        <v>0</v>
      </c>
      <c r="BN18" s="101">
        <v>0</v>
      </c>
      <c r="BO18" s="101">
        <v>0</v>
      </c>
      <c r="BP18" s="101">
        <v>0</v>
      </c>
      <c r="BQ18" s="101">
        <v>0</v>
      </c>
      <c r="BR18" s="101">
        <v>0</v>
      </c>
      <c r="BS18" s="101">
        <v>2</v>
      </c>
      <c r="BT18" s="101">
        <v>0</v>
      </c>
      <c r="BU18" s="101">
        <v>0</v>
      </c>
      <c r="BV18" s="101">
        <v>0</v>
      </c>
      <c r="BW18" s="101">
        <v>0</v>
      </c>
      <c r="BX18" s="101">
        <v>0</v>
      </c>
      <c r="BY18" s="101">
        <v>0</v>
      </c>
      <c r="BZ18" s="101">
        <v>0</v>
      </c>
      <c r="CA18" s="101">
        <v>0</v>
      </c>
      <c r="CB18" s="101">
        <v>0</v>
      </c>
      <c r="CC18" s="101">
        <v>0</v>
      </c>
      <c r="CD18" s="101">
        <v>0</v>
      </c>
      <c r="CE18" s="101">
        <v>0</v>
      </c>
      <c r="CF18" s="101">
        <v>0</v>
      </c>
      <c r="CG18" s="101">
        <v>0</v>
      </c>
      <c r="CH18" s="101">
        <v>0</v>
      </c>
      <c r="CI18" s="101">
        <v>0</v>
      </c>
      <c r="CJ18" s="101">
        <v>0</v>
      </c>
      <c r="CK18" s="101">
        <v>0</v>
      </c>
    </row>
    <row r="19" spans="1:89" x14ac:dyDescent="0.2">
      <c r="A19" s="14"/>
      <c r="B19" s="102" t="s">
        <v>3253</v>
      </c>
      <c r="C19" s="103">
        <v>0</v>
      </c>
      <c r="D19" s="103">
        <v>0</v>
      </c>
      <c r="E19" s="103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2</v>
      </c>
      <c r="O19" s="103">
        <v>0</v>
      </c>
      <c r="P19" s="103">
        <v>2</v>
      </c>
      <c r="Q19" s="103">
        <v>0</v>
      </c>
      <c r="R19" s="103">
        <v>0</v>
      </c>
      <c r="S19" s="103">
        <v>0</v>
      </c>
      <c r="T19" s="103">
        <v>0</v>
      </c>
      <c r="U19" s="103">
        <v>1</v>
      </c>
      <c r="V19" s="103">
        <v>2</v>
      </c>
      <c r="W19" s="103">
        <v>0</v>
      </c>
      <c r="X19" s="103">
        <v>0</v>
      </c>
      <c r="Y19" s="103">
        <v>1</v>
      </c>
      <c r="Z19" s="103">
        <v>0</v>
      </c>
      <c r="AA19" s="103">
        <v>0</v>
      </c>
      <c r="AB19" s="103">
        <v>3</v>
      </c>
      <c r="AC19" s="103">
        <v>0</v>
      </c>
      <c r="AD19" s="103">
        <v>1</v>
      </c>
      <c r="AE19" s="103">
        <v>0</v>
      </c>
      <c r="AF19" s="103">
        <v>0</v>
      </c>
      <c r="AG19" s="103">
        <v>0</v>
      </c>
      <c r="AH19" s="103">
        <v>0</v>
      </c>
      <c r="AI19" s="103">
        <v>0</v>
      </c>
      <c r="AJ19" s="103">
        <v>1</v>
      </c>
      <c r="AK19" s="103">
        <v>0</v>
      </c>
      <c r="AL19" s="103">
        <v>1</v>
      </c>
      <c r="AM19" s="103">
        <v>0</v>
      </c>
      <c r="AN19" s="103">
        <v>1</v>
      </c>
      <c r="AO19" s="103">
        <v>2</v>
      </c>
      <c r="AP19" s="103">
        <v>0</v>
      </c>
      <c r="AQ19" s="103">
        <v>0</v>
      </c>
      <c r="AR19" s="103">
        <v>0</v>
      </c>
      <c r="AS19" s="103">
        <v>0</v>
      </c>
      <c r="AT19" s="103">
        <v>0</v>
      </c>
      <c r="AU19" s="103">
        <v>0</v>
      </c>
      <c r="AV19" s="103">
        <v>0</v>
      </c>
      <c r="AW19" s="103">
        <v>0</v>
      </c>
      <c r="AX19" s="103">
        <v>0</v>
      </c>
      <c r="AY19" s="103">
        <v>0</v>
      </c>
      <c r="AZ19" s="103">
        <v>0</v>
      </c>
      <c r="BA19" s="103">
        <v>1</v>
      </c>
      <c r="BB19" s="103">
        <v>0</v>
      </c>
      <c r="BC19" s="103">
        <v>0</v>
      </c>
      <c r="BD19" s="103">
        <v>0</v>
      </c>
      <c r="BE19" s="103">
        <v>0</v>
      </c>
      <c r="BF19" s="103">
        <v>0</v>
      </c>
      <c r="BG19" s="103">
        <v>1</v>
      </c>
      <c r="BH19" s="103">
        <v>0</v>
      </c>
      <c r="BI19" s="103">
        <v>0</v>
      </c>
      <c r="BJ19" s="103">
        <v>1</v>
      </c>
      <c r="BK19" s="103">
        <v>0</v>
      </c>
      <c r="BL19" s="103">
        <v>0</v>
      </c>
      <c r="BM19" s="103">
        <v>0</v>
      </c>
      <c r="BN19" s="103">
        <v>0</v>
      </c>
      <c r="BO19" s="103">
        <v>0</v>
      </c>
      <c r="BP19" s="103">
        <v>0</v>
      </c>
      <c r="BQ19" s="103">
        <v>0</v>
      </c>
      <c r="BR19" s="103">
        <v>0</v>
      </c>
      <c r="BS19" s="103">
        <v>0</v>
      </c>
      <c r="BT19" s="103">
        <v>0</v>
      </c>
      <c r="BU19" s="103">
        <v>1</v>
      </c>
      <c r="BV19" s="103">
        <v>0</v>
      </c>
      <c r="BW19" s="103">
        <v>0</v>
      </c>
      <c r="BX19" s="103">
        <v>0</v>
      </c>
      <c r="BY19" s="103">
        <v>0</v>
      </c>
      <c r="BZ19" s="103">
        <v>0</v>
      </c>
      <c r="CA19" s="103">
        <v>1</v>
      </c>
      <c r="CB19" s="103">
        <v>0</v>
      </c>
      <c r="CC19" s="103">
        <v>1</v>
      </c>
      <c r="CD19" s="103">
        <v>0</v>
      </c>
      <c r="CE19" s="103">
        <v>0</v>
      </c>
      <c r="CF19" s="103">
        <v>0</v>
      </c>
      <c r="CG19" s="103">
        <v>0</v>
      </c>
      <c r="CH19" s="103">
        <v>0</v>
      </c>
      <c r="CI19" s="103">
        <v>0</v>
      </c>
      <c r="CJ19" s="103">
        <v>0</v>
      </c>
      <c r="CK19" s="103">
        <v>0</v>
      </c>
    </row>
    <row r="20" spans="1:89" ht="12.75" thickBot="1" x14ac:dyDescent="0.25">
      <c r="A20" s="15"/>
      <c r="B20" s="104" t="s">
        <v>1959</v>
      </c>
      <c r="C20" s="105">
        <f>C18-C19</f>
        <v>0</v>
      </c>
      <c r="D20" s="105">
        <f t="shared" ref="D20:CK20" si="7">D18-D19+C20</f>
        <v>0</v>
      </c>
      <c r="E20" s="105">
        <f t="shared" si="7"/>
        <v>0</v>
      </c>
      <c r="F20" s="105">
        <f t="shared" si="7"/>
        <v>0</v>
      </c>
      <c r="G20" s="105">
        <f t="shared" si="7"/>
        <v>1</v>
      </c>
      <c r="H20" s="105">
        <f t="shared" si="7"/>
        <v>1</v>
      </c>
      <c r="I20" s="105">
        <f t="shared" si="7"/>
        <v>1</v>
      </c>
      <c r="J20" s="105">
        <f t="shared" si="7"/>
        <v>1</v>
      </c>
      <c r="K20" s="105">
        <f t="shared" si="7"/>
        <v>1</v>
      </c>
      <c r="L20" s="105">
        <f t="shared" si="7"/>
        <v>2</v>
      </c>
      <c r="M20" s="105">
        <f t="shared" si="7"/>
        <v>3</v>
      </c>
      <c r="N20" s="105">
        <f t="shared" si="7"/>
        <v>1</v>
      </c>
      <c r="O20" s="105">
        <f t="shared" si="7"/>
        <v>2</v>
      </c>
      <c r="P20" s="105">
        <f t="shared" si="7"/>
        <v>0</v>
      </c>
      <c r="Q20" s="105">
        <f t="shared" si="7"/>
        <v>0</v>
      </c>
      <c r="R20" s="105">
        <f t="shared" si="7"/>
        <v>0</v>
      </c>
      <c r="S20" s="105">
        <f t="shared" si="7"/>
        <v>0</v>
      </c>
      <c r="T20" s="105">
        <f t="shared" si="7"/>
        <v>0</v>
      </c>
      <c r="U20" s="105">
        <f t="shared" si="7"/>
        <v>4</v>
      </c>
      <c r="V20" s="105">
        <f t="shared" si="7"/>
        <v>2</v>
      </c>
      <c r="W20" s="105">
        <f t="shared" si="7"/>
        <v>2</v>
      </c>
      <c r="X20" s="105">
        <f t="shared" si="7"/>
        <v>3</v>
      </c>
      <c r="Y20" s="105">
        <f t="shared" si="7"/>
        <v>4</v>
      </c>
      <c r="Z20" s="105">
        <f t="shared" si="7"/>
        <v>4</v>
      </c>
      <c r="AA20" s="105">
        <f t="shared" si="7"/>
        <v>6</v>
      </c>
      <c r="AB20" s="105">
        <f t="shared" si="7"/>
        <v>3</v>
      </c>
      <c r="AC20" s="105">
        <f t="shared" si="7"/>
        <v>3</v>
      </c>
      <c r="AD20" s="105">
        <f t="shared" si="7"/>
        <v>2</v>
      </c>
      <c r="AE20" s="105">
        <f t="shared" si="7"/>
        <v>2</v>
      </c>
      <c r="AF20" s="105">
        <f t="shared" si="7"/>
        <v>2</v>
      </c>
      <c r="AG20" s="105">
        <f t="shared" si="7"/>
        <v>2</v>
      </c>
      <c r="AH20" s="105">
        <f t="shared" si="7"/>
        <v>3</v>
      </c>
      <c r="AI20" s="105">
        <f t="shared" si="7"/>
        <v>5</v>
      </c>
      <c r="AJ20" s="105">
        <f t="shared" si="7"/>
        <v>4</v>
      </c>
      <c r="AK20" s="105">
        <f t="shared" si="7"/>
        <v>4</v>
      </c>
      <c r="AL20" s="105">
        <f t="shared" si="7"/>
        <v>3</v>
      </c>
      <c r="AM20" s="105">
        <f t="shared" si="7"/>
        <v>3</v>
      </c>
      <c r="AN20" s="105">
        <f t="shared" si="7"/>
        <v>2</v>
      </c>
      <c r="AO20" s="105">
        <f t="shared" si="7"/>
        <v>0</v>
      </c>
      <c r="AP20" s="105">
        <f t="shared" si="7"/>
        <v>0</v>
      </c>
      <c r="AQ20" s="105">
        <f t="shared" si="7"/>
        <v>0</v>
      </c>
      <c r="AR20" s="105">
        <f t="shared" si="7"/>
        <v>0</v>
      </c>
      <c r="AS20" s="105">
        <f t="shared" si="7"/>
        <v>0</v>
      </c>
      <c r="AT20" s="105">
        <f t="shared" si="7"/>
        <v>0</v>
      </c>
      <c r="AU20" s="105">
        <f t="shared" si="7"/>
        <v>1</v>
      </c>
      <c r="AV20" s="105">
        <f t="shared" si="7"/>
        <v>1</v>
      </c>
      <c r="AW20" s="105">
        <f t="shared" si="7"/>
        <v>1</v>
      </c>
      <c r="AX20" s="105">
        <f t="shared" si="7"/>
        <v>2</v>
      </c>
      <c r="AY20" s="105">
        <f t="shared" si="7"/>
        <v>2</v>
      </c>
      <c r="AZ20" s="105">
        <f t="shared" si="7"/>
        <v>2</v>
      </c>
      <c r="BA20" s="105">
        <f t="shared" si="7"/>
        <v>1</v>
      </c>
      <c r="BB20" s="105">
        <f t="shared" si="7"/>
        <v>1</v>
      </c>
      <c r="BC20" s="105">
        <f t="shared" si="7"/>
        <v>1</v>
      </c>
      <c r="BD20" s="105">
        <f t="shared" si="7"/>
        <v>2</v>
      </c>
      <c r="BE20" s="105">
        <f t="shared" si="7"/>
        <v>2</v>
      </c>
      <c r="BF20" s="105">
        <f t="shared" si="7"/>
        <v>2</v>
      </c>
      <c r="BG20" s="105">
        <f t="shared" si="7"/>
        <v>1</v>
      </c>
      <c r="BH20" s="105">
        <f t="shared" si="7"/>
        <v>2</v>
      </c>
      <c r="BI20" s="105">
        <f t="shared" si="7"/>
        <v>2</v>
      </c>
      <c r="BJ20" s="105">
        <f t="shared" si="7"/>
        <v>1</v>
      </c>
      <c r="BK20" s="105">
        <f t="shared" si="7"/>
        <v>1</v>
      </c>
      <c r="BL20" s="105">
        <f t="shared" si="7"/>
        <v>1</v>
      </c>
      <c r="BM20" s="105">
        <f t="shared" si="7"/>
        <v>1</v>
      </c>
      <c r="BN20" s="105">
        <f t="shared" si="7"/>
        <v>1</v>
      </c>
      <c r="BO20" s="105">
        <f t="shared" si="7"/>
        <v>1</v>
      </c>
      <c r="BP20" s="105">
        <f t="shared" si="7"/>
        <v>1</v>
      </c>
      <c r="BQ20" s="105">
        <f t="shared" si="7"/>
        <v>1</v>
      </c>
      <c r="BR20" s="105">
        <f t="shared" si="7"/>
        <v>1</v>
      </c>
      <c r="BS20" s="105">
        <f t="shared" si="7"/>
        <v>3</v>
      </c>
      <c r="BT20" s="105">
        <f t="shared" si="7"/>
        <v>3</v>
      </c>
      <c r="BU20" s="105">
        <f t="shared" si="7"/>
        <v>2</v>
      </c>
      <c r="BV20" s="105">
        <f t="shared" si="7"/>
        <v>2</v>
      </c>
      <c r="BW20" s="105">
        <f t="shared" si="7"/>
        <v>2</v>
      </c>
      <c r="BX20" s="105">
        <f t="shared" si="7"/>
        <v>2</v>
      </c>
      <c r="BY20" s="105">
        <f t="shared" si="7"/>
        <v>2</v>
      </c>
      <c r="BZ20" s="105">
        <f t="shared" si="7"/>
        <v>2</v>
      </c>
      <c r="CA20" s="105">
        <f t="shared" si="7"/>
        <v>1</v>
      </c>
      <c r="CB20" s="105">
        <f>CB18-CB19+CA20</f>
        <v>1</v>
      </c>
      <c r="CC20" s="105">
        <f>CC18-CC19+CB20</f>
        <v>0</v>
      </c>
      <c r="CD20" s="105">
        <f t="shared" si="7"/>
        <v>0</v>
      </c>
      <c r="CE20" s="105">
        <f t="shared" si="7"/>
        <v>0</v>
      </c>
      <c r="CF20" s="105">
        <f t="shared" si="7"/>
        <v>0</v>
      </c>
      <c r="CG20" s="105">
        <f t="shared" si="7"/>
        <v>0</v>
      </c>
      <c r="CH20" s="105">
        <f t="shared" si="7"/>
        <v>0</v>
      </c>
      <c r="CI20" s="105">
        <f t="shared" si="7"/>
        <v>0</v>
      </c>
      <c r="CJ20" s="105">
        <f t="shared" si="7"/>
        <v>0</v>
      </c>
      <c r="CK20" s="105">
        <f t="shared" si="7"/>
        <v>0</v>
      </c>
    </row>
    <row r="21" spans="1:89" x14ac:dyDescent="0.2">
      <c r="A21" s="7" t="s">
        <v>2877</v>
      </c>
      <c r="B21" s="100" t="s">
        <v>3337</v>
      </c>
      <c r="C21" s="101">
        <v>0</v>
      </c>
      <c r="D21" s="101">
        <v>0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</v>
      </c>
      <c r="V21" s="101">
        <v>0</v>
      </c>
      <c r="W21" s="101">
        <v>0</v>
      </c>
      <c r="X21" s="101">
        <v>0</v>
      </c>
      <c r="Y21" s="101">
        <v>1</v>
      </c>
      <c r="Z21" s="101">
        <v>0</v>
      </c>
      <c r="AA21" s="101">
        <v>0</v>
      </c>
      <c r="AB21" s="101">
        <v>0</v>
      </c>
      <c r="AC21" s="101">
        <v>0</v>
      </c>
      <c r="AD21" s="101">
        <v>0</v>
      </c>
      <c r="AE21" s="101">
        <v>0</v>
      </c>
      <c r="AF21" s="101">
        <v>2</v>
      </c>
      <c r="AG21" s="101">
        <v>1</v>
      </c>
      <c r="AH21" s="101">
        <v>0</v>
      </c>
      <c r="AI21" s="101">
        <v>2</v>
      </c>
      <c r="AJ21" s="101">
        <v>0</v>
      </c>
      <c r="AK21" s="101">
        <v>2</v>
      </c>
      <c r="AL21" s="101">
        <v>0</v>
      </c>
      <c r="AM21" s="101">
        <v>3</v>
      </c>
      <c r="AN21" s="101">
        <v>1</v>
      </c>
      <c r="AO21" s="101">
        <v>7</v>
      </c>
      <c r="AP21" s="101">
        <v>0</v>
      </c>
      <c r="AQ21" s="101">
        <v>1</v>
      </c>
      <c r="AR21" s="101">
        <v>3</v>
      </c>
      <c r="AS21" s="101">
        <v>2</v>
      </c>
      <c r="AT21" s="101">
        <v>4</v>
      </c>
      <c r="AU21" s="101">
        <v>2</v>
      </c>
      <c r="AV21" s="101">
        <v>0</v>
      </c>
      <c r="AW21" s="101">
        <v>3</v>
      </c>
      <c r="AX21" s="101">
        <v>0</v>
      </c>
      <c r="AY21" s="101">
        <v>0</v>
      </c>
      <c r="AZ21" s="101">
        <v>0</v>
      </c>
      <c r="BA21" s="101">
        <v>1</v>
      </c>
      <c r="BB21" s="101">
        <v>0</v>
      </c>
      <c r="BC21" s="101">
        <v>0</v>
      </c>
      <c r="BD21" s="101">
        <v>0</v>
      </c>
      <c r="BE21" s="101">
        <v>0</v>
      </c>
      <c r="BF21" s="101">
        <v>0</v>
      </c>
      <c r="BG21" s="101">
        <v>0</v>
      </c>
      <c r="BH21" s="101">
        <v>0</v>
      </c>
      <c r="BI21" s="101">
        <v>0</v>
      </c>
      <c r="BJ21" s="101">
        <v>0</v>
      </c>
      <c r="BK21" s="101">
        <v>0</v>
      </c>
      <c r="BL21" s="101">
        <v>0</v>
      </c>
      <c r="BM21" s="101">
        <v>2</v>
      </c>
      <c r="BN21" s="101">
        <v>0</v>
      </c>
      <c r="BO21" s="101">
        <v>0</v>
      </c>
      <c r="BP21" s="101">
        <v>0</v>
      </c>
      <c r="BQ21" s="101">
        <v>0</v>
      </c>
      <c r="BR21" s="101">
        <v>0</v>
      </c>
      <c r="BS21" s="101">
        <v>0</v>
      </c>
      <c r="BT21" s="101">
        <v>0</v>
      </c>
      <c r="BU21" s="101">
        <v>0</v>
      </c>
      <c r="BV21" s="101">
        <v>0</v>
      </c>
      <c r="BW21" s="101">
        <v>0</v>
      </c>
      <c r="BX21" s="101">
        <v>0</v>
      </c>
      <c r="BY21" s="101">
        <v>0</v>
      </c>
      <c r="BZ21" s="101">
        <v>0</v>
      </c>
      <c r="CA21" s="101">
        <v>0</v>
      </c>
      <c r="CB21" s="101"/>
      <c r="CC21" s="101">
        <v>0</v>
      </c>
      <c r="CD21" s="101">
        <v>0</v>
      </c>
      <c r="CE21" s="101">
        <v>0</v>
      </c>
      <c r="CF21" s="101">
        <v>0</v>
      </c>
      <c r="CG21" s="101">
        <v>0</v>
      </c>
      <c r="CH21" s="101">
        <v>0</v>
      </c>
      <c r="CI21" s="101">
        <v>0</v>
      </c>
      <c r="CJ21" s="101">
        <v>0</v>
      </c>
      <c r="CK21" s="101">
        <v>0</v>
      </c>
    </row>
    <row r="22" spans="1:89" x14ac:dyDescent="0.2">
      <c r="A22" s="14"/>
      <c r="B22" s="102" t="s">
        <v>3253</v>
      </c>
      <c r="C22" s="103">
        <v>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3">
        <v>0</v>
      </c>
      <c r="N22" s="103">
        <v>0</v>
      </c>
      <c r="O22" s="103">
        <v>0</v>
      </c>
      <c r="P22" s="103">
        <v>0</v>
      </c>
      <c r="Q22" s="103">
        <v>0</v>
      </c>
      <c r="R22" s="103">
        <v>0</v>
      </c>
      <c r="S22" s="103">
        <v>0</v>
      </c>
      <c r="T22" s="103">
        <v>0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>
        <v>0</v>
      </c>
      <c r="AD22" s="103">
        <v>0</v>
      </c>
      <c r="AE22" s="103">
        <v>0</v>
      </c>
      <c r="AF22" s="103">
        <v>0</v>
      </c>
      <c r="AG22" s="103">
        <v>0</v>
      </c>
      <c r="AH22" s="103">
        <v>0</v>
      </c>
      <c r="AI22" s="103">
        <v>0</v>
      </c>
      <c r="AJ22" s="103">
        <v>0</v>
      </c>
      <c r="AK22" s="103">
        <v>2</v>
      </c>
      <c r="AL22" s="103">
        <v>0</v>
      </c>
      <c r="AM22" s="103">
        <v>1</v>
      </c>
      <c r="AN22" s="103">
        <v>1</v>
      </c>
      <c r="AO22" s="103">
        <v>5</v>
      </c>
      <c r="AP22" s="103">
        <v>3</v>
      </c>
      <c r="AQ22" s="103">
        <v>2</v>
      </c>
      <c r="AR22" s="103">
        <v>1</v>
      </c>
      <c r="AS22" s="103">
        <v>4</v>
      </c>
      <c r="AT22" s="103">
        <v>6</v>
      </c>
      <c r="AU22" s="103">
        <v>0</v>
      </c>
      <c r="AV22" s="103">
        <v>0</v>
      </c>
      <c r="AW22" s="103">
        <v>2</v>
      </c>
      <c r="AX22" s="103">
        <v>2</v>
      </c>
      <c r="AY22" s="103">
        <v>0</v>
      </c>
      <c r="AZ22" s="103">
        <v>0</v>
      </c>
      <c r="BA22" s="103">
        <v>0</v>
      </c>
      <c r="BB22" s="103">
        <v>0</v>
      </c>
      <c r="BC22" s="103">
        <v>0</v>
      </c>
      <c r="BD22" s="103">
        <v>0</v>
      </c>
      <c r="BE22" s="103">
        <v>0</v>
      </c>
      <c r="BF22" s="103">
        <v>0</v>
      </c>
      <c r="BG22" s="103">
        <v>1</v>
      </c>
      <c r="BH22" s="103">
        <v>0</v>
      </c>
      <c r="BI22" s="103">
        <v>0</v>
      </c>
      <c r="BJ22" s="103">
        <v>0</v>
      </c>
      <c r="BK22" s="103">
        <v>0</v>
      </c>
      <c r="BL22" s="103">
        <v>0</v>
      </c>
      <c r="BM22" s="103">
        <v>0</v>
      </c>
      <c r="BN22" s="103">
        <v>0</v>
      </c>
      <c r="BO22" s="103">
        <v>0</v>
      </c>
      <c r="BP22" s="103">
        <v>0</v>
      </c>
      <c r="BQ22" s="103">
        <v>0</v>
      </c>
      <c r="BR22" s="103">
        <v>0</v>
      </c>
      <c r="BS22" s="103">
        <v>0</v>
      </c>
      <c r="BT22" s="103">
        <v>0</v>
      </c>
      <c r="BU22" s="103">
        <v>0</v>
      </c>
      <c r="BV22" s="103">
        <v>0</v>
      </c>
      <c r="BW22" s="103">
        <v>0</v>
      </c>
      <c r="BX22" s="103">
        <v>0</v>
      </c>
      <c r="BY22" s="103">
        <v>0</v>
      </c>
      <c r="BZ22" s="103">
        <v>0</v>
      </c>
      <c r="CA22" s="103">
        <v>0</v>
      </c>
      <c r="CB22" s="103">
        <v>1</v>
      </c>
      <c r="CC22" s="103">
        <v>0</v>
      </c>
      <c r="CD22" s="103">
        <v>0</v>
      </c>
      <c r="CE22" s="103">
        <v>4</v>
      </c>
      <c r="CF22" s="103">
        <v>3</v>
      </c>
      <c r="CG22" s="103">
        <v>0</v>
      </c>
      <c r="CH22" s="103">
        <v>0</v>
      </c>
      <c r="CI22" s="103">
        <v>0</v>
      </c>
      <c r="CJ22" s="103">
        <v>0</v>
      </c>
      <c r="CK22" s="103">
        <v>0</v>
      </c>
    </row>
    <row r="23" spans="1:89" ht="12.75" thickBot="1" x14ac:dyDescent="0.25">
      <c r="A23" s="15"/>
      <c r="B23" s="104" t="s">
        <v>1959</v>
      </c>
      <c r="C23" s="105">
        <f>C21-C22</f>
        <v>0</v>
      </c>
      <c r="D23" s="105">
        <f t="shared" ref="D23:BX23" si="8">D21-D22+C23</f>
        <v>0</v>
      </c>
      <c r="E23" s="105">
        <f t="shared" si="8"/>
        <v>0</v>
      </c>
      <c r="F23" s="105">
        <f t="shared" si="8"/>
        <v>0</v>
      </c>
      <c r="G23" s="105">
        <f t="shared" si="8"/>
        <v>0</v>
      </c>
      <c r="H23" s="105">
        <f t="shared" si="8"/>
        <v>0</v>
      </c>
      <c r="I23" s="105">
        <f t="shared" si="8"/>
        <v>0</v>
      </c>
      <c r="J23" s="105">
        <f t="shared" si="8"/>
        <v>0</v>
      </c>
      <c r="K23" s="105">
        <f t="shared" si="8"/>
        <v>0</v>
      </c>
      <c r="L23" s="105">
        <f t="shared" si="8"/>
        <v>0</v>
      </c>
      <c r="M23" s="105">
        <f t="shared" si="8"/>
        <v>0</v>
      </c>
      <c r="N23" s="105">
        <f t="shared" si="8"/>
        <v>0</v>
      </c>
      <c r="O23" s="105">
        <f t="shared" si="8"/>
        <v>0</v>
      </c>
      <c r="P23" s="105">
        <f t="shared" si="8"/>
        <v>0</v>
      </c>
      <c r="Q23" s="105">
        <f t="shared" si="8"/>
        <v>0</v>
      </c>
      <c r="R23" s="105">
        <f t="shared" si="8"/>
        <v>0</v>
      </c>
      <c r="S23" s="105">
        <f t="shared" si="8"/>
        <v>0</v>
      </c>
      <c r="T23" s="105">
        <f t="shared" si="8"/>
        <v>0</v>
      </c>
      <c r="U23" s="105">
        <f t="shared" si="8"/>
        <v>0</v>
      </c>
      <c r="V23" s="105">
        <f t="shared" si="8"/>
        <v>0</v>
      </c>
      <c r="W23" s="105">
        <f t="shared" si="8"/>
        <v>0</v>
      </c>
      <c r="X23" s="105">
        <f t="shared" si="8"/>
        <v>0</v>
      </c>
      <c r="Y23" s="105">
        <f t="shared" si="8"/>
        <v>1</v>
      </c>
      <c r="Z23" s="105">
        <f t="shared" si="8"/>
        <v>1</v>
      </c>
      <c r="AA23" s="105">
        <f t="shared" si="8"/>
        <v>1</v>
      </c>
      <c r="AB23" s="105">
        <f t="shared" si="8"/>
        <v>1</v>
      </c>
      <c r="AC23" s="105">
        <f t="shared" si="8"/>
        <v>1</v>
      </c>
      <c r="AD23" s="105">
        <f t="shared" si="8"/>
        <v>1</v>
      </c>
      <c r="AE23" s="105">
        <f t="shared" si="8"/>
        <v>1</v>
      </c>
      <c r="AF23" s="105">
        <f t="shared" si="8"/>
        <v>3</v>
      </c>
      <c r="AG23" s="105">
        <f t="shared" si="8"/>
        <v>4</v>
      </c>
      <c r="AH23" s="105">
        <f t="shared" si="8"/>
        <v>4</v>
      </c>
      <c r="AI23" s="105">
        <f t="shared" si="8"/>
        <v>6</v>
      </c>
      <c r="AJ23" s="105">
        <f t="shared" si="8"/>
        <v>6</v>
      </c>
      <c r="AK23" s="105">
        <f t="shared" si="8"/>
        <v>6</v>
      </c>
      <c r="AL23" s="105">
        <f t="shared" si="8"/>
        <v>6</v>
      </c>
      <c r="AM23" s="105">
        <f t="shared" si="8"/>
        <v>8</v>
      </c>
      <c r="AN23" s="105">
        <f t="shared" si="8"/>
        <v>8</v>
      </c>
      <c r="AO23" s="105">
        <f t="shared" si="8"/>
        <v>10</v>
      </c>
      <c r="AP23" s="105">
        <f t="shared" si="8"/>
        <v>7</v>
      </c>
      <c r="AQ23" s="105">
        <f t="shared" si="8"/>
        <v>6</v>
      </c>
      <c r="AR23" s="105">
        <f t="shared" si="8"/>
        <v>8</v>
      </c>
      <c r="AS23" s="105">
        <f t="shared" si="8"/>
        <v>6</v>
      </c>
      <c r="AT23" s="105">
        <f t="shared" si="8"/>
        <v>4</v>
      </c>
      <c r="AU23" s="105">
        <f t="shared" si="8"/>
        <v>6</v>
      </c>
      <c r="AV23" s="105">
        <f t="shared" si="8"/>
        <v>6</v>
      </c>
      <c r="AW23" s="105">
        <f t="shared" si="8"/>
        <v>7</v>
      </c>
      <c r="AX23" s="105">
        <f t="shared" si="8"/>
        <v>5</v>
      </c>
      <c r="AY23" s="105">
        <f t="shared" si="8"/>
        <v>5</v>
      </c>
      <c r="AZ23" s="105">
        <f t="shared" si="8"/>
        <v>5</v>
      </c>
      <c r="BA23" s="105">
        <f t="shared" si="8"/>
        <v>6</v>
      </c>
      <c r="BB23" s="105">
        <f t="shared" si="8"/>
        <v>6</v>
      </c>
      <c r="BC23" s="105">
        <f t="shared" si="8"/>
        <v>6</v>
      </c>
      <c r="BD23" s="105">
        <f t="shared" si="8"/>
        <v>6</v>
      </c>
      <c r="BE23" s="105">
        <f t="shared" si="8"/>
        <v>6</v>
      </c>
      <c r="BF23" s="105">
        <f t="shared" si="8"/>
        <v>6</v>
      </c>
      <c r="BG23" s="105">
        <f t="shared" si="8"/>
        <v>5</v>
      </c>
      <c r="BH23" s="105">
        <f t="shared" si="8"/>
        <v>5</v>
      </c>
      <c r="BI23" s="105">
        <f t="shared" si="8"/>
        <v>5</v>
      </c>
      <c r="BJ23" s="105">
        <f t="shared" si="8"/>
        <v>5</v>
      </c>
      <c r="BK23" s="105">
        <f t="shared" si="8"/>
        <v>5</v>
      </c>
      <c r="BL23" s="105">
        <f t="shared" si="8"/>
        <v>5</v>
      </c>
      <c r="BM23" s="105">
        <f t="shared" si="8"/>
        <v>7</v>
      </c>
      <c r="BN23" s="105">
        <f t="shared" si="8"/>
        <v>7</v>
      </c>
      <c r="BO23" s="105">
        <f t="shared" si="8"/>
        <v>7</v>
      </c>
      <c r="BP23" s="105">
        <f t="shared" si="8"/>
        <v>7</v>
      </c>
      <c r="BQ23" s="105">
        <f t="shared" si="8"/>
        <v>7</v>
      </c>
      <c r="BR23" s="105">
        <f t="shared" si="8"/>
        <v>7</v>
      </c>
      <c r="BS23" s="105">
        <f t="shared" si="8"/>
        <v>7</v>
      </c>
      <c r="BT23" s="105">
        <f t="shared" si="8"/>
        <v>7</v>
      </c>
      <c r="BU23" s="105">
        <f t="shared" si="8"/>
        <v>7</v>
      </c>
      <c r="BV23" s="105">
        <f t="shared" si="8"/>
        <v>7</v>
      </c>
      <c r="BW23" s="105">
        <f t="shared" si="8"/>
        <v>7</v>
      </c>
      <c r="BX23" s="105">
        <f t="shared" si="8"/>
        <v>7</v>
      </c>
      <c r="BY23" s="105">
        <v>8</v>
      </c>
      <c r="BZ23" s="105">
        <f>BZ21-BZ22+BY23</f>
        <v>8</v>
      </c>
      <c r="CA23" s="105">
        <f>CA21-CA22+BZ23</f>
        <v>8</v>
      </c>
      <c r="CB23" s="105">
        <f>CB21-CB22+CA23</f>
        <v>7</v>
      </c>
      <c r="CC23" s="105">
        <f>CC21-CC22+CB23</f>
        <v>7</v>
      </c>
      <c r="CD23" s="105">
        <f t="shared" ref="CD23:CK23" si="9">CD21-CD22+CC23</f>
        <v>7</v>
      </c>
      <c r="CE23" s="105">
        <f t="shared" si="9"/>
        <v>3</v>
      </c>
      <c r="CF23" s="105">
        <f t="shared" si="9"/>
        <v>0</v>
      </c>
      <c r="CG23" s="105">
        <f t="shared" si="9"/>
        <v>0</v>
      </c>
      <c r="CH23" s="105">
        <f t="shared" si="9"/>
        <v>0</v>
      </c>
      <c r="CI23" s="105">
        <f t="shared" si="9"/>
        <v>0</v>
      </c>
      <c r="CJ23" s="105">
        <f t="shared" si="9"/>
        <v>0</v>
      </c>
      <c r="CK23" s="105">
        <f t="shared" si="9"/>
        <v>0</v>
      </c>
    </row>
    <row r="24" spans="1:89" x14ac:dyDescent="0.2">
      <c r="A24" s="7" t="s">
        <v>3722</v>
      </c>
      <c r="B24" s="100" t="s">
        <v>3337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</v>
      </c>
      <c r="W24" s="101">
        <v>0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  <c r="AD24" s="101">
        <v>0</v>
      </c>
      <c r="AE24" s="101">
        <v>0</v>
      </c>
      <c r="AF24" s="101">
        <v>0</v>
      </c>
      <c r="AG24" s="101">
        <v>0</v>
      </c>
      <c r="AH24" s="101">
        <v>0</v>
      </c>
      <c r="AI24" s="101">
        <v>0</v>
      </c>
      <c r="AJ24" s="101">
        <v>0</v>
      </c>
      <c r="AK24" s="101">
        <v>0</v>
      </c>
      <c r="AL24" s="101">
        <v>0</v>
      </c>
      <c r="AM24" s="101">
        <v>0</v>
      </c>
      <c r="AN24" s="101">
        <v>0</v>
      </c>
      <c r="AO24" s="101">
        <v>0</v>
      </c>
      <c r="AP24" s="101">
        <v>0</v>
      </c>
      <c r="AQ24" s="101">
        <v>0</v>
      </c>
      <c r="AR24" s="101">
        <v>0</v>
      </c>
      <c r="AS24" s="101">
        <v>0</v>
      </c>
      <c r="AT24" s="101">
        <v>0</v>
      </c>
      <c r="AU24" s="101">
        <v>0</v>
      </c>
      <c r="AV24" s="101">
        <v>0</v>
      </c>
      <c r="AW24" s="101">
        <v>0</v>
      </c>
      <c r="AX24" s="101">
        <v>0</v>
      </c>
      <c r="AY24" s="101">
        <v>0</v>
      </c>
      <c r="AZ24" s="101">
        <v>0</v>
      </c>
      <c r="BA24" s="101">
        <v>0</v>
      </c>
      <c r="BB24" s="101">
        <v>0</v>
      </c>
      <c r="BC24" s="101">
        <v>0</v>
      </c>
      <c r="BD24" s="101">
        <v>0</v>
      </c>
      <c r="BE24" s="101">
        <v>0</v>
      </c>
      <c r="BF24" s="101">
        <v>0</v>
      </c>
      <c r="BG24" s="101">
        <v>0</v>
      </c>
      <c r="BH24" s="101">
        <v>0</v>
      </c>
      <c r="BI24" s="101">
        <v>0</v>
      </c>
      <c r="BJ24" s="101">
        <v>0</v>
      </c>
      <c r="BK24" s="101">
        <v>0</v>
      </c>
      <c r="BL24" s="101">
        <v>0</v>
      </c>
      <c r="BM24" s="101">
        <v>0</v>
      </c>
      <c r="BN24" s="101">
        <v>1</v>
      </c>
      <c r="BO24" s="101">
        <v>6</v>
      </c>
      <c r="BP24" s="101">
        <v>0</v>
      </c>
      <c r="BQ24" s="101">
        <v>0</v>
      </c>
      <c r="BR24" s="101">
        <v>0</v>
      </c>
      <c r="BS24" s="101">
        <v>0</v>
      </c>
      <c r="BT24" s="101">
        <v>1</v>
      </c>
      <c r="BU24" s="101">
        <v>0</v>
      </c>
      <c r="BV24" s="101">
        <v>0</v>
      </c>
      <c r="BW24" s="101">
        <v>0</v>
      </c>
      <c r="BX24" s="101">
        <v>0</v>
      </c>
      <c r="BY24" s="101">
        <v>0</v>
      </c>
      <c r="BZ24" s="101">
        <v>0</v>
      </c>
      <c r="CA24" s="101">
        <v>0</v>
      </c>
      <c r="CB24" s="101">
        <v>0</v>
      </c>
      <c r="CC24" s="101">
        <v>0</v>
      </c>
      <c r="CD24" s="101">
        <v>0</v>
      </c>
      <c r="CE24" s="101">
        <v>0</v>
      </c>
      <c r="CF24" s="101">
        <v>0</v>
      </c>
      <c r="CG24" s="101">
        <v>0</v>
      </c>
      <c r="CH24" s="101">
        <v>0</v>
      </c>
      <c r="CI24" s="101">
        <v>0</v>
      </c>
      <c r="CJ24" s="101">
        <v>0</v>
      </c>
      <c r="CK24" s="101">
        <v>0</v>
      </c>
    </row>
    <row r="25" spans="1:89" x14ac:dyDescent="0.2">
      <c r="A25" s="14"/>
      <c r="B25" s="102" t="s">
        <v>3253</v>
      </c>
      <c r="C25" s="103">
        <v>0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  <c r="J25" s="103">
        <v>0</v>
      </c>
      <c r="K25" s="103">
        <v>0</v>
      </c>
      <c r="L25" s="103">
        <v>0</v>
      </c>
      <c r="M25" s="103">
        <v>0</v>
      </c>
      <c r="N25" s="103">
        <v>0</v>
      </c>
      <c r="O25" s="103">
        <v>0</v>
      </c>
      <c r="P25" s="103">
        <v>0</v>
      </c>
      <c r="Q25" s="103">
        <v>0</v>
      </c>
      <c r="R25" s="103">
        <v>0</v>
      </c>
      <c r="S25" s="103">
        <v>0</v>
      </c>
      <c r="T25" s="103">
        <v>0</v>
      </c>
      <c r="U25" s="103">
        <v>0</v>
      </c>
      <c r="V25" s="103">
        <v>0</v>
      </c>
      <c r="W25" s="103">
        <v>0</v>
      </c>
      <c r="X25" s="103">
        <v>0</v>
      </c>
      <c r="Y25" s="103">
        <v>0</v>
      </c>
      <c r="Z25" s="103">
        <v>0</v>
      </c>
      <c r="AA25" s="103">
        <v>0</v>
      </c>
      <c r="AB25" s="103">
        <v>0</v>
      </c>
      <c r="AC25" s="103">
        <v>0</v>
      </c>
      <c r="AD25" s="103">
        <v>0</v>
      </c>
      <c r="AE25" s="103">
        <v>0</v>
      </c>
      <c r="AF25" s="103">
        <v>0</v>
      </c>
      <c r="AG25" s="103">
        <v>0</v>
      </c>
      <c r="AH25" s="103">
        <v>0</v>
      </c>
      <c r="AI25" s="103">
        <v>0</v>
      </c>
      <c r="AJ25" s="103">
        <v>0</v>
      </c>
      <c r="AK25" s="103">
        <v>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0</v>
      </c>
      <c r="AR25" s="103">
        <v>0</v>
      </c>
      <c r="AS25" s="103">
        <v>0</v>
      </c>
      <c r="AT25" s="103">
        <v>0</v>
      </c>
      <c r="AU25" s="103">
        <v>0</v>
      </c>
      <c r="AV25" s="103">
        <v>0</v>
      </c>
      <c r="AW25" s="103">
        <v>0</v>
      </c>
      <c r="AX25" s="103">
        <v>0</v>
      </c>
      <c r="AY25" s="103">
        <v>0</v>
      </c>
      <c r="AZ25" s="103">
        <v>0</v>
      </c>
      <c r="BA25" s="103">
        <v>0</v>
      </c>
      <c r="BB25" s="103">
        <v>0</v>
      </c>
      <c r="BC25" s="103">
        <v>0</v>
      </c>
      <c r="BD25" s="103">
        <v>0</v>
      </c>
      <c r="BE25" s="103">
        <v>0</v>
      </c>
      <c r="BF25" s="103">
        <v>0</v>
      </c>
      <c r="BG25" s="103">
        <v>0</v>
      </c>
      <c r="BH25" s="103">
        <v>0</v>
      </c>
      <c r="BI25" s="103">
        <v>0</v>
      </c>
      <c r="BJ25" s="103">
        <v>0</v>
      </c>
      <c r="BK25" s="103">
        <v>0</v>
      </c>
      <c r="BL25" s="103">
        <v>0</v>
      </c>
      <c r="BM25" s="103">
        <v>0</v>
      </c>
      <c r="BN25" s="103">
        <v>0</v>
      </c>
      <c r="BO25" s="103">
        <v>0</v>
      </c>
      <c r="BP25" s="103">
        <v>0</v>
      </c>
      <c r="BQ25" s="103">
        <v>0</v>
      </c>
      <c r="BR25" s="103">
        <v>0</v>
      </c>
      <c r="BS25" s="103">
        <v>1</v>
      </c>
      <c r="BT25" s="103">
        <v>1</v>
      </c>
      <c r="BU25" s="103">
        <v>1</v>
      </c>
      <c r="BV25" s="103">
        <v>0</v>
      </c>
      <c r="BW25" s="103">
        <v>0</v>
      </c>
      <c r="BX25" s="103">
        <v>1</v>
      </c>
      <c r="BY25" s="103">
        <v>0</v>
      </c>
      <c r="BZ25" s="103">
        <v>0</v>
      </c>
      <c r="CA25" s="103">
        <v>0</v>
      </c>
      <c r="CB25" s="103">
        <v>0</v>
      </c>
      <c r="CC25" s="103">
        <v>0</v>
      </c>
      <c r="CD25" s="103">
        <v>0</v>
      </c>
      <c r="CE25" s="103">
        <v>0</v>
      </c>
      <c r="CF25" s="103">
        <v>0</v>
      </c>
      <c r="CG25" s="103">
        <v>0</v>
      </c>
      <c r="CH25" s="103">
        <v>0</v>
      </c>
      <c r="CI25" s="103">
        <v>0</v>
      </c>
      <c r="CJ25" s="103">
        <v>0</v>
      </c>
      <c r="CK25" s="103">
        <v>0</v>
      </c>
    </row>
    <row r="26" spans="1:89" ht="12.75" thickBot="1" x14ac:dyDescent="0.25">
      <c r="A26" s="15"/>
      <c r="B26" s="104" t="s">
        <v>1959</v>
      </c>
      <c r="C26" s="105">
        <f>C24-C25</f>
        <v>0</v>
      </c>
      <c r="D26" s="105">
        <f t="shared" ref="D26:BY26" si="10">D24-D25+C26</f>
        <v>0</v>
      </c>
      <c r="E26" s="105">
        <f t="shared" si="10"/>
        <v>0</v>
      </c>
      <c r="F26" s="105">
        <f t="shared" si="10"/>
        <v>0</v>
      </c>
      <c r="G26" s="105">
        <f t="shared" si="10"/>
        <v>0</v>
      </c>
      <c r="H26" s="105">
        <f t="shared" si="10"/>
        <v>0</v>
      </c>
      <c r="I26" s="105">
        <f t="shared" si="10"/>
        <v>0</v>
      </c>
      <c r="J26" s="105">
        <f t="shared" si="10"/>
        <v>0</v>
      </c>
      <c r="K26" s="105">
        <f t="shared" si="10"/>
        <v>0</v>
      </c>
      <c r="L26" s="105">
        <f t="shared" si="10"/>
        <v>0</v>
      </c>
      <c r="M26" s="105">
        <f t="shared" si="10"/>
        <v>0</v>
      </c>
      <c r="N26" s="105">
        <f t="shared" si="10"/>
        <v>0</v>
      </c>
      <c r="O26" s="105">
        <f t="shared" si="10"/>
        <v>0</v>
      </c>
      <c r="P26" s="105">
        <f t="shared" si="10"/>
        <v>0</v>
      </c>
      <c r="Q26" s="105">
        <f t="shared" si="10"/>
        <v>0</v>
      </c>
      <c r="R26" s="105">
        <f t="shared" si="10"/>
        <v>0</v>
      </c>
      <c r="S26" s="105">
        <f t="shared" si="10"/>
        <v>0</v>
      </c>
      <c r="T26" s="105">
        <f t="shared" si="10"/>
        <v>0</v>
      </c>
      <c r="U26" s="105">
        <f t="shared" si="10"/>
        <v>0</v>
      </c>
      <c r="V26" s="105">
        <f t="shared" si="10"/>
        <v>0</v>
      </c>
      <c r="W26" s="105">
        <f t="shared" si="10"/>
        <v>0</v>
      </c>
      <c r="X26" s="105">
        <f t="shared" si="10"/>
        <v>0</v>
      </c>
      <c r="Y26" s="105">
        <f t="shared" si="10"/>
        <v>0</v>
      </c>
      <c r="Z26" s="105">
        <f t="shared" si="10"/>
        <v>0</v>
      </c>
      <c r="AA26" s="105">
        <f t="shared" si="10"/>
        <v>0</v>
      </c>
      <c r="AB26" s="105">
        <f t="shared" si="10"/>
        <v>0</v>
      </c>
      <c r="AC26" s="105">
        <f t="shared" si="10"/>
        <v>0</v>
      </c>
      <c r="AD26" s="105">
        <f t="shared" si="10"/>
        <v>0</v>
      </c>
      <c r="AE26" s="105">
        <f t="shared" si="10"/>
        <v>0</v>
      </c>
      <c r="AF26" s="105">
        <f t="shared" si="10"/>
        <v>0</v>
      </c>
      <c r="AG26" s="105">
        <f t="shared" si="10"/>
        <v>0</v>
      </c>
      <c r="AH26" s="105">
        <f t="shared" si="10"/>
        <v>0</v>
      </c>
      <c r="AI26" s="105">
        <f t="shared" si="10"/>
        <v>0</v>
      </c>
      <c r="AJ26" s="105">
        <f t="shared" si="10"/>
        <v>0</v>
      </c>
      <c r="AK26" s="105">
        <f t="shared" si="10"/>
        <v>0</v>
      </c>
      <c r="AL26" s="105">
        <f t="shared" si="10"/>
        <v>0</v>
      </c>
      <c r="AM26" s="105">
        <f t="shared" si="10"/>
        <v>0</v>
      </c>
      <c r="AN26" s="105">
        <f t="shared" si="10"/>
        <v>0</v>
      </c>
      <c r="AO26" s="105">
        <f t="shared" si="10"/>
        <v>0</v>
      </c>
      <c r="AP26" s="105">
        <f t="shared" si="10"/>
        <v>0</v>
      </c>
      <c r="AQ26" s="105">
        <f t="shared" si="10"/>
        <v>0</v>
      </c>
      <c r="AR26" s="105">
        <f t="shared" si="10"/>
        <v>0</v>
      </c>
      <c r="AS26" s="105">
        <f t="shared" si="10"/>
        <v>0</v>
      </c>
      <c r="AT26" s="105">
        <f t="shared" si="10"/>
        <v>0</v>
      </c>
      <c r="AU26" s="105">
        <f t="shared" si="10"/>
        <v>0</v>
      </c>
      <c r="AV26" s="105">
        <f t="shared" si="10"/>
        <v>0</v>
      </c>
      <c r="AW26" s="105">
        <f t="shared" si="10"/>
        <v>0</v>
      </c>
      <c r="AX26" s="105">
        <f t="shared" si="10"/>
        <v>0</v>
      </c>
      <c r="AY26" s="105">
        <f t="shared" si="10"/>
        <v>0</v>
      </c>
      <c r="AZ26" s="105">
        <f t="shared" si="10"/>
        <v>0</v>
      </c>
      <c r="BA26" s="105">
        <f t="shared" si="10"/>
        <v>0</v>
      </c>
      <c r="BB26" s="105">
        <f t="shared" si="10"/>
        <v>0</v>
      </c>
      <c r="BC26" s="105">
        <f t="shared" si="10"/>
        <v>0</v>
      </c>
      <c r="BD26" s="105">
        <f t="shared" si="10"/>
        <v>0</v>
      </c>
      <c r="BE26" s="105">
        <f t="shared" si="10"/>
        <v>0</v>
      </c>
      <c r="BF26" s="105">
        <f t="shared" si="10"/>
        <v>0</v>
      </c>
      <c r="BG26" s="105">
        <f t="shared" si="10"/>
        <v>0</v>
      </c>
      <c r="BH26" s="105">
        <f t="shared" si="10"/>
        <v>0</v>
      </c>
      <c r="BI26" s="105">
        <f t="shared" si="10"/>
        <v>0</v>
      </c>
      <c r="BJ26" s="105">
        <f t="shared" si="10"/>
        <v>0</v>
      </c>
      <c r="BK26" s="105">
        <f t="shared" si="10"/>
        <v>0</v>
      </c>
      <c r="BL26" s="105">
        <f t="shared" si="10"/>
        <v>0</v>
      </c>
      <c r="BM26" s="105">
        <f t="shared" si="10"/>
        <v>0</v>
      </c>
      <c r="BN26" s="105">
        <f t="shared" si="10"/>
        <v>1</v>
      </c>
      <c r="BO26" s="105">
        <f t="shared" si="10"/>
        <v>7</v>
      </c>
      <c r="BP26" s="105">
        <f t="shared" si="10"/>
        <v>7</v>
      </c>
      <c r="BQ26" s="105">
        <f t="shared" si="10"/>
        <v>7</v>
      </c>
      <c r="BR26" s="105">
        <f t="shared" si="10"/>
        <v>7</v>
      </c>
      <c r="BS26" s="105">
        <f t="shared" si="10"/>
        <v>6</v>
      </c>
      <c r="BT26" s="105">
        <f t="shared" si="10"/>
        <v>6</v>
      </c>
      <c r="BU26" s="105">
        <f t="shared" si="10"/>
        <v>5</v>
      </c>
      <c r="BV26" s="105">
        <f t="shared" si="10"/>
        <v>5</v>
      </c>
      <c r="BW26" s="105">
        <f t="shared" si="10"/>
        <v>5</v>
      </c>
      <c r="BX26" s="105">
        <f t="shared" si="10"/>
        <v>4</v>
      </c>
      <c r="BY26" s="105">
        <f t="shared" si="10"/>
        <v>4</v>
      </c>
      <c r="BZ26" s="105">
        <v>0</v>
      </c>
      <c r="CA26" s="105">
        <v>0</v>
      </c>
      <c r="CB26" s="105">
        <f t="shared" ref="CB26:CK26" si="11">CB24-CB25+CA26</f>
        <v>0</v>
      </c>
      <c r="CC26" s="105">
        <f t="shared" si="11"/>
        <v>0</v>
      </c>
      <c r="CD26" s="105">
        <f t="shared" si="11"/>
        <v>0</v>
      </c>
      <c r="CE26" s="105">
        <f t="shared" si="11"/>
        <v>0</v>
      </c>
      <c r="CF26" s="105">
        <f t="shared" si="11"/>
        <v>0</v>
      </c>
      <c r="CG26" s="105">
        <f t="shared" si="11"/>
        <v>0</v>
      </c>
      <c r="CH26" s="105">
        <f t="shared" si="11"/>
        <v>0</v>
      </c>
      <c r="CI26" s="105">
        <f t="shared" si="11"/>
        <v>0</v>
      </c>
      <c r="CJ26" s="105">
        <f t="shared" si="11"/>
        <v>0</v>
      </c>
      <c r="CK26" s="105">
        <f t="shared" si="11"/>
        <v>0</v>
      </c>
    </row>
    <row r="27" spans="1:89" x14ac:dyDescent="0.2">
      <c r="A27" s="7" t="s">
        <v>3806</v>
      </c>
      <c r="B27" s="100" t="s">
        <v>3337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0</v>
      </c>
      <c r="N27" s="101">
        <v>0</v>
      </c>
      <c r="O27" s="101">
        <v>0</v>
      </c>
      <c r="P27" s="101">
        <v>0</v>
      </c>
      <c r="Q27" s="101">
        <v>0</v>
      </c>
      <c r="R27" s="101">
        <v>0</v>
      </c>
      <c r="S27" s="101">
        <v>0</v>
      </c>
      <c r="T27" s="101">
        <v>0</v>
      </c>
      <c r="U27" s="101">
        <v>0</v>
      </c>
      <c r="V27" s="101">
        <v>0</v>
      </c>
      <c r="W27" s="101">
        <v>0</v>
      </c>
      <c r="X27" s="101">
        <v>0</v>
      </c>
      <c r="Y27" s="101">
        <v>0</v>
      </c>
      <c r="Z27" s="101">
        <v>0</v>
      </c>
      <c r="AA27" s="101">
        <v>0</v>
      </c>
      <c r="AB27" s="101">
        <v>0</v>
      </c>
      <c r="AC27" s="101">
        <v>0</v>
      </c>
      <c r="AD27" s="101">
        <v>0</v>
      </c>
      <c r="AE27" s="101">
        <v>0</v>
      </c>
      <c r="AF27" s="101">
        <v>0</v>
      </c>
      <c r="AG27" s="101">
        <v>0</v>
      </c>
      <c r="AH27" s="101">
        <v>0</v>
      </c>
      <c r="AI27" s="101">
        <v>0</v>
      </c>
      <c r="AJ27" s="101">
        <v>0</v>
      </c>
      <c r="AK27" s="101">
        <v>0</v>
      </c>
      <c r="AL27" s="101">
        <v>0</v>
      </c>
      <c r="AM27" s="101">
        <v>0</v>
      </c>
      <c r="AN27" s="101">
        <v>0</v>
      </c>
      <c r="AO27" s="101">
        <v>0</v>
      </c>
      <c r="AP27" s="101">
        <v>0</v>
      </c>
      <c r="AQ27" s="101">
        <v>0</v>
      </c>
      <c r="AR27" s="101">
        <v>0</v>
      </c>
      <c r="AS27" s="101">
        <v>0</v>
      </c>
      <c r="AT27" s="101">
        <v>0</v>
      </c>
      <c r="AU27" s="101">
        <v>0</v>
      </c>
      <c r="AV27" s="101">
        <v>0</v>
      </c>
      <c r="AW27" s="101">
        <v>0</v>
      </c>
      <c r="AX27" s="101">
        <v>0</v>
      </c>
      <c r="AY27" s="101">
        <v>0</v>
      </c>
      <c r="AZ27" s="101">
        <v>0</v>
      </c>
      <c r="BA27" s="101">
        <v>0</v>
      </c>
      <c r="BB27" s="101">
        <v>0</v>
      </c>
      <c r="BC27" s="101">
        <v>0</v>
      </c>
      <c r="BD27" s="101">
        <v>0</v>
      </c>
      <c r="BE27" s="101">
        <v>0</v>
      </c>
      <c r="BF27" s="101">
        <v>0</v>
      </c>
      <c r="BG27" s="101">
        <v>0</v>
      </c>
      <c r="BH27" s="101">
        <v>0</v>
      </c>
      <c r="BI27" s="101">
        <v>0</v>
      </c>
      <c r="BJ27" s="101">
        <v>0</v>
      </c>
      <c r="BK27" s="101">
        <v>0</v>
      </c>
      <c r="BL27" s="101">
        <v>0</v>
      </c>
      <c r="BM27" s="101">
        <v>0</v>
      </c>
      <c r="BN27" s="101">
        <v>0</v>
      </c>
      <c r="BO27" s="101">
        <v>0</v>
      </c>
      <c r="BP27" s="101">
        <v>0</v>
      </c>
      <c r="BQ27" s="101">
        <v>0</v>
      </c>
      <c r="BR27" s="101">
        <v>0</v>
      </c>
      <c r="BS27" s="101">
        <v>0</v>
      </c>
      <c r="BT27" s="101">
        <v>0</v>
      </c>
      <c r="BU27" s="101">
        <v>0</v>
      </c>
      <c r="BV27" s="101">
        <v>0</v>
      </c>
      <c r="BW27" s="101">
        <v>0</v>
      </c>
      <c r="BX27" s="101">
        <v>0</v>
      </c>
      <c r="BY27" s="101">
        <v>0</v>
      </c>
      <c r="BZ27" s="101">
        <v>0</v>
      </c>
      <c r="CA27" s="101">
        <v>0</v>
      </c>
      <c r="CB27" s="101">
        <v>0</v>
      </c>
      <c r="CC27" s="101">
        <v>0</v>
      </c>
      <c r="CD27" s="101">
        <v>0</v>
      </c>
      <c r="CE27" s="101">
        <v>0</v>
      </c>
      <c r="CF27" s="101">
        <v>0</v>
      </c>
      <c r="CG27" s="101">
        <v>0</v>
      </c>
      <c r="CH27" s="101">
        <v>0</v>
      </c>
      <c r="CI27" s="101">
        <v>0</v>
      </c>
      <c r="CJ27" s="101">
        <v>0</v>
      </c>
      <c r="CK27" s="101">
        <v>0</v>
      </c>
    </row>
    <row r="28" spans="1:89" x14ac:dyDescent="0.2">
      <c r="A28" s="14"/>
      <c r="B28" s="102" t="s">
        <v>3253</v>
      </c>
      <c r="C28" s="103">
        <v>0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103">
        <v>0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103">
        <v>0</v>
      </c>
      <c r="U28" s="103">
        <v>0</v>
      </c>
      <c r="V28" s="103">
        <v>0</v>
      </c>
      <c r="W28" s="103">
        <v>0</v>
      </c>
      <c r="X28" s="103">
        <v>0</v>
      </c>
      <c r="Y28" s="103">
        <v>0</v>
      </c>
      <c r="Z28" s="103">
        <v>0</v>
      </c>
      <c r="AA28" s="103">
        <v>0</v>
      </c>
      <c r="AB28" s="103">
        <v>0</v>
      </c>
      <c r="AC28" s="103">
        <v>0</v>
      </c>
      <c r="AD28" s="103">
        <v>0</v>
      </c>
      <c r="AE28" s="103">
        <v>0</v>
      </c>
      <c r="AF28" s="103">
        <v>0</v>
      </c>
      <c r="AG28" s="103">
        <v>0</v>
      </c>
      <c r="AH28" s="103">
        <v>0</v>
      </c>
      <c r="AI28" s="103">
        <v>0</v>
      </c>
      <c r="AJ28" s="103">
        <v>0</v>
      </c>
      <c r="AK28" s="103">
        <v>0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0</v>
      </c>
      <c r="AR28" s="103">
        <v>0</v>
      </c>
      <c r="AS28" s="103">
        <v>0</v>
      </c>
      <c r="AT28" s="103">
        <v>0</v>
      </c>
      <c r="AU28" s="103">
        <v>0</v>
      </c>
      <c r="AV28" s="103">
        <v>0</v>
      </c>
      <c r="AW28" s="103">
        <v>0</v>
      </c>
      <c r="AX28" s="103">
        <v>0</v>
      </c>
      <c r="AY28" s="103">
        <v>0</v>
      </c>
      <c r="AZ28" s="103">
        <v>0</v>
      </c>
      <c r="BA28" s="103">
        <v>0</v>
      </c>
      <c r="BB28" s="103">
        <v>0</v>
      </c>
      <c r="BC28" s="103">
        <v>0</v>
      </c>
      <c r="BD28" s="103">
        <v>0</v>
      </c>
      <c r="BE28" s="103">
        <v>0</v>
      </c>
      <c r="BF28" s="103">
        <v>0</v>
      </c>
      <c r="BG28" s="103">
        <v>0</v>
      </c>
      <c r="BH28" s="103">
        <v>0</v>
      </c>
      <c r="BI28" s="103">
        <v>0</v>
      </c>
      <c r="BJ28" s="103">
        <v>0</v>
      </c>
      <c r="BK28" s="103">
        <v>0</v>
      </c>
      <c r="BL28" s="103">
        <v>0</v>
      </c>
      <c r="BM28" s="103">
        <v>0</v>
      </c>
      <c r="BN28" s="103">
        <v>0</v>
      </c>
      <c r="BO28" s="103">
        <v>0</v>
      </c>
      <c r="BP28" s="103">
        <v>0</v>
      </c>
      <c r="BQ28" s="103">
        <v>0</v>
      </c>
      <c r="BR28" s="103">
        <v>0</v>
      </c>
      <c r="BS28" s="103">
        <v>0</v>
      </c>
      <c r="BT28" s="103">
        <v>0</v>
      </c>
      <c r="BU28" s="103">
        <v>0</v>
      </c>
      <c r="BV28" s="103">
        <v>0</v>
      </c>
      <c r="BW28" s="103">
        <v>0</v>
      </c>
      <c r="BX28" s="103">
        <v>0</v>
      </c>
      <c r="BY28" s="103">
        <v>0</v>
      </c>
      <c r="BZ28" s="103">
        <v>0</v>
      </c>
      <c r="CA28" s="103">
        <v>0</v>
      </c>
      <c r="CB28" s="103">
        <v>0</v>
      </c>
      <c r="CC28" s="103">
        <v>0</v>
      </c>
      <c r="CD28" s="103">
        <v>0</v>
      </c>
      <c r="CE28" s="103">
        <v>0</v>
      </c>
      <c r="CF28" s="103">
        <v>0</v>
      </c>
      <c r="CG28" s="103">
        <v>0</v>
      </c>
      <c r="CH28" s="103">
        <v>0</v>
      </c>
      <c r="CI28" s="103">
        <v>0</v>
      </c>
      <c r="CJ28" s="103">
        <v>0</v>
      </c>
      <c r="CK28" s="103">
        <v>0</v>
      </c>
    </row>
    <row r="29" spans="1:89" ht="12.75" thickBot="1" x14ac:dyDescent="0.25">
      <c r="A29" s="15"/>
      <c r="B29" s="104" t="s">
        <v>1959</v>
      </c>
      <c r="C29" s="105">
        <f>C27-C28</f>
        <v>0</v>
      </c>
      <c r="D29" s="105">
        <f t="shared" ref="D29:CK29" si="12">D27-D28+C29</f>
        <v>0</v>
      </c>
      <c r="E29" s="105">
        <f t="shared" si="12"/>
        <v>0</v>
      </c>
      <c r="F29" s="105">
        <f t="shared" si="12"/>
        <v>0</v>
      </c>
      <c r="G29" s="105">
        <f t="shared" si="12"/>
        <v>0</v>
      </c>
      <c r="H29" s="105">
        <f t="shared" si="12"/>
        <v>0</v>
      </c>
      <c r="I29" s="105">
        <f t="shared" si="12"/>
        <v>0</v>
      </c>
      <c r="J29" s="105">
        <f t="shared" si="12"/>
        <v>0</v>
      </c>
      <c r="K29" s="105">
        <f t="shared" si="12"/>
        <v>0</v>
      </c>
      <c r="L29" s="105">
        <f t="shared" si="12"/>
        <v>0</v>
      </c>
      <c r="M29" s="105">
        <f t="shared" si="12"/>
        <v>0</v>
      </c>
      <c r="N29" s="105">
        <f t="shared" si="12"/>
        <v>0</v>
      </c>
      <c r="O29" s="105">
        <f t="shared" si="12"/>
        <v>0</v>
      </c>
      <c r="P29" s="105">
        <f t="shared" si="12"/>
        <v>0</v>
      </c>
      <c r="Q29" s="105">
        <f t="shared" si="12"/>
        <v>0</v>
      </c>
      <c r="R29" s="105">
        <f t="shared" si="12"/>
        <v>0</v>
      </c>
      <c r="S29" s="105">
        <f t="shared" si="12"/>
        <v>0</v>
      </c>
      <c r="T29" s="105">
        <f t="shared" si="12"/>
        <v>0</v>
      </c>
      <c r="U29" s="105">
        <f t="shared" si="12"/>
        <v>0</v>
      </c>
      <c r="V29" s="105">
        <f t="shared" si="12"/>
        <v>0</v>
      </c>
      <c r="W29" s="105">
        <f t="shared" si="12"/>
        <v>0</v>
      </c>
      <c r="X29" s="105">
        <f t="shared" si="12"/>
        <v>0</v>
      </c>
      <c r="Y29" s="105">
        <f t="shared" si="12"/>
        <v>0</v>
      </c>
      <c r="Z29" s="105">
        <f t="shared" si="12"/>
        <v>0</v>
      </c>
      <c r="AA29" s="105">
        <f t="shared" si="12"/>
        <v>0</v>
      </c>
      <c r="AB29" s="105">
        <f t="shared" si="12"/>
        <v>0</v>
      </c>
      <c r="AC29" s="105">
        <f t="shared" si="12"/>
        <v>0</v>
      </c>
      <c r="AD29" s="105">
        <f t="shared" si="12"/>
        <v>0</v>
      </c>
      <c r="AE29" s="105">
        <f t="shared" si="12"/>
        <v>0</v>
      </c>
      <c r="AF29" s="105">
        <f t="shared" si="12"/>
        <v>0</v>
      </c>
      <c r="AG29" s="105">
        <f t="shared" si="12"/>
        <v>0</v>
      </c>
      <c r="AH29" s="105">
        <f t="shared" si="12"/>
        <v>0</v>
      </c>
      <c r="AI29" s="105">
        <f t="shared" si="12"/>
        <v>0</v>
      </c>
      <c r="AJ29" s="105">
        <f t="shared" si="12"/>
        <v>0</v>
      </c>
      <c r="AK29" s="105">
        <f t="shared" si="12"/>
        <v>0</v>
      </c>
      <c r="AL29" s="105">
        <f t="shared" si="12"/>
        <v>0</v>
      </c>
      <c r="AM29" s="105">
        <f t="shared" si="12"/>
        <v>0</v>
      </c>
      <c r="AN29" s="105">
        <f t="shared" si="12"/>
        <v>0</v>
      </c>
      <c r="AO29" s="105">
        <f t="shared" si="12"/>
        <v>0</v>
      </c>
      <c r="AP29" s="105">
        <f t="shared" si="12"/>
        <v>0</v>
      </c>
      <c r="AQ29" s="105">
        <f t="shared" si="12"/>
        <v>0</v>
      </c>
      <c r="AR29" s="105">
        <f t="shared" si="12"/>
        <v>0</v>
      </c>
      <c r="AS29" s="105">
        <f t="shared" si="12"/>
        <v>0</v>
      </c>
      <c r="AT29" s="105">
        <f t="shared" si="12"/>
        <v>0</v>
      </c>
      <c r="AU29" s="105">
        <f t="shared" si="12"/>
        <v>0</v>
      </c>
      <c r="AV29" s="105">
        <f t="shared" si="12"/>
        <v>0</v>
      </c>
      <c r="AW29" s="105">
        <f t="shared" si="12"/>
        <v>0</v>
      </c>
      <c r="AX29" s="105">
        <f t="shared" si="12"/>
        <v>0</v>
      </c>
      <c r="AY29" s="105">
        <f t="shared" si="12"/>
        <v>0</v>
      </c>
      <c r="AZ29" s="105">
        <f t="shared" si="12"/>
        <v>0</v>
      </c>
      <c r="BA29" s="105">
        <f t="shared" si="12"/>
        <v>0</v>
      </c>
      <c r="BB29" s="105">
        <f t="shared" si="12"/>
        <v>0</v>
      </c>
      <c r="BC29" s="105">
        <f t="shared" si="12"/>
        <v>0</v>
      </c>
      <c r="BD29" s="105">
        <f t="shared" si="12"/>
        <v>0</v>
      </c>
      <c r="BE29" s="105">
        <f t="shared" si="12"/>
        <v>0</v>
      </c>
      <c r="BF29" s="105">
        <f t="shared" si="12"/>
        <v>0</v>
      </c>
      <c r="BG29" s="105">
        <f t="shared" si="12"/>
        <v>0</v>
      </c>
      <c r="BH29" s="105">
        <f t="shared" si="12"/>
        <v>0</v>
      </c>
      <c r="BI29" s="105">
        <f t="shared" si="12"/>
        <v>0</v>
      </c>
      <c r="BJ29" s="105">
        <f t="shared" si="12"/>
        <v>0</v>
      </c>
      <c r="BK29" s="105">
        <f t="shared" si="12"/>
        <v>0</v>
      </c>
      <c r="BL29" s="105">
        <f t="shared" si="12"/>
        <v>0</v>
      </c>
      <c r="BM29" s="105">
        <f t="shared" si="12"/>
        <v>0</v>
      </c>
      <c r="BN29" s="105">
        <f t="shared" si="12"/>
        <v>0</v>
      </c>
      <c r="BO29" s="105">
        <f t="shared" si="12"/>
        <v>0</v>
      </c>
      <c r="BP29" s="105">
        <f t="shared" si="12"/>
        <v>0</v>
      </c>
      <c r="BQ29" s="105">
        <f t="shared" si="12"/>
        <v>0</v>
      </c>
      <c r="BR29" s="105">
        <f t="shared" si="12"/>
        <v>0</v>
      </c>
      <c r="BS29" s="105">
        <f t="shared" si="12"/>
        <v>0</v>
      </c>
      <c r="BT29" s="105">
        <f t="shared" si="12"/>
        <v>0</v>
      </c>
      <c r="BU29" s="105">
        <f t="shared" si="12"/>
        <v>0</v>
      </c>
      <c r="BV29" s="105">
        <f t="shared" si="12"/>
        <v>0</v>
      </c>
      <c r="BW29" s="105">
        <f t="shared" si="12"/>
        <v>0</v>
      </c>
      <c r="BX29" s="105">
        <f t="shared" si="12"/>
        <v>0</v>
      </c>
      <c r="BY29" s="105">
        <f t="shared" si="12"/>
        <v>0</v>
      </c>
      <c r="BZ29" s="105">
        <f t="shared" si="12"/>
        <v>0</v>
      </c>
      <c r="CA29" s="105">
        <f t="shared" si="12"/>
        <v>0</v>
      </c>
      <c r="CB29" s="105">
        <f>CB27-CB28+CA29</f>
        <v>0</v>
      </c>
      <c r="CC29" s="105">
        <f>CC27-CC28+CB29</f>
        <v>0</v>
      </c>
      <c r="CD29" s="105">
        <f t="shared" si="12"/>
        <v>0</v>
      </c>
      <c r="CE29" s="105">
        <f t="shared" si="12"/>
        <v>0</v>
      </c>
      <c r="CF29" s="105">
        <f t="shared" si="12"/>
        <v>0</v>
      </c>
      <c r="CG29" s="105">
        <f t="shared" si="12"/>
        <v>0</v>
      </c>
      <c r="CH29" s="105">
        <f t="shared" si="12"/>
        <v>0</v>
      </c>
      <c r="CI29" s="105">
        <f t="shared" si="12"/>
        <v>0</v>
      </c>
      <c r="CJ29" s="105">
        <f t="shared" si="12"/>
        <v>0</v>
      </c>
      <c r="CK29" s="105">
        <f t="shared" si="12"/>
        <v>0</v>
      </c>
    </row>
    <row r="30" spans="1:89" x14ac:dyDescent="0.2">
      <c r="A30" s="7" t="s">
        <v>3807</v>
      </c>
      <c r="B30" s="100" t="s">
        <v>3337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</v>
      </c>
      <c r="AA30" s="101">
        <v>0</v>
      </c>
      <c r="AB30" s="101">
        <v>0</v>
      </c>
      <c r="AC30" s="101">
        <v>0</v>
      </c>
      <c r="AD30" s="101">
        <v>0</v>
      </c>
      <c r="AE30" s="101">
        <v>0</v>
      </c>
      <c r="AF30" s="101">
        <v>0</v>
      </c>
      <c r="AG30" s="101">
        <v>0</v>
      </c>
      <c r="AH30" s="101">
        <v>0</v>
      </c>
      <c r="AI30" s="101">
        <v>0</v>
      </c>
      <c r="AJ30" s="101">
        <v>0</v>
      </c>
      <c r="AK30" s="101">
        <v>0</v>
      </c>
      <c r="AL30" s="101">
        <v>0</v>
      </c>
      <c r="AM30" s="101">
        <v>0</v>
      </c>
      <c r="AN30" s="101">
        <v>0</v>
      </c>
      <c r="AO30" s="101">
        <v>0</v>
      </c>
      <c r="AP30" s="101">
        <v>0</v>
      </c>
      <c r="AQ30" s="101">
        <v>0</v>
      </c>
      <c r="AR30" s="101">
        <v>0</v>
      </c>
      <c r="AS30" s="101">
        <v>0</v>
      </c>
      <c r="AT30" s="101">
        <v>0</v>
      </c>
      <c r="AU30" s="101">
        <v>0</v>
      </c>
      <c r="AV30" s="101">
        <v>0</v>
      </c>
      <c r="AW30" s="101">
        <v>0</v>
      </c>
      <c r="AX30" s="101">
        <v>0</v>
      </c>
      <c r="AY30" s="101">
        <v>0</v>
      </c>
      <c r="AZ30" s="101">
        <v>0</v>
      </c>
      <c r="BA30" s="101">
        <v>0</v>
      </c>
      <c r="BB30" s="101">
        <v>0</v>
      </c>
      <c r="BC30" s="101">
        <v>0</v>
      </c>
      <c r="BD30" s="101">
        <v>0</v>
      </c>
      <c r="BE30" s="101">
        <v>0</v>
      </c>
      <c r="BF30" s="101">
        <v>0</v>
      </c>
      <c r="BG30" s="101">
        <v>0</v>
      </c>
      <c r="BH30" s="101">
        <v>0</v>
      </c>
      <c r="BI30" s="101">
        <v>0</v>
      </c>
      <c r="BJ30" s="101">
        <v>0</v>
      </c>
      <c r="BK30" s="101">
        <v>0</v>
      </c>
      <c r="BL30" s="101">
        <v>0</v>
      </c>
      <c r="BM30" s="101">
        <v>0</v>
      </c>
      <c r="BN30" s="101">
        <v>0</v>
      </c>
      <c r="BO30" s="101">
        <v>0</v>
      </c>
      <c r="BP30" s="101">
        <v>0</v>
      </c>
      <c r="BQ30" s="101">
        <v>0</v>
      </c>
      <c r="BR30" s="101">
        <v>0</v>
      </c>
      <c r="BS30" s="101">
        <v>0</v>
      </c>
      <c r="BT30" s="101">
        <v>0</v>
      </c>
      <c r="BU30" s="101">
        <v>0</v>
      </c>
      <c r="BV30" s="101">
        <v>0</v>
      </c>
      <c r="BW30" s="101">
        <v>0</v>
      </c>
      <c r="BX30" s="101">
        <v>0</v>
      </c>
      <c r="BY30" s="101">
        <v>0</v>
      </c>
      <c r="BZ30" s="101">
        <v>0</v>
      </c>
      <c r="CA30" s="101">
        <v>0</v>
      </c>
      <c r="CB30" s="101">
        <v>0</v>
      </c>
      <c r="CC30" s="101">
        <v>0</v>
      </c>
      <c r="CD30" s="101">
        <v>0</v>
      </c>
      <c r="CE30" s="101">
        <v>0</v>
      </c>
      <c r="CF30" s="101">
        <v>0</v>
      </c>
      <c r="CG30" s="101">
        <v>0</v>
      </c>
      <c r="CH30" s="101">
        <v>0</v>
      </c>
      <c r="CI30" s="101">
        <v>0</v>
      </c>
      <c r="CJ30" s="101">
        <v>0</v>
      </c>
      <c r="CK30" s="101">
        <v>0</v>
      </c>
    </row>
    <row r="31" spans="1:89" x14ac:dyDescent="0.2">
      <c r="A31" s="14"/>
      <c r="B31" s="102" t="s">
        <v>3253</v>
      </c>
      <c r="C31" s="103">
        <v>0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103">
        <v>0</v>
      </c>
      <c r="U31" s="103">
        <v>0</v>
      </c>
      <c r="V31" s="103">
        <v>0</v>
      </c>
      <c r="W31" s="103">
        <v>0</v>
      </c>
      <c r="X31" s="103">
        <v>0</v>
      </c>
      <c r="Y31" s="103">
        <v>0</v>
      </c>
      <c r="Z31" s="103">
        <v>0</v>
      </c>
      <c r="AA31" s="103">
        <v>0</v>
      </c>
      <c r="AB31" s="103">
        <v>0</v>
      </c>
      <c r="AC31" s="103">
        <v>0</v>
      </c>
      <c r="AD31" s="103">
        <v>0</v>
      </c>
      <c r="AE31" s="103">
        <v>0</v>
      </c>
      <c r="AF31" s="103">
        <v>0</v>
      </c>
      <c r="AG31" s="103">
        <v>0</v>
      </c>
      <c r="AH31" s="103">
        <v>0</v>
      </c>
      <c r="AI31" s="103">
        <v>0</v>
      </c>
      <c r="AJ31" s="103">
        <v>0</v>
      </c>
      <c r="AK31" s="103">
        <v>0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0</v>
      </c>
      <c r="AR31" s="103">
        <v>0</v>
      </c>
      <c r="AS31" s="103">
        <v>0</v>
      </c>
      <c r="AT31" s="103">
        <v>0</v>
      </c>
      <c r="AU31" s="103">
        <v>0</v>
      </c>
      <c r="AV31" s="103">
        <v>0</v>
      </c>
      <c r="AW31" s="103">
        <v>0</v>
      </c>
      <c r="AX31" s="103">
        <v>0</v>
      </c>
      <c r="AY31" s="103">
        <v>0</v>
      </c>
      <c r="AZ31" s="103">
        <v>0</v>
      </c>
      <c r="BA31" s="103">
        <v>0</v>
      </c>
      <c r="BB31" s="103">
        <v>0</v>
      </c>
      <c r="BC31" s="103">
        <v>0</v>
      </c>
      <c r="BD31" s="103">
        <v>0</v>
      </c>
      <c r="BE31" s="103">
        <v>0</v>
      </c>
      <c r="BF31" s="103">
        <v>0</v>
      </c>
      <c r="BG31" s="103">
        <v>0</v>
      </c>
      <c r="BH31" s="103">
        <v>0</v>
      </c>
      <c r="BI31" s="103">
        <v>0</v>
      </c>
      <c r="BJ31" s="103">
        <v>0</v>
      </c>
      <c r="BK31" s="103">
        <v>0</v>
      </c>
      <c r="BL31" s="103">
        <v>0</v>
      </c>
      <c r="BM31" s="103">
        <v>0</v>
      </c>
      <c r="BN31" s="103">
        <v>0</v>
      </c>
      <c r="BO31" s="103">
        <v>0</v>
      </c>
      <c r="BP31" s="103">
        <v>0</v>
      </c>
      <c r="BQ31" s="103">
        <v>0</v>
      </c>
      <c r="BR31" s="103">
        <v>0</v>
      </c>
      <c r="BS31" s="103">
        <v>0</v>
      </c>
      <c r="BT31" s="103">
        <v>0</v>
      </c>
      <c r="BU31" s="103">
        <v>0</v>
      </c>
      <c r="BV31" s="103">
        <v>0</v>
      </c>
      <c r="BW31" s="103">
        <v>0</v>
      </c>
      <c r="BX31" s="103">
        <v>0</v>
      </c>
      <c r="BY31" s="103">
        <v>0</v>
      </c>
      <c r="BZ31" s="103">
        <v>0</v>
      </c>
      <c r="CA31" s="103">
        <v>0</v>
      </c>
      <c r="CB31" s="103">
        <v>0</v>
      </c>
      <c r="CC31" s="103">
        <v>0</v>
      </c>
      <c r="CD31" s="103">
        <v>0</v>
      </c>
      <c r="CE31" s="103">
        <v>0</v>
      </c>
      <c r="CF31" s="103">
        <v>0</v>
      </c>
      <c r="CG31" s="103">
        <v>0</v>
      </c>
      <c r="CH31" s="103">
        <v>0</v>
      </c>
      <c r="CI31" s="103">
        <v>0</v>
      </c>
      <c r="CJ31" s="103">
        <v>0</v>
      </c>
      <c r="CK31" s="103">
        <v>0</v>
      </c>
    </row>
    <row r="32" spans="1:89" ht="12.75" thickBot="1" x14ac:dyDescent="0.25">
      <c r="A32" s="15"/>
      <c r="B32" s="104" t="s">
        <v>1959</v>
      </c>
      <c r="C32" s="105">
        <f>C30-C31</f>
        <v>0</v>
      </c>
      <c r="D32" s="105">
        <f t="shared" ref="D32:CK32" si="13">D30-D31+C32</f>
        <v>0</v>
      </c>
      <c r="E32" s="105">
        <f t="shared" si="13"/>
        <v>0</v>
      </c>
      <c r="F32" s="105">
        <f t="shared" si="13"/>
        <v>0</v>
      </c>
      <c r="G32" s="105">
        <f t="shared" si="13"/>
        <v>0</v>
      </c>
      <c r="H32" s="105">
        <f t="shared" si="13"/>
        <v>0</v>
      </c>
      <c r="I32" s="105">
        <f t="shared" si="13"/>
        <v>0</v>
      </c>
      <c r="J32" s="105">
        <f t="shared" si="13"/>
        <v>0</v>
      </c>
      <c r="K32" s="105">
        <f t="shared" si="13"/>
        <v>0</v>
      </c>
      <c r="L32" s="105">
        <f t="shared" si="13"/>
        <v>0</v>
      </c>
      <c r="M32" s="105">
        <f t="shared" si="13"/>
        <v>0</v>
      </c>
      <c r="N32" s="105">
        <f t="shared" si="13"/>
        <v>0</v>
      </c>
      <c r="O32" s="105">
        <f t="shared" si="13"/>
        <v>0</v>
      </c>
      <c r="P32" s="105">
        <f t="shared" si="13"/>
        <v>0</v>
      </c>
      <c r="Q32" s="105">
        <f t="shared" si="13"/>
        <v>0</v>
      </c>
      <c r="R32" s="105">
        <f t="shared" si="13"/>
        <v>0</v>
      </c>
      <c r="S32" s="105">
        <f t="shared" si="13"/>
        <v>0</v>
      </c>
      <c r="T32" s="105">
        <f t="shared" si="13"/>
        <v>0</v>
      </c>
      <c r="U32" s="105">
        <f t="shared" si="13"/>
        <v>0</v>
      </c>
      <c r="V32" s="105">
        <f t="shared" si="13"/>
        <v>0</v>
      </c>
      <c r="W32" s="105">
        <f t="shared" si="13"/>
        <v>0</v>
      </c>
      <c r="X32" s="105">
        <f t="shared" si="13"/>
        <v>0</v>
      </c>
      <c r="Y32" s="105">
        <f t="shared" si="13"/>
        <v>0</v>
      </c>
      <c r="Z32" s="105">
        <f t="shared" si="13"/>
        <v>0</v>
      </c>
      <c r="AA32" s="105">
        <f t="shared" si="13"/>
        <v>0</v>
      </c>
      <c r="AB32" s="105">
        <f t="shared" si="13"/>
        <v>0</v>
      </c>
      <c r="AC32" s="105">
        <f t="shared" si="13"/>
        <v>0</v>
      </c>
      <c r="AD32" s="105">
        <f t="shared" si="13"/>
        <v>0</v>
      </c>
      <c r="AE32" s="105">
        <f t="shared" si="13"/>
        <v>0</v>
      </c>
      <c r="AF32" s="105">
        <f t="shared" si="13"/>
        <v>0</v>
      </c>
      <c r="AG32" s="105">
        <f t="shared" si="13"/>
        <v>0</v>
      </c>
      <c r="AH32" s="105">
        <f t="shared" si="13"/>
        <v>0</v>
      </c>
      <c r="AI32" s="105">
        <f t="shared" si="13"/>
        <v>0</v>
      </c>
      <c r="AJ32" s="105">
        <f t="shared" si="13"/>
        <v>0</v>
      </c>
      <c r="AK32" s="105">
        <f t="shared" si="13"/>
        <v>0</v>
      </c>
      <c r="AL32" s="105">
        <f t="shared" si="13"/>
        <v>0</v>
      </c>
      <c r="AM32" s="105">
        <f t="shared" si="13"/>
        <v>0</v>
      </c>
      <c r="AN32" s="105">
        <f t="shared" si="13"/>
        <v>0</v>
      </c>
      <c r="AO32" s="105">
        <f t="shared" si="13"/>
        <v>0</v>
      </c>
      <c r="AP32" s="105">
        <f t="shared" si="13"/>
        <v>0</v>
      </c>
      <c r="AQ32" s="105">
        <f t="shared" si="13"/>
        <v>0</v>
      </c>
      <c r="AR32" s="105">
        <f t="shared" si="13"/>
        <v>0</v>
      </c>
      <c r="AS32" s="105">
        <f t="shared" si="13"/>
        <v>0</v>
      </c>
      <c r="AT32" s="105">
        <f t="shared" si="13"/>
        <v>0</v>
      </c>
      <c r="AU32" s="105">
        <f t="shared" si="13"/>
        <v>0</v>
      </c>
      <c r="AV32" s="105">
        <f t="shared" si="13"/>
        <v>0</v>
      </c>
      <c r="AW32" s="105">
        <f t="shared" si="13"/>
        <v>0</v>
      </c>
      <c r="AX32" s="105">
        <f t="shared" si="13"/>
        <v>0</v>
      </c>
      <c r="AY32" s="105">
        <f t="shared" si="13"/>
        <v>0</v>
      </c>
      <c r="AZ32" s="105">
        <f t="shared" si="13"/>
        <v>0</v>
      </c>
      <c r="BA32" s="105">
        <f t="shared" si="13"/>
        <v>0</v>
      </c>
      <c r="BB32" s="105">
        <f t="shared" si="13"/>
        <v>0</v>
      </c>
      <c r="BC32" s="105">
        <f t="shared" si="13"/>
        <v>0</v>
      </c>
      <c r="BD32" s="105">
        <f t="shared" si="13"/>
        <v>0</v>
      </c>
      <c r="BE32" s="105">
        <f t="shared" si="13"/>
        <v>0</v>
      </c>
      <c r="BF32" s="105">
        <f t="shared" si="13"/>
        <v>0</v>
      </c>
      <c r="BG32" s="105">
        <f t="shared" si="13"/>
        <v>0</v>
      </c>
      <c r="BH32" s="105">
        <f t="shared" si="13"/>
        <v>0</v>
      </c>
      <c r="BI32" s="105">
        <f t="shared" si="13"/>
        <v>0</v>
      </c>
      <c r="BJ32" s="105">
        <f t="shared" si="13"/>
        <v>0</v>
      </c>
      <c r="BK32" s="105">
        <f t="shared" si="13"/>
        <v>0</v>
      </c>
      <c r="BL32" s="105">
        <f t="shared" si="13"/>
        <v>0</v>
      </c>
      <c r="BM32" s="105">
        <f t="shared" si="13"/>
        <v>0</v>
      </c>
      <c r="BN32" s="105">
        <f t="shared" si="13"/>
        <v>0</v>
      </c>
      <c r="BO32" s="105">
        <f t="shared" si="13"/>
        <v>0</v>
      </c>
      <c r="BP32" s="105">
        <f t="shared" si="13"/>
        <v>0</v>
      </c>
      <c r="BQ32" s="105">
        <f t="shared" si="13"/>
        <v>0</v>
      </c>
      <c r="BR32" s="105">
        <f t="shared" si="13"/>
        <v>0</v>
      </c>
      <c r="BS32" s="105">
        <f t="shared" si="13"/>
        <v>0</v>
      </c>
      <c r="BT32" s="105">
        <f t="shared" si="13"/>
        <v>0</v>
      </c>
      <c r="BU32" s="105">
        <f t="shared" si="13"/>
        <v>0</v>
      </c>
      <c r="BV32" s="105">
        <f t="shared" si="13"/>
        <v>0</v>
      </c>
      <c r="BW32" s="105">
        <f t="shared" si="13"/>
        <v>0</v>
      </c>
      <c r="BX32" s="105">
        <f t="shared" si="13"/>
        <v>0</v>
      </c>
      <c r="BY32" s="105">
        <f t="shared" si="13"/>
        <v>0</v>
      </c>
      <c r="BZ32" s="105">
        <f t="shared" si="13"/>
        <v>0</v>
      </c>
      <c r="CA32" s="105">
        <f t="shared" si="13"/>
        <v>0</v>
      </c>
      <c r="CB32" s="105">
        <f>CB30-CB31+CA32</f>
        <v>0</v>
      </c>
      <c r="CC32" s="105">
        <f>CC30-CC31+CB32</f>
        <v>0</v>
      </c>
      <c r="CD32" s="105">
        <f t="shared" si="13"/>
        <v>0</v>
      </c>
      <c r="CE32" s="105">
        <f t="shared" si="13"/>
        <v>0</v>
      </c>
      <c r="CF32" s="105">
        <f t="shared" si="13"/>
        <v>0</v>
      </c>
      <c r="CG32" s="105">
        <f t="shared" si="13"/>
        <v>0</v>
      </c>
      <c r="CH32" s="105">
        <f t="shared" si="13"/>
        <v>0</v>
      </c>
      <c r="CI32" s="105">
        <f t="shared" si="13"/>
        <v>0</v>
      </c>
      <c r="CJ32" s="105">
        <f t="shared" si="13"/>
        <v>0</v>
      </c>
      <c r="CK32" s="105">
        <f t="shared" si="13"/>
        <v>0</v>
      </c>
    </row>
    <row r="33" spans="1:89" x14ac:dyDescent="0.2">
      <c r="A33" s="7" t="s">
        <v>3809</v>
      </c>
      <c r="B33" s="100" t="s">
        <v>3337</v>
      </c>
      <c r="C33" s="101">
        <v>0</v>
      </c>
      <c r="D33" s="101">
        <v>0</v>
      </c>
      <c r="E33" s="101">
        <v>0</v>
      </c>
      <c r="F33" s="101">
        <v>0</v>
      </c>
      <c r="G33" s="101">
        <v>0</v>
      </c>
      <c r="H33" s="101">
        <v>0</v>
      </c>
      <c r="I33" s="101">
        <v>0</v>
      </c>
      <c r="J33" s="101">
        <v>0</v>
      </c>
      <c r="K33" s="101">
        <v>0</v>
      </c>
      <c r="L33" s="101">
        <v>0</v>
      </c>
      <c r="M33" s="101">
        <v>0</v>
      </c>
      <c r="N33" s="101">
        <v>0</v>
      </c>
      <c r="O33" s="101">
        <v>0</v>
      </c>
      <c r="P33" s="101">
        <v>0</v>
      </c>
      <c r="Q33" s="101">
        <v>0</v>
      </c>
      <c r="R33" s="101">
        <v>0</v>
      </c>
      <c r="S33" s="101">
        <v>0</v>
      </c>
      <c r="T33" s="101">
        <v>0</v>
      </c>
      <c r="U33" s="101">
        <v>0</v>
      </c>
      <c r="V33" s="101">
        <v>0</v>
      </c>
      <c r="W33" s="101">
        <v>0</v>
      </c>
      <c r="X33" s="101">
        <v>0</v>
      </c>
      <c r="Y33" s="101">
        <v>0</v>
      </c>
      <c r="Z33" s="101">
        <v>0</v>
      </c>
      <c r="AA33" s="101">
        <v>0</v>
      </c>
      <c r="AB33" s="101">
        <v>0</v>
      </c>
      <c r="AC33" s="101">
        <v>0</v>
      </c>
      <c r="AD33" s="101">
        <v>0</v>
      </c>
      <c r="AE33" s="101">
        <v>0</v>
      </c>
      <c r="AF33" s="101">
        <v>0</v>
      </c>
      <c r="AG33" s="101">
        <v>0</v>
      </c>
      <c r="AH33" s="101">
        <v>0</v>
      </c>
      <c r="AI33" s="101">
        <v>0</v>
      </c>
      <c r="AJ33" s="101">
        <v>0</v>
      </c>
      <c r="AK33" s="101">
        <v>0</v>
      </c>
      <c r="AL33" s="101">
        <v>0</v>
      </c>
      <c r="AM33" s="101">
        <v>0</v>
      </c>
      <c r="AN33" s="101">
        <v>0</v>
      </c>
      <c r="AO33" s="101">
        <v>0</v>
      </c>
      <c r="AP33" s="101">
        <v>0</v>
      </c>
      <c r="AQ33" s="101">
        <v>0</v>
      </c>
      <c r="AR33" s="101">
        <v>0</v>
      </c>
      <c r="AS33" s="101">
        <v>0</v>
      </c>
      <c r="AT33" s="101">
        <v>0</v>
      </c>
      <c r="AU33" s="101">
        <v>0</v>
      </c>
      <c r="AV33" s="101">
        <v>0</v>
      </c>
      <c r="AW33" s="101">
        <v>0</v>
      </c>
      <c r="AX33" s="101">
        <v>0</v>
      </c>
      <c r="AY33" s="101">
        <v>0</v>
      </c>
      <c r="AZ33" s="101">
        <v>0</v>
      </c>
      <c r="BA33" s="101">
        <v>0</v>
      </c>
      <c r="BB33" s="101">
        <v>0</v>
      </c>
      <c r="BC33" s="101">
        <v>0</v>
      </c>
      <c r="BD33" s="101">
        <v>0</v>
      </c>
      <c r="BE33" s="101">
        <v>0</v>
      </c>
      <c r="BF33" s="101">
        <v>0</v>
      </c>
      <c r="BG33" s="101">
        <v>0</v>
      </c>
      <c r="BH33" s="101">
        <v>0</v>
      </c>
      <c r="BI33" s="101">
        <v>0</v>
      </c>
      <c r="BJ33" s="101">
        <v>0</v>
      </c>
      <c r="BK33" s="101">
        <v>0</v>
      </c>
      <c r="BL33" s="101">
        <v>0</v>
      </c>
      <c r="BM33" s="101">
        <v>0</v>
      </c>
      <c r="BN33" s="101">
        <v>0</v>
      </c>
      <c r="BO33" s="101">
        <v>0</v>
      </c>
      <c r="BP33" s="101">
        <v>0</v>
      </c>
      <c r="BQ33" s="101">
        <v>0</v>
      </c>
      <c r="BR33" s="101">
        <v>0</v>
      </c>
      <c r="BS33" s="101">
        <v>0</v>
      </c>
      <c r="BT33" s="101">
        <v>5</v>
      </c>
      <c r="BU33" s="101">
        <v>2</v>
      </c>
      <c r="BV33" s="101">
        <v>0</v>
      </c>
      <c r="BW33" s="101">
        <v>0</v>
      </c>
      <c r="BX33" s="101">
        <v>0</v>
      </c>
      <c r="BY33" s="101">
        <v>0</v>
      </c>
      <c r="BZ33" s="101">
        <v>0</v>
      </c>
      <c r="CA33" s="101">
        <v>0</v>
      </c>
      <c r="CB33" s="101">
        <v>0</v>
      </c>
      <c r="CC33" s="101">
        <v>0</v>
      </c>
      <c r="CD33" s="101">
        <v>0</v>
      </c>
      <c r="CE33" s="101">
        <v>0</v>
      </c>
      <c r="CF33" s="101">
        <v>0</v>
      </c>
      <c r="CG33" s="101">
        <v>0</v>
      </c>
      <c r="CH33" s="101">
        <v>0</v>
      </c>
      <c r="CI33" s="101">
        <v>0</v>
      </c>
      <c r="CJ33" s="101">
        <v>0</v>
      </c>
      <c r="CK33" s="101">
        <v>0</v>
      </c>
    </row>
    <row r="34" spans="1:89" x14ac:dyDescent="0.2">
      <c r="A34" s="14"/>
      <c r="B34" s="102" t="s">
        <v>3253</v>
      </c>
      <c r="C34" s="103">
        <v>0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3">
        <v>0</v>
      </c>
      <c r="N34" s="103">
        <v>0</v>
      </c>
      <c r="O34" s="103">
        <v>0</v>
      </c>
      <c r="P34" s="103">
        <v>0</v>
      </c>
      <c r="Q34" s="103">
        <v>0</v>
      </c>
      <c r="R34" s="103">
        <v>0</v>
      </c>
      <c r="S34" s="103">
        <v>0</v>
      </c>
      <c r="T34" s="103">
        <v>0</v>
      </c>
      <c r="U34" s="103">
        <v>0</v>
      </c>
      <c r="V34" s="103">
        <v>0</v>
      </c>
      <c r="W34" s="103">
        <v>0</v>
      </c>
      <c r="X34" s="103">
        <v>0</v>
      </c>
      <c r="Y34" s="103">
        <v>0</v>
      </c>
      <c r="Z34" s="103">
        <v>0</v>
      </c>
      <c r="AA34" s="103">
        <v>0</v>
      </c>
      <c r="AB34" s="103">
        <v>0</v>
      </c>
      <c r="AC34" s="103">
        <v>0</v>
      </c>
      <c r="AD34" s="103">
        <v>0</v>
      </c>
      <c r="AE34" s="103">
        <v>0</v>
      </c>
      <c r="AF34" s="103">
        <v>0</v>
      </c>
      <c r="AG34" s="103">
        <v>0</v>
      </c>
      <c r="AH34" s="103">
        <v>0</v>
      </c>
      <c r="AI34" s="103">
        <v>0</v>
      </c>
      <c r="AJ34" s="103">
        <v>0</v>
      </c>
      <c r="AK34" s="103">
        <v>0</v>
      </c>
      <c r="AL34" s="103">
        <v>0</v>
      </c>
      <c r="AM34" s="103">
        <v>0</v>
      </c>
      <c r="AN34" s="103">
        <v>0</v>
      </c>
      <c r="AO34" s="103">
        <v>0</v>
      </c>
      <c r="AP34" s="103">
        <v>0</v>
      </c>
      <c r="AQ34" s="103">
        <v>0</v>
      </c>
      <c r="AR34" s="103">
        <v>0</v>
      </c>
      <c r="AS34" s="103">
        <v>0</v>
      </c>
      <c r="AT34" s="103">
        <v>0</v>
      </c>
      <c r="AU34" s="103">
        <v>0</v>
      </c>
      <c r="AV34" s="103">
        <v>0</v>
      </c>
      <c r="AW34" s="103">
        <v>0</v>
      </c>
      <c r="AX34" s="103">
        <v>0</v>
      </c>
      <c r="AY34" s="103">
        <v>0</v>
      </c>
      <c r="AZ34" s="103">
        <v>0</v>
      </c>
      <c r="BA34" s="103">
        <v>0</v>
      </c>
      <c r="BB34" s="103">
        <v>0</v>
      </c>
      <c r="BC34" s="103">
        <v>0</v>
      </c>
      <c r="BD34" s="103">
        <v>0</v>
      </c>
      <c r="BE34" s="103">
        <v>0</v>
      </c>
      <c r="BF34" s="103">
        <v>0</v>
      </c>
      <c r="BG34" s="103">
        <v>0</v>
      </c>
      <c r="BH34" s="103">
        <v>0</v>
      </c>
      <c r="BI34" s="103">
        <v>0</v>
      </c>
      <c r="BJ34" s="103">
        <v>0</v>
      </c>
      <c r="BK34" s="103">
        <v>0</v>
      </c>
      <c r="BL34" s="103">
        <v>0</v>
      </c>
      <c r="BM34" s="103">
        <v>0</v>
      </c>
      <c r="BN34" s="103">
        <v>0</v>
      </c>
      <c r="BO34" s="103">
        <v>0</v>
      </c>
      <c r="BP34" s="103">
        <v>0</v>
      </c>
      <c r="BQ34" s="103">
        <v>0</v>
      </c>
      <c r="BR34" s="103">
        <v>0</v>
      </c>
      <c r="BS34" s="103">
        <v>0</v>
      </c>
      <c r="BT34" s="103">
        <v>0</v>
      </c>
      <c r="BU34" s="103">
        <v>0</v>
      </c>
      <c r="BV34" s="103">
        <v>0</v>
      </c>
      <c r="BW34" s="103">
        <v>0</v>
      </c>
      <c r="BX34" s="103">
        <v>0</v>
      </c>
      <c r="BY34" s="103">
        <v>0</v>
      </c>
      <c r="BZ34" s="103">
        <v>0</v>
      </c>
      <c r="CA34" s="103">
        <v>0</v>
      </c>
      <c r="CB34" s="103">
        <v>0</v>
      </c>
      <c r="CC34" s="103">
        <v>0</v>
      </c>
      <c r="CD34" s="103">
        <v>0</v>
      </c>
      <c r="CE34" s="103">
        <v>0</v>
      </c>
      <c r="CF34" s="103">
        <v>0</v>
      </c>
      <c r="CG34" s="103">
        <v>0</v>
      </c>
      <c r="CH34" s="103">
        <v>0</v>
      </c>
      <c r="CI34" s="103">
        <v>0</v>
      </c>
      <c r="CJ34" s="103">
        <v>0</v>
      </c>
      <c r="CK34" s="103">
        <v>0</v>
      </c>
    </row>
    <row r="35" spans="1:89" ht="12.75" thickBot="1" x14ac:dyDescent="0.25">
      <c r="A35" s="15"/>
      <c r="B35" s="104" t="s">
        <v>1959</v>
      </c>
      <c r="C35" s="105">
        <f>C33-C34</f>
        <v>0</v>
      </c>
      <c r="D35" s="105">
        <f t="shared" ref="D35:BY35" si="14">D33-D34+C35</f>
        <v>0</v>
      </c>
      <c r="E35" s="105">
        <f t="shared" si="14"/>
        <v>0</v>
      </c>
      <c r="F35" s="105">
        <f t="shared" si="14"/>
        <v>0</v>
      </c>
      <c r="G35" s="105">
        <f t="shared" si="14"/>
        <v>0</v>
      </c>
      <c r="H35" s="105">
        <f t="shared" si="14"/>
        <v>0</v>
      </c>
      <c r="I35" s="105">
        <f t="shared" si="14"/>
        <v>0</v>
      </c>
      <c r="J35" s="105">
        <f t="shared" si="14"/>
        <v>0</v>
      </c>
      <c r="K35" s="105">
        <f t="shared" si="14"/>
        <v>0</v>
      </c>
      <c r="L35" s="105">
        <f t="shared" si="14"/>
        <v>0</v>
      </c>
      <c r="M35" s="105">
        <f t="shared" si="14"/>
        <v>0</v>
      </c>
      <c r="N35" s="105">
        <f t="shared" si="14"/>
        <v>0</v>
      </c>
      <c r="O35" s="105">
        <f t="shared" si="14"/>
        <v>0</v>
      </c>
      <c r="P35" s="105">
        <f t="shared" si="14"/>
        <v>0</v>
      </c>
      <c r="Q35" s="105">
        <f t="shared" si="14"/>
        <v>0</v>
      </c>
      <c r="R35" s="105">
        <f t="shared" si="14"/>
        <v>0</v>
      </c>
      <c r="S35" s="105">
        <f t="shared" si="14"/>
        <v>0</v>
      </c>
      <c r="T35" s="105">
        <f t="shared" si="14"/>
        <v>0</v>
      </c>
      <c r="U35" s="105">
        <f t="shared" si="14"/>
        <v>0</v>
      </c>
      <c r="V35" s="105">
        <f t="shared" si="14"/>
        <v>0</v>
      </c>
      <c r="W35" s="105">
        <f t="shared" si="14"/>
        <v>0</v>
      </c>
      <c r="X35" s="105">
        <f t="shared" si="14"/>
        <v>0</v>
      </c>
      <c r="Y35" s="105">
        <f t="shared" si="14"/>
        <v>0</v>
      </c>
      <c r="Z35" s="105">
        <f t="shared" si="14"/>
        <v>0</v>
      </c>
      <c r="AA35" s="105">
        <f t="shared" si="14"/>
        <v>0</v>
      </c>
      <c r="AB35" s="105">
        <f t="shared" si="14"/>
        <v>0</v>
      </c>
      <c r="AC35" s="105">
        <f t="shared" si="14"/>
        <v>0</v>
      </c>
      <c r="AD35" s="105">
        <f t="shared" si="14"/>
        <v>0</v>
      </c>
      <c r="AE35" s="105">
        <f t="shared" si="14"/>
        <v>0</v>
      </c>
      <c r="AF35" s="105">
        <f t="shared" si="14"/>
        <v>0</v>
      </c>
      <c r="AG35" s="105">
        <f t="shared" si="14"/>
        <v>0</v>
      </c>
      <c r="AH35" s="105">
        <f t="shared" si="14"/>
        <v>0</v>
      </c>
      <c r="AI35" s="105">
        <f t="shared" si="14"/>
        <v>0</v>
      </c>
      <c r="AJ35" s="105">
        <f t="shared" si="14"/>
        <v>0</v>
      </c>
      <c r="AK35" s="105">
        <f t="shared" si="14"/>
        <v>0</v>
      </c>
      <c r="AL35" s="105">
        <f t="shared" si="14"/>
        <v>0</v>
      </c>
      <c r="AM35" s="105">
        <f t="shared" si="14"/>
        <v>0</v>
      </c>
      <c r="AN35" s="105">
        <f t="shared" si="14"/>
        <v>0</v>
      </c>
      <c r="AO35" s="105">
        <f t="shared" si="14"/>
        <v>0</v>
      </c>
      <c r="AP35" s="105">
        <f t="shared" si="14"/>
        <v>0</v>
      </c>
      <c r="AQ35" s="105">
        <f t="shared" si="14"/>
        <v>0</v>
      </c>
      <c r="AR35" s="105">
        <f t="shared" si="14"/>
        <v>0</v>
      </c>
      <c r="AS35" s="105">
        <f t="shared" si="14"/>
        <v>0</v>
      </c>
      <c r="AT35" s="105">
        <f t="shared" si="14"/>
        <v>0</v>
      </c>
      <c r="AU35" s="105">
        <f t="shared" si="14"/>
        <v>0</v>
      </c>
      <c r="AV35" s="105">
        <f t="shared" si="14"/>
        <v>0</v>
      </c>
      <c r="AW35" s="105">
        <f t="shared" si="14"/>
        <v>0</v>
      </c>
      <c r="AX35" s="105">
        <f t="shared" si="14"/>
        <v>0</v>
      </c>
      <c r="AY35" s="105">
        <f t="shared" si="14"/>
        <v>0</v>
      </c>
      <c r="AZ35" s="105">
        <f t="shared" si="14"/>
        <v>0</v>
      </c>
      <c r="BA35" s="105">
        <f t="shared" si="14"/>
        <v>0</v>
      </c>
      <c r="BB35" s="105">
        <f t="shared" si="14"/>
        <v>0</v>
      </c>
      <c r="BC35" s="105">
        <f t="shared" si="14"/>
        <v>0</v>
      </c>
      <c r="BD35" s="105">
        <f t="shared" si="14"/>
        <v>0</v>
      </c>
      <c r="BE35" s="105">
        <f t="shared" si="14"/>
        <v>0</v>
      </c>
      <c r="BF35" s="105">
        <f t="shared" si="14"/>
        <v>0</v>
      </c>
      <c r="BG35" s="105">
        <f t="shared" si="14"/>
        <v>0</v>
      </c>
      <c r="BH35" s="105">
        <f t="shared" si="14"/>
        <v>0</v>
      </c>
      <c r="BI35" s="105">
        <f t="shared" si="14"/>
        <v>0</v>
      </c>
      <c r="BJ35" s="105">
        <f t="shared" si="14"/>
        <v>0</v>
      </c>
      <c r="BK35" s="105">
        <f t="shared" si="14"/>
        <v>0</v>
      </c>
      <c r="BL35" s="105">
        <f t="shared" si="14"/>
        <v>0</v>
      </c>
      <c r="BM35" s="105">
        <f t="shared" si="14"/>
        <v>0</v>
      </c>
      <c r="BN35" s="105">
        <f t="shared" si="14"/>
        <v>0</v>
      </c>
      <c r="BO35" s="105">
        <f t="shared" si="14"/>
        <v>0</v>
      </c>
      <c r="BP35" s="105">
        <f t="shared" si="14"/>
        <v>0</v>
      </c>
      <c r="BQ35" s="105">
        <f t="shared" si="14"/>
        <v>0</v>
      </c>
      <c r="BR35" s="105">
        <f t="shared" si="14"/>
        <v>0</v>
      </c>
      <c r="BS35" s="105">
        <f t="shared" si="14"/>
        <v>0</v>
      </c>
      <c r="BT35" s="105">
        <f t="shared" si="14"/>
        <v>5</v>
      </c>
      <c r="BU35" s="105">
        <f t="shared" si="14"/>
        <v>7</v>
      </c>
      <c r="BV35" s="105">
        <f t="shared" si="14"/>
        <v>7</v>
      </c>
      <c r="BW35" s="105">
        <f t="shared" si="14"/>
        <v>7</v>
      </c>
      <c r="BX35" s="105">
        <f t="shared" si="14"/>
        <v>7</v>
      </c>
      <c r="BY35" s="105">
        <f t="shared" si="14"/>
        <v>7</v>
      </c>
      <c r="BZ35" s="105">
        <v>0</v>
      </c>
      <c r="CA35" s="105">
        <v>0</v>
      </c>
      <c r="CB35" s="105">
        <v>0</v>
      </c>
      <c r="CC35" s="105">
        <v>0</v>
      </c>
      <c r="CD35" s="105">
        <v>0</v>
      </c>
      <c r="CE35" s="105">
        <v>0</v>
      </c>
      <c r="CF35" s="105">
        <v>0</v>
      </c>
      <c r="CG35" s="105">
        <v>0</v>
      </c>
      <c r="CH35" s="105">
        <v>0</v>
      </c>
      <c r="CI35" s="105">
        <v>0</v>
      </c>
      <c r="CJ35" s="105">
        <v>0</v>
      </c>
      <c r="CK35" s="105">
        <v>0</v>
      </c>
    </row>
    <row r="36" spans="1:89" x14ac:dyDescent="0.2">
      <c r="A36" s="7" t="s">
        <v>3808</v>
      </c>
      <c r="B36" s="100" t="s">
        <v>3337</v>
      </c>
      <c r="C36" s="101">
        <v>0</v>
      </c>
      <c r="D36" s="101">
        <v>0</v>
      </c>
      <c r="E36" s="101">
        <v>0</v>
      </c>
      <c r="F36" s="101">
        <v>0</v>
      </c>
      <c r="G36" s="101">
        <v>0</v>
      </c>
      <c r="H36" s="101">
        <v>0</v>
      </c>
      <c r="I36" s="101">
        <v>0</v>
      </c>
      <c r="J36" s="101">
        <v>0</v>
      </c>
      <c r="K36" s="101">
        <v>0</v>
      </c>
      <c r="L36" s="101">
        <v>0</v>
      </c>
      <c r="M36" s="101">
        <v>0</v>
      </c>
      <c r="N36" s="101">
        <v>0</v>
      </c>
      <c r="O36" s="101">
        <v>0</v>
      </c>
      <c r="P36" s="101">
        <v>0</v>
      </c>
      <c r="Q36" s="101">
        <v>0</v>
      </c>
      <c r="R36" s="101">
        <v>0</v>
      </c>
      <c r="S36" s="101">
        <v>0</v>
      </c>
      <c r="T36" s="101">
        <v>0</v>
      </c>
      <c r="U36" s="101">
        <v>0</v>
      </c>
      <c r="V36" s="101">
        <v>0</v>
      </c>
      <c r="W36" s="101">
        <v>0</v>
      </c>
      <c r="X36" s="101">
        <v>0</v>
      </c>
      <c r="Y36" s="101">
        <v>0</v>
      </c>
      <c r="Z36" s="101">
        <v>0</v>
      </c>
      <c r="AA36" s="101">
        <v>0</v>
      </c>
      <c r="AB36" s="101">
        <v>0</v>
      </c>
      <c r="AC36" s="101">
        <v>0</v>
      </c>
      <c r="AD36" s="101">
        <v>0</v>
      </c>
      <c r="AE36" s="101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0</v>
      </c>
      <c r="AM36" s="101">
        <v>0</v>
      </c>
      <c r="AN36" s="101">
        <v>0</v>
      </c>
      <c r="AO36" s="101">
        <v>0</v>
      </c>
      <c r="AP36" s="101">
        <v>0</v>
      </c>
      <c r="AQ36" s="101">
        <v>0</v>
      </c>
      <c r="AR36" s="101">
        <v>0</v>
      </c>
      <c r="AS36" s="101">
        <v>0</v>
      </c>
      <c r="AT36" s="101">
        <v>0</v>
      </c>
      <c r="AU36" s="101">
        <v>0</v>
      </c>
      <c r="AV36" s="101">
        <v>0</v>
      </c>
      <c r="AW36" s="101">
        <v>0</v>
      </c>
      <c r="AX36" s="101">
        <v>0</v>
      </c>
      <c r="AY36" s="101">
        <v>0</v>
      </c>
      <c r="AZ36" s="101">
        <v>0</v>
      </c>
      <c r="BA36" s="101">
        <v>0</v>
      </c>
      <c r="BB36" s="101">
        <v>0</v>
      </c>
      <c r="BC36" s="101">
        <v>0</v>
      </c>
      <c r="BD36" s="101">
        <v>0</v>
      </c>
      <c r="BE36" s="101">
        <v>0</v>
      </c>
      <c r="BF36" s="101">
        <v>0</v>
      </c>
      <c r="BG36" s="101">
        <v>0</v>
      </c>
      <c r="BH36" s="101">
        <v>0</v>
      </c>
      <c r="BI36" s="101">
        <v>0</v>
      </c>
      <c r="BJ36" s="101">
        <v>0</v>
      </c>
      <c r="BK36" s="101">
        <v>0</v>
      </c>
      <c r="BL36" s="101">
        <v>0</v>
      </c>
      <c r="BM36" s="101">
        <v>0</v>
      </c>
      <c r="BN36" s="101">
        <v>0</v>
      </c>
      <c r="BO36" s="101">
        <v>0</v>
      </c>
      <c r="BP36" s="101">
        <v>0</v>
      </c>
      <c r="BQ36" s="101">
        <v>0</v>
      </c>
      <c r="BR36" s="101">
        <v>0</v>
      </c>
      <c r="BS36" s="101">
        <v>0</v>
      </c>
      <c r="BT36" s="101">
        <v>0</v>
      </c>
      <c r="BU36" s="101">
        <v>0</v>
      </c>
      <c r="BV36" s="101">
        <v>0</v>
      </c>
      <c r="BW36" s="101">
        <v>0</v>
      </c>
      <c r="BX36" s="101">
        <v>0</v>
      </c>
      <c r="BY36" s="101">
        <v>0</v>
      </c>
      <c r="BZ36" s="101">
        <v>0</v>
      </c>
      <c r="CA36" s="101">
        <v>0</v>
      </c>
      <c r="CB36" s="101">
        <v>0</v>
      </c>
      <c r="CC36" s="101">
        <v>0</v>
      </c>
      <c r="CD36" s="101">
        <v>0</v>
      </c>
      <c r="CE36" s="101">
        <v>0</v>
      </c>
      <c r="CF36" s="101">
        <v>0</v>
      </c>
      <c r="CG36" s="101">
        <v>0</v>
      </c>
      <c r="CH36" s="101">
        <v>0</v>
      </c>
      <c r="CI36" s="101">
        <v>0</v>
      </c>
      <c r="CJ36" s="101">
        <v>0</v>
      </c>
      <c r="CK36" s="101">
        <v>0</v>
      </c>
    </row>
    <row r="37" spans="1:89" x14ac:dyDescent="0.2">
      <c r="A37" s="14"/>
      <c r="B37" s="102" t="s">
        <v>3253</v>
      </c>
      <c r="C37" s="103">
        <v>0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  <c r="J37" s="103">
        <v>0</v>
      </c>
      <c r="K37" s="103">
        <v>0</v>
      </c>
      <c r="L37" s="103">
        <v>0</v>
      </c>
      <c r="M37" s="103">
        <v>0</v>
      </c>
      <c r="N37" s="103">
        <v>0</v>
      </c>
      <c r="O37" s="103">
        <v>0</v>
      </c>
      <c r="P37" s="103">
        <v>0</v>
      </c>
      <c r="Q37" s="103">
        <v>0</v>
      </c>
      <c r="R37" s="103">
        <v>0</v>
      </c>
      <c r="S37" s="103">
        <v>0</v>
      </c>
      <c r="T37" s="103">
        <v>0</v>
      </c>
      <c r="U37" s="103">
        <v>0</v>
      </c>
      <c r="V37" s="103">
        <v>0</v>
      </c>
      <c r="W37" s="103">
        <v>0</v>
      </c>
      <c r="X37" s="103">
        <v>0</v>
      </c>
      <c r="Y37" s="103">
        <v>0</v>
      </c>
      <c r="Z37" s="103">
        <v>0</v>
      </c>
      <c r="AA37" s="103">
        <v>0</v>
      </c>
      <c r="AB37" s="103">
        <v>0</v>
      </c>
      <c r="AC37" s="103">
        <v>0</v>
      </c>
      <c r="AD37" s="103">
        <v>0</v>
      </c>
      <c r="AE37" s="103">
        <v>0</v>
      </c>
      <c r="AF37" s="103">
        <v>0</v>
      </c>
      <c r="AG37" s="103">
        <v>0</v>
      </c>
      <c r="AH37" s="103">
        <v>0</v>
      </c>
      <c r="AI37" s="103">
        <v>0</v>
      </c>
      <c r="AJ37" s="103">
        <v>0</v>
      </c>
      <c r="AK37" s="103">
        <v>0</v>
      </c>
      <c r="AL37" s="103">
        <v>0</v>
      </c>
      <c r="AM37" s="103">
        <v>0</v>
      </c>
      <c r="AN37" s="103">
        <v>0</v>
      </c>
      <c r="AO37" s="103">
        <v>0</v>
      </c>
      <c r="AP37" s="103">
        <v>0</v>
      </c>
      <c r="AQ37" s="103">
        <v>0</v>
      </c>
      <c r="AR37" s="103">
        <v>0</v>
      </c>
      <c r="AS37" s="103">
        <v>0</v>
      </c>
      <c r="AT37" s="103">
        <v>0</v>
      </c>
      <c r="AU37" s="103">
        <v>0</v>
      </c>
      <c r="AV37" s="103">
        <v>0</v>
      </c>
      <c r="AW37" s="103">
        <v>0</v>
      </c>
      <c r="AX37" s="103">
        <v>0</v>
      </c>
      <c r="AY37" s="103">
        <v>0</v>
      </c>
      <c r="AZ37" s="103">
        <v>0</v>
      </c>
      <c r="BA37" s="103">
        <v>0</v>
      </c>
      <c r="BB37" s="103">
        <v>0</v>
      </c>
      <c r="BC37" s="103">
        <v>0</v>
      </c>
      <c r="BD37" s="103">
        <v>0</v>
      </c>
      <c r="BE37" s="103">
        <v>0</v>
      </c>
      <c r="BF37" s="103">
        <v>0</v>
      </c>
      <c r="BG37" s="103">
        <v>0</v>
      </c>
      <c r="BH37" s="103">
        <v>0</v>
      </c>
      <c r="BI37" s="103">
        <v>0</v>
      </c>
      <c r="BJ37" s="103">
        <v>0</v>
      </c>
      <c r="BK37" s="103">
        <v>0</v>
      </c>
      <c r="BL37" s="103">
        <v>0</v>
      </c>
      <c r="BM37" s="103">
        <v>0</v>
      </c>
      <c r="BN37" s="103">
        <v>0</v>
      </c>
      <c r="BO37" s="103">
        <v>0</v>
      </c>
      <c r="BP37" s="103">
        <v>0</v>
      </c>
      <c r="BQ37" s="103">
        <v>0</v>
      </c>
      <c r="BR37" s="103">
        <v>0</v>
      </c>
      <c r="BS37" s="103">
        <v>0</v>
      </c>
      <c r="BT37" s="103">
        <v>0</v>
      </c>
      <c r="BU37" s="103">
        <v>0</v>
      </c>
      <c r="BV37" s="103">
        <v>0</v>
      </c>
      <c r="BW37" s="103">
        <v>0</v>
      </c>
      <c r="BX37" s="103">
        <v>0</v>
      </c>
      <c r="BY37" s="103">
        <v>0</v>
      </c>
      <c r="BZ37" s="103">
        <v>0</v>
      </c>
      <c r="CA37" s="103">
        <v>0</v>
      </c>
      <c r="CB37" s="103">
        <v>0</v>
      </c>
      <c r="CC37" s="103">
        <v>0</v>
      </c>
      <c r="CD37" s="103">
        <v>0</v>
      </c>
      <c r="CE37" s="103">
        <v>0</v>
      </c>
      <c r="CF37" s="103">
        <v>0</v>
      </c>
      <c r="CG37" s="103">
        <v>0</v>
      </c>
      <c r="CH37" s="103">
        <v>0</v>
      </c>
      <c r="CI37" s="103">
        <v>0</v>
      </c>
      <c r="CJ37" s="103">
        <v>0</v>
      </c>
      <c r="CK37" s="103">
        <v>0</v>
      </c>
    </row>
    <row r="38" spans="1:89" ht="12.75" thickBot="1" x14ac:dyDescent="0.25">
      <c r="A38" s="15"/>
      <c r="B38" s="104" t="s">
        <v>1959</v>
      </c>
      <c r="C38" s="105">
        <f>C36-C37</f>
        <v>0</v>
      </c>
      <c r="D38" s="105">
        <f t="shared" ref="D38:CK38" si="15">D36-D37+C38</f>
        <v>0</v>
      </c>
      <c r="E38" s="105">
        <f t="shared" si="15"/>
        <v>0</v>
      </c>
      <c r="F38" s="105">
        <f t="shared" si="15"/>
        <v>0</v>
      </c>
      <c r="G38" s="105">
        <f t="shared" si="15"/>
        <v>0</v>
      </c>
      <c r="H38" s="105">
        <f t="shared" si="15"/>
        <v>0</v>
      </c>
      <c r="I38" s="105">
        <f t="shared" si="15"/>
        <v>0</v>
      </c>
      <c r="J38" s="105">
        <f t="shared" si="15"/>
        <v>0</v>
      </c>
      <c r="K38" s="105">
        <f t="shared" si="15"/>
        <v>0</v>
      </c>
      <c r="L38" s="105">
        <f t="shared" si="15"/>
        <v>0</v>
      </c>
      <c r="M38" s="105">
        <f t="shared" si="15"/>
        <v>0</v>
      </c>
      <c r="N38" s="105">
        <f t="shared" si="15"/>
        <v>0</v>
      </c>
      <c r="O38" s="105">
        <f t="shared" si="15"/>
        <v>0</v>
      </c>
      <c r="P38" s="105">
        <f t="shared" si="15"/>
        <v>0</v>
      </c>
      <c r="Q38" s="105">
        <f t="shared" si="15"/>
        <v>0</v>
      </c>
      <c r="R38" s="105">
        <f t="shared" si="15"/>
        <v>0</v>
      </c>
      <c r="S38" s="105">
        <f t="shared" si="15"/>
        <v>0</v>
      </c>
      <c r="T38" s="105">
        <f t="shared" si="15"/>
        <v>0</v>
      </c>
      <c r="U38" s="105">
        <f t="shared" si="15"/>
        <v>0</v>
      </c>
      <c r="V38" s="105">
        <f t="shared" si="15"/>
        <v>0</v>
      </c>
      <c r="W38" s="105">
        <f t="shared" si="15"/>
        <v>0</v>
      </c>
      <c r="X38" s="105">
        <f t="shared" si="15"/>
        <v>0</v>
      </c>
      <c r="Y38" s="105">
        <f t="shared" si="15"/>
        <v>0</v>
      </c>
      <c r="Z38" s="105">
        <f t="shared" si="15"/>
        <v>0</v>
      </c>
      <c r="AA38" s="105">
        <f t="shared" si="15"/>
        <v>0</v>
      </c>
      <c r="AB38" s="105">
        <f t="shared" si="15"/>
        <v>0</v>
      </c>
      <c r="AC38" s="105">
        <f t="shared" si="15"/>
        <v>0</v>
      </c>
      <c r="AD38" s="105">
        <f t="shared" si="15"/>
        <v>0</v>
      </c>
      <c r="AE38" s="105">
        <f t="shared" si="15"/>
        <v>0</v>
      </c>
      <c r="AF38" s="105">
        <f t="shared" si="15"/>
        <v>0</v>
      </c>
      <c r="AG38" s="105">
        <f t="shared" si="15"/>
        <v>0</v>
      </c>
      <c r="AH38" s="105">
        <f t="shared" si="15"/>
        <v>0</v>
      </c>
      <c r="AI38" s="105">
        <f t="shared" si="15"/>
        <v>0</v>
      </c>
      <c r="AJ38" s="105">
        <f t="shared" si="15"/>
        <v>0</v>
      </c>
      <c r="AK38" s="105">
        <f t="shared" si="15"/>
        <v>0</v>
      </c>
      <c r="AL38" s="105">
        <f t="shared" si="15"/>
        <v>0</v>
      </c>
      <c r="AM38" s="105">
        <f t="shared" si="15"/>
        <v>0</v>
      </c>
      <c r="AN38" s="105">
        <f t="shared" si="15"/>
        <v>0</v>
      </c>
      <c r="AO38" s="105">
        <f t="shared" si="15"/>
        <v>0</v>
      </c>
      <c r="AP38" s="105">
        <f t="shared" si="15"/>
        <v>0</v>
      </c>
      <c r="AQ38" s="105">
        <f t="shared" si="15"/>
        <v>0</v>
      </c>
      <c r="AR38" s="105">
        <f t="shared" si="15"/>
        <v>0</v>
      </c>
      <c r="AS38" s="105">
        <f t="shared" si="15"/>
        <v>0</v>
      </c>
      <c r="AT38" s="105">
        <f t="shared" si="15"/>
        <v>0</v>
      </c>
      <c r="AU38" s="105">
        <f t="shared" si="15"/>
        <v>0</v>
      </c>
      <c r="AV38" s="105">
        <f t="shared" si="15"/>
        <v>0</v>
      </c>
      <c r="AW38" s="105">
        <f t="shared" si="15"/>
        <v>0</v>
      </c>
      <c r="AX38" s="105">
        <f t="shared" si="15"/>
        <v>0</v>
      </c>
      <c r="AY38" s="105">
        <f t="shared" si="15"/>
        <v>0</v>
      </c>
      <c r="AZ38" s="105">
        <f t="shared" si="15"/>
        <v>0</v>
      </c>
      <c r="BA38" s="105">
        <f t="shared" si="15"/>
        <v>0</v>
      </c>
      <c r="BB38" s="105">
        <f t="shared" si="15"/>
        <v>0</v>
      </c>
      <c r="BC38" s="105">
        <f t="shared" si="15"/>
        <v>0</v>
      </c>
      <c r="BD38" s="105">
        <f t="shared" si="15"/>
        <v>0</v>
      </c>
      <c r="BE38" s="105">
        <f t="shared" si="15"/>
        <v>0</v>
      </c>
      <c r="BF38" s="105">
        <f t="shared" si="15"/>
        <v>0</v>
      </c>
      <c r="BG38" s="105">
        <f t="shared" si="15"/>
        <v>0</v>
      </c>
      <c r="BH38" s="105">
        <f t="shared" si="15"/>
        <v>0</v>
      </c>
      <c r="BI38" s="105">
        <f t="shared" si="15"/>
        <v>0</v>
      </c>
      <c r="BJ38" s="105">
        <f t="shared" si="15"/>
        <v>0</v>
      </c>
      <c r="BK38" s="105">
        <f t="shared" si="15"/>
        <v>0</v>
      </c>
      <c r="BL38" s="105">
        <f t="shared" si="15"/>
        <v>0</v>
      </c>
      <c r="BM38" s="105">
        <f t="shared" si="15"/>
        <v>0</v>
      </c>
      <c r="BN38" s="105">
        <f t="shared" si="15"/>
        <v>0</v>
      </c>
      <c r="BO38" s="105">
        <f t="shared" si="15"/>
        <v>0</v>
      </c>
      <c r="BP38" s="105">
        <f t="shared" si="15"/>
        <v>0</v>
      </c>
      <c r="BQ38" s="105">
        <f t="shared" si="15"/>
        <v>0</v>
      </c>
      <c r="BR38" s="105">
        <f t="shared" si="15"/>
        <v>0</v>
      </c>
      <c r="BS38" s="105">
        <f t="shared" si="15"/>
        <v>0</v>
      </c>
      <c r="BT38" s="105">
        <f t="shared" si="15"/>
        <v>0</v>
      </c>
      <c r="BU38" s="105">
        <f t="shared" si="15"/>
        <v>0</v>
      </c>
      <c r="BV38" s="105">
        <f t="shared" si="15"/>
        <v>0</v>
      </c>
      <c r="BW38" s="105">
        <f t="shared" si="15"/>
        <v>0</v>
      </c>
      <c r="BX38" s="105">
        <f t="shared" si="15"/>
        <v>0</v>
      </c>
      <c r="BY38" s="105">
        <f t="shared" si="15"/>
        <v>0</v>
      </c>
      <c r="BZ38" s="105">
        <f t="shared" si="15"/>
        <v>0</v>
      </c>
      <c r="CA38" s="105">
        <f t="shared" si="15"/>
        <v>0</v>
      </c>
      <c r="CB38" s="105">
        <f>CB36-CB37+CA38</f>
        <v>0</v>
      </c>
      <c r="CC38" s="105">
        <f>CC36-CC37+CB38</f>
        <v>0</v>
      </c>
      <c r="CD38" s="105">
        <f t="shared" si="15"/>
        <v>0</v>
      </c>
      <c r="CE38" s="105">
        <f t="shared" si="15"/>
        <v>0</v>
      </c>
      <c r="CF38" s="105">
        <f t="shared" si="15"/>
        <v>0</v>
      </c>
      <c r="CG38" s="105">
        <f t="shared" si="15"/>
        <v>0</v>
      </c>
      <c r="CH38" s="105">
        <f t="shared" si="15"/>
        <v>0</v>
      </c>
      <c r="CI38" s="105">
        <f t="shared" si="15"/>
        <v>0</v>
      </c>
      <c r="CJ38" s="105">
        <f t="shared" si="15"/>
        <v>0</v>
      </c>
      <c r="CK38" s="105">
        <f t="shared" si="15"/>
        <v>0</v>
      </c>
    </row>
    <row r="39" spans="1:89" ht="12.75" thickBot="1" x14ac:dyDescent="0.25">
      <c r="C39" s="3">
        <v>38718</v>
      </c>
      <c r="D39" s="4">
        <v>38749</v>
      </c>
      <c r="E39" s="3">
        <v>38777</v>
      </c>
      <c r="F39" s="4">
        <v>38808</v>
      </c>
      <c r="G39" s="3">
        <v>38838</v>
      </c>
      <c r="H39" s="5">
        <v>38869</v>
      </c>
      <c r="I39" s="3">
        <v>38899</v>
      </c>
      <c r="J39" s="5">
        <v>38930</v>
      </c>
      <c r="K39" s="3">
        <v>38961</v>
      </c>
      <c r="L39" s="5">
        <v>38991</v>
      </c>
      <c r="M39" s="3">
        <v>39022</v>
      </c>
      <c r="N39" s="6">
        <v>39052</v>
      </c>
      <c r="O39" s="3">
        <v>39083</v>
      </c>
      <c r="P39" s="4">
        <v>39114</v>
      </c>
      <c r="Q39" s="4">
        <v>39142</v>
      </c>
      <c r="R39" s="3">
        <v>39173</v>
      </c>
      <c r="S39" s="3">
        <v>39203</v>
      </c>
      <c r="T39" s="3">
        <v>39234</v>
      </c>
      <c r="U39" s="3">
        <v>39264</v>
      </c>
      <c r="V39" s="3">
        <v>39295</v>
      </c>
      <c r="W39" s="3">
        <v>39326</v>
      </c>
      <c r="X39" s="3">
        <v>39356</v>
      </c>
      <c r="Y39" s="3">
        <v>39387</v>
      </c>
      <c r="Z39" s="3">
        <v>39417</v>
      </c>
      <c r="AA39" s="3">
        <v>39448</v>
      </c>
      <c r="AB39" s="3">
        <v>39479</v>
      </c>
      <c r="AC39" s="3">
        <v>39508</v>
      </c>
      <c r="AD39" s="3">
        <v>39539</v>
      </c>
      <c r="AE39" s="3">
        <v>39569</v>
      </c>
      <c r="AF39" s="3">
        <v>39600</v>
      </c>
      <c r="AG39" s="3">
        <v>39630</v>
      </c>
      <c r="AH39" s="3">
        <v>39661</v>
      </c>
      <c r="AI39" s="3">
        <v>39692</v>
      </c>
      <c r="AJ39" s="3">
        <v>39722</v>
      </c>
      <c r="AK39" s="3">
        <v>39753</v>
      </c>
      <c r="AL39" s="3">
        <v>39783</v>
      </c>
      <c r="AM39" s="3">
        <v>39814</v>
      </c>
      <c r="AN39" s="3">
        <v>39845</v>
      </c>
      <c r="AO39" s="3">
        <v>39873</v>
      </c>
      <c r="AP39" s="3">
        <v>39904</v>
      </c>
      <c r="AQ39" s="3">
        <v>39934</v>
      </c>
      <c r="AR39" s="3">
        <v>39965</v>
      </c>
      <c r="AS39" s="3">
        <v>39995</v>
      </c>
      <c r="AT39" s="3">
        <v>40026</v>
      </c>
      <c r="AU39" s="3">
        <v>40057</v>
      </c>
      <c r="AV39" s="3">
        <v>40087</v>
      </c>
      <c r="AW39" s="3">
        <v>40118</v>
      </c>
      <c r="AX39" s="3">
        <v>40148</v>
      </c>
      <c r="AY39" s="3">
        <v>40179</v>
      </c>
      <c r="AZ39" s="3">
        <v>40210</v>
      </c>
      <c r="BA39" s="3">
        <v>40238</v>
      </c>
      <c r="BB39" s="3">
        <v>40269</v>
      </c>
      <c r="BC39" s="3">
        <v>40299</v>
      </c>
      <c r="BD39" s="3">
        <v>40330</v>
      </c>
      <c r="BE39" s="3">
        <v>40360</v>
      </c>
      <c r="BF39" s="3">
        <v>40391</v>
      </c>
      <c r="BG39" s="3">
        <v>40422</v>
      </c>
      <c r="BH39" s="3">
        <v>40452</v>
      </c>
      <c r="BI39" s="3">
        <v>40483</v>
      </c>
      <c r="BJ39" s="3">
        <v>40513</v>
      </c>
      <c r="BK39" s="3">
        <v>40544</v>
      </c>
      <c r="BL39" s="3">
        <v>40575</v>
      </c>
      <c r="BM39" s="3">
        <v>40603</v>
      </c>
      <c r="BN39" s="3">
        <v>40634</v>
      </c>
      <c r="BO39" s="3">
        <v>40664</v>
      </c>
      <c r="BP39" s="3">
        <v>40695</v>
      </c>
      <c r="BQ39" s="3">
        <v>40725</v>
      </c>
      <c r="BR39" s="3">
        <v>40756</v>
      </c>
      <c r="BS39" s="3">
        <v>40787</v>
      </c>
      <c r="BT39" s="3">
        <v>40817</v>
      </c>
      <c r="BU39" s="3">
        <v>40848</v>
      </c>
      <c r="BV39" s="3">
        <v>40878</v>
      </c>
      <c r="BW39" s="3">
        <v>40909</v>
      </c>
      <c r="BX39" s="3">
        <v>40940</v>
      </c>
      <c r="BY39" s="3">
        <v>40969</v>
      </c>
      <c r="BZ39" s="3">
        <v>41000</v>
      </c>
      <c r="CA39" s="3">
        <v>41030</v>
      </c>
      <c r="CB39" s="3">
        <v>41030</v>
      </c>
      <c r="CC39" s="3">
        <v>41061</v>
      </c>
      <c r="CD39" s="3">
        <v>41091</v>
      </c>
      <c r="CE39" s="3">
        <v>41122</v>
      </c>
      <c r="CF39" s="3">
        <v>41153</v>
      </c>
      <c r="CG39" s="3">
        <v>41183</v>
      </c>
      <c r="CH39" s="3">
        <v>41214</v>
      </c>
      <c r="CI39" s="3">
        <v>41244</v>
      </c>
      <c r="CJ39" s="3">
        <v>41275</v>
      </c>
      <c r="CK39" s="3">
        <v>41306</v>
      </c>
    </row>
    <row r="40" spans="1:89" x14ac:dyDescent="0.2">
      <c r="B40" s="10" t="s">
        <v>3767</v>
      </c>
      <c r="C40" s="11">
        <f>C3+C6+C9+C12+C15+C18+C21+C24+C27+C30+C33+C36</f>
        <v>9</v>
      </c>
      <c r="D40" s="11">
        <f t="shared" ref="D40:AL41" si="16">D3+D6+D9+D12+D15+D18+D21+D24+D27+D30+D33+D36</f>
        <v>21</v>
      </c>
      <c r="E40" s="11">
        <f t="shared" si="16"/>
        <v>27</v>
      </c>
      <c r="F40" s="11">
        <f t="shared" si="16"/>
        <v>3</v>
      </c>
      <c r="G40" s="11">
        <f t="shared" si="16"/>
        <v>26</v>
      </c>
      <c r="H40" s="11">
        <f t="shared" si="16"/>
        <v>20</v>
      </c>
      <c r="I40" s="11">
        <f t="shared" si="16"/>
        <v>16</v>
      </c>
      <c r="J40" s="11">
        <f t="shared" si="16"/>
        <v>16</v>
      </c>
      <c r="K40" s="11">
        <f t="shared" si="16"/>
        <v>15</v>
      </c>
      <c r="L40" s="11">
        <f t="shared" si="16"/>
        <v>38</v>
      </c>
      <c r="M40" s="11">
        <f t="shared" si="16"/>
        <v>37</v>
      </c>
      <c r="N40" s="11">
        <f t="shared" si="16"/>
        <v>20</v>
      </c>
      <c r="O40" s="11">
        <f t="shared" si="16"/>
        <v>60</v>
      </c>
      <c r="P40" s="11">
        <f t="shared" si="16"/>
        <v>106</v>
      </c>
      <c r="Q40" s="11">
        <f t="shared" si="16"/>
        <v>51</v>
      </c>
      <c r="R40" s="11">
        <f t="shared" si="16"/>
        <v>60</v>
      </c>
      <c r="S40" s="11">
        <f t="shared" si="16"/>
        <v>49</v>
      </c>
      <c r="T40" s="11">
        <f t="shared" si="16"/>
        <v>56</v>
      </c>
      <c r="U40" s="11">
        <f t="shared" si="16"/>
        <v>83</v>
      </c>
      <c r="V40" s="11">
        <f t="shared" si="16"/>
        <v>31</v>
      </c>
      <c r="W40" s="11">
        <f t="shared" si="16"/>
        <v>66</v>
      </c>
      <c r="X40" s="11">
        <f t="shared" si="16"/>
        <v>64</v>
      </c>
      <c r="Y40" s="11">
        <f t="shared" si="16"/>
        <v>51</v>
      </c>
      <c r="Z40" s="11">
        <f t="shared" si="16"/>
        <v>50</v>
      </c>
      <c r="AA40" s="11">
        <f t="shared" si="16"/>
        <v>51</v>
      </c>
      <c r="AB40" s="11">
        <f t="shared" si="16"/>
        <v>65</v>
      </c>
      <c r="AC40" s="11">
        <f t="shared" si="16"/>
        <v>58</v>
      </c>
      <c r="AD40" s="11">
        <f t="shared" si="16"/>
        <v>59</v>
      </c>
      <c r="AE40" s="11">
        <f t="shared" si="16"/>
        <v>41</v>
      </c>
      <c r="AF40" s="11">
        <f t="shared" si="16"/>
        <v>49</v>
      </c>
      <c r="AG40" s="11">
        <f t="shared" si="16"/>
        <v>53</v>
      </c>
      <c r="AH40" s="11">
        <f t="shared" si="16"/>
        <v>16</v>
      </c>
      <c r="AI40" s="11">
        <f t="shared" si="16"/>
        <v>38</v>
      </c>
      <c r="AJ40" s="11">
        <f t="shared" si="16"/>
        <v>32</v>
      </c>
      <c r="AK40" s="11">
        <f t="shared" si="16"/>
        <v>39</v>
      </c>
      <c r="AL40" s="11">
        <f t="shared" si="16"/>
        <v>34</v>
      </c>
      <c r="AM40" s="11">
        <f t="shared" ref="AM40:AO41" si="17">AM3+AM6+AM9+AM12+AM15+AM18+AM21+AM24+AM27+AM30+AM33+AM36</f>
        <v>44</v>
      </c>
      <c r="AN40" s="11">
        <f t="shared" si="17"/>
        <v>48</v>
      </c>
      <c r="AO40" s="11">
        <f t="shared" si="17"/>
        <v>56</v>
      </c>
      <c r="AP40" s="11">
        <f t="shared" ref="AP40:AR41" si="18">AP3+AP6+AP9+AP12+AP15+AP18+AP21+AP24+AP27+AP30+AP33+AP36</f>
        <v>61</v>
      </c>
      <c r="AQ40" s="11">
        <f t="shared" si="18"/>
        <v>44</v>
      </c>
      <c r="AR40" s="11">
        <f t="shared" si="18"/>
        <v>68</v>
      </c>
      <c r="AS40" s="11">
        <f t="shared" ref="AS40:AU41" si="19">AS3+AS6+AS9+AS12+AS15+AS18+AS21+AS24+AS27+AS30+AS33+AS36</f>
        <v>43</v>
      </c>
      <c r="AT40" s="11">
        <f t="shared" si="19"/>
        <v>27</v>
      </c>
      <c r="AU40" s="11">
        <f t="shared" si="19"/>
        <v>49</v>
      </c>
      <c r="AV40" s="11">
        <f t="shared" ref="AV40:AX41" si="20">AV3+AV6+AV9+AV12+AV15+AV18+AV21+AV24+AV27+AV30+AV33+AV36</f>
        <v>41</v>
      </c>
      <c r="AW40" s="11">
        <f t="shared" si="20"/>
        <v>60</v>
      </c>
      <c r="AX40" s="11">
        <f t="shared" si="20"/>
        <v>30</v>
      </c>
      <c r="AY40" s="11">
        <f t="shared" ref="AY40:BA41" si="21">AY3+AY6+AY9+AY12+AY15+AY18+AY21+AY24+AY27+AY30+AY33+AY36</f>
        <v>26</v>
      </c>
      <c r="AZ40" s="11">
        <f t="shared" si="21"/>
        <v>14</v>
      </c>
      <c r="BA40" s="11">
        <f t="shared" si="21"/>
        <v>41</v>
      </c>
      <c r="BB40" s="11">
        <f t="shared" ref="BB40:BD41" si="22">BB3+BB6+BB9+BB12+BB15+BB18+BB21+BB24+BB27+BB30+BB33+BB36</f>
        <v>19</v>
      </c>
      <c r="BC40" s="11">
        <f t="shared" si="22"/>
        <v>18</v>
      </c>
      <c r="BD40" s="11">
        <f t="shared" si="22"/>
        <v>35</v>
      </c>
      <c r="BE40" s="11">
        <f t="shared" ref="BE40:BG41" si="23">BE3+BE6+BE9+BE12+BE15+BE18+BE21+BE24+BE27+BE30+BE33+BE36</f>
        <v>80</v>
      </c>
      <c r="BF40" s="11">
        <f t="shared" si="23"/>
        <v>12</v>
      </c>
      <c r="BG40" s="11">
        <f t="shared" si="23"/>
        <v>22</v>
      </c>
      <c r="BH40" s="11">
        <f t="shared" ref="BH40:BJ41" si="24">BH3+BH6+BH9+BH12+BH15+BH18+BH21+BH24+BH27+BH30+BH33+BH36</f>
        <v>53</v>
      </c>
      <c r="BI40" s="11">
        <f t="shared" si="24"/>
        <v>30</v>
      </c>
      <c r="BJ40" s="11">
        <f t="shared" si="24"/>
        <v>15</v>
      </c>
      <c r="BK40" s="11">
        <f t="shared" ref="BK40:BM41" si="25">BK3+BK6+BK9+BK12+BK15+BK18+BK21+BK24+BK27+BK30+BK33+BK36</f>
        <v>23</v>
      </c>
      <c r="BL40" s="11">
        <f t="shared" si="25"/>
        <v>31</v>
      </c>
      <c r="BM40" s="11">
        <f t="shared" si="25"/>
        <v>69</v>
      </c>
      <c r="BN40" s="11">
        <f t="shared" ref="BN40:BP41" si="26">BN3+BN6+BN9+BN12+BN15+BN18+BN21+BN24+BN27+BN30+BN33+BN36</f>
        <v>33</v>
      </c>
      <c r="BO40" s="11">
        <f t="shared" si="26"/>
        <v>59</v>
      </c>
      <c r="BP40" s="11">
        <f t="shared" si="26"/>
        <v>-38</v>
      </c>
      <c r="BQ40" s="11">
        <f t="shared" ref="BQ40:BS41" si="27">BQ3+BQ6+BQ9+BQ12+BQ15+BQ18+BQ21+BQ24+BQ27+BQ30+BQ33+BQ36</f>
        <v>76</v>
      </c>
      <c r="BR40" s="11">
        <f t="shared" si="27"/>
        <v>27</v>
      </c>
      <c r="BS40" s="11">
        <f t="shared" si="27"/>
        <v>57</v>
      </c>
      <c r="BT40" s="11">
        <f t="shared" ref="BT40:BV41" si="28">BT3+BT6+BT9+BT12+BT15+BT18+BT21+BT24+BT27+BT30+BT33+BT36</f>
        <v>49</v>
      </c>
      <c r="BU40" s="11">
        <f t="shared" si="28"/>
        <v>42</v>
      </c>
      <c r="BV40" s="11">
        <f t="shared" si="28"/>
        <v>15</v>
      </c>
      <c r="BW40" s="11">
        <f t="shared" ref="BW40:BY41" si="29">BW3+BW6+BW9+BW12+BW15+BW18+BW21+BW24+BW27+BW30+BW33+BW36</f>
        <v>5</v>
      </c>
      <c r="BX40" s="11">
        <f t="shared" si="29"/>
        <v>0</v>
      </c>
      <c r="BY40" s="11">
        <f t="shared" si="29"/>
        <v>-1</v>
      </c>
      <c r="BZ40" s="11">
        <f t="shared" ref="BZ40:CB41" si="30">BZ3+BZ6+BZ9+BZ12+BZ15+BZ18+BZ21+BZ24+BZ27+BZ30+BZ33+BZ36</f>
        <v>4</v>
      </c>
      <c r="CA40" s="11">
        <f t="shared" si="30"/>
        <v>38</v>
      </c>
      <c r="CB40" s="11">
        <f t="shared" si="30"/>
        <v>92</v>
      </c>
      <c r="CC40" s="11">
        <f>CC3+CC6+CC9+CC12+CC15+CC18+CC21+CC24+CC27+CC30+CC33+CC36</f>
        <v>4</v>
      </c>
      <c r="CD40" s="11">
        <f t="shared" ref="CD40:CF41" si="31">CD3+CD6+CD9+CD12+CD15+CD18+CD21+CD24+CD27+CD30+CD33+CD36</f>
        <v>4</v>
      </c>
      <c r="CE40" s="11">
        <f t="shared" si="31"/>
        <v>4</v>
      </c>
      <c r="CF40" s="11">
        <f t="shared" si="31"/>
        <v>10</v>
      </c>
      <c r="CG40" s="11">
        <f t="shared" ref="CG40:CI41" si="32">CG3+CG6+CG9+CG12+CG15+CG18+CG21+CG24+CG27+CG30+CG33+CG36</f>
        <v>13</v>
      </c>
      <c r="CH40" s="11">
        <f t="shared" si="32"/>
        <v>10</v>
      </c>
      <c r="CI40" s="11">
        <f t="shared" si="32"/>
        <v>10</v>
      </c>
      <c r="CJ40" s="11">
        <f>CJ3+CJ6+CJ9+CJ12+CJ15+CJ18+CJ21+CJ24+CJ27+CJ30+CJ33+CJ36</f>
        <v>0</v>
      </c>
      <c r="CK40" s="11">
        <f>CK3+CK6+CK9+CK12+CK15+CK18+CK21+CK24+CK27+CK30+CK33+CK36</f>
        <v>0</v>
      </c>
    </row>
    <row r="41" spans="1:89" ht="12.75" thickBot="1" x14ac:dyDescent="0.25">
      <c r="B41" s="12" t="s">
        <v>3174</v>
      </c>
      <c r="C41" s="13">
        <f>C4+C7+C10+C13+C16+C19+C22+C25+C28+C31+C34+C37</f>
        <v>0</v>
      </c>
      <c r="D41" s="13">
        <f t="shared" si="16"/>
        <v>7</v>
      </c>
      <c r="E41" s="13">
        <f t="shared" si="16"/>
        <v>17</v>
      </c>
      <c r="F41" s="13">
        <f t="shared" si="16"/>
        <v>6</v>
      </c>
      <c r="G41" s="13">
        <f t="shared" si="16"/>
        <v>13</v>
      </c>
      <c r="H41" s="13">
        <f t="shared" si="16"/>
        <v>9</v>
      </c>
      <c r="I41" s="13">
        <f t="shared" si="16"/>
        <v>14</v>
      </c>
      <c r="J41" s="13">
        <f t="shared" si="16"/>
        <v>10</v>
      </c>
      <c r="K41" s="13">
        <f t="shared" si="16"/>
        <v>19</v>
      </c>
      <c r="L41" s="13">
        <f t="shared" si="16"/>
        <v>26</v>
      </c>
      <c r="M41" s="13">
        <f t="shared" si="16"/>
        <v>25</v>
      </c>
      <c r="N41" s="13">
        <f t="shared" si="16"/>
        <v>30</v>
      </c>
      <c r="O41" s="13">
        <f t="shared" si="16"/>
        <v>37</v>
      </c>
      <c r="P41" s="13">
        <f t="shared" si="16"/>
        <v>57</v>
      </c>
      <c r="Q41" s="13">
        <f t="shared" si="16"/>
        <v>106</v>
      </c>
      <c r="R41" s="13">
        <f t="shared" si="16"/>
        <v>58</v>
      </c>
      <c r="S41" s="13">
        <f t="shared" si="16"/>
        <v>40</v>
      </c>
      <c r="T41" s="13">
        <f t="shared" si="16"/>
        <v>45</v>
      </c>
      <c r="U41" s="13">
        <f t="shared" si="16"/>
        <v>38</v>
      </c>
      <c r="V41" s="13">
        <f t="shared" si="16"/>
        <v>70</v>
      </c>
      <c r="W41" s="13">
        <f t="shared" si="16"/>
        <v>62</v>
      </c>
      <c r="X41" s="13">
        <f t="shared" si="16"/>
        <v>39</v>
      </c>
      <c r="Y41" s="13">
        <f>Y4+Y7+Y10+Y13+Y16+Y19+Y22+Y25+Y28+Y31+Y34+Y37</f>
        <v>62</v>
      </c>
      <c r="Z41" s="13">
        <f>Z4+Z7+Z10+Z13+Z16+Z19+Z22+Z25+Z28+Z31+Z34+Z37</f>
        <v>16</v>
      </c>
      <c r="AA41" s="13">
        <f>AA4+AA7+AA10+AA13+AA16+AA19+AA22+AA25+AA28+AA31+AA34+AA37</f>
        <v>47</v>
      </c>
      <c r="AB41" s="13">
        <f>AB4+AB7+AB10+AB13+AB16+AB19+AB22+AB25+AB28+AB31+AB34+AB37</f>
        <v>48</v>
      </c>
      <c r="AC41" s="13">
        <f>AC4+AC7+AC10+AC13+AC16+AC19+AC22+AC25+AC28+AC31+AC34+AC37</f>
        <v>20</v>
      </c>
      <c r="AD41" s="13">
        <f t="shared" si="16"/>
        <v>67</v>
      </c>
      <c r="AE41" s="13">
        <f t="shared" si="16"/>
        <v>45</v>
      </c>
      <c r="AF41" s="13">
        <f t="shared" si="16"/>
        <v>24</v>
      </c>
      <c r="AG41" s="13">
        <f t="shared" si="16"/>
        <v>23</v>
      </c>
      <c r="AH41" s="13">
        <f t="shared" si="16"/>
        <v>3</v>
      </c>
      <c r="AI41" s="13">
        <f t="shared" si="16"/>
        <v>38</v>
      </c>
      <c r="AJ41" s="13">
        <f t="shared" si="16"/>
        <v>34</v>
      </c>
      <c r="AK41" s="13">
        <f t="shared" si="16"/>
        <v>79</v>
      </c>
      <c r="AL41" s="13">
        <f t="shared" si="16"/>
        <v>7</v>
      </c>
      <c r="AM41" s="13">
        <f t="shared" si="17"/>
        <v>84</v>
      </c>
      <c r="AN41" s="13">
        <f t="shared" si="17"/>
        <v>78</v>
      </c>
      <c r="AO41" s="13">
        <f t="shared" si="17"/>
        <v>84</v>
      </c>
      <c r="AP41" s="13">
        <f t="shared" si="18"/>
        <v>56</v>
      </c>
      <c r="AQ41" s="13">
        <f t="shared" si="18"/>
        <v>37</v>
      </c>
      <c r="AR41" s="13">
        <f t="shared" si="18"/>
        <v>57</v>
      </c>
      <c r="AS41" s="13">
        <f t="shared" si="19"/>
        <v>69</v>
      </c>
      <c r="AT41" s="13">
        <f t="shared" si="19"/>
        <v>53</v>
      </c>
      <c r="AU41" s="13">
        <f t="shared" si="19"/>
        <v>33</v>
      </c>
      <c r="AV41" s="13">
        <f t="shared" si="20"/>
        <v>20</v>
      </c>
      <c r="AW41" s="13">
        <f t="shared" si="20"/>
        <v>63</v>
      </c>
      <c r="AX41" s="13">
        <f t="shared" si="20"/>
        <v>19</v>
      </c>
      <c r="AY41" s="13">
        <f t="shared" si="21"/>
        <v>51</v>
      </c>
      <c r="AZ41" s="13">
        <f t="shared" si="21"/>
        <v>22</v>
      </c>
      <c r="BA41" s="13">
        <f t="shared" si="21"/>
        <v>30</v>
      </c>
      <c r="BB41" s="13">
        <f t="shared" si="22"/>
        <v>0</v>
      </c>
      <c r="BC41" s="13">
        <f t="shared" si="22"/>
        <v>0</v>
      </c>
      <c r="BD41" s="13">
        <f t="shared" si="22"/>
        <v>7</v>
      </c>
      <c r="BE41" s="13">
        <f t="shared" si="23"/>
        <v>0</v>
      </c>
      <c r="BF41" s="13">
        <f t="shared" si="23"/>
        <v>0</v>
      </c>
      <c r="BG41" s="13">
        <f t="shared" si="23"/>
        <v>71</v>
      </c>
      <c r="BH41" s="13">
        <f t="shared" si="24"/>
        <v>9</v>
      </c>
      <c r="BI41" s="13">
        <f t="shared" si="24"/>
        <v>48</v>
      </c>
      <c r="BJ41" s="13">
        <f t="shared" si="24"/>
        <v>49</v>
      </c>
      <c r="BK41" s="13">
        <f t="shared" si="25"/>
        <v>3</v>
      </c>
      <c r="BL41" s="13">
        <f t="shared" si="25"/>
        <v>0</v>
      </c>
      <c r="BM41" s="13">
        <f t="shared" si="25"/>
        <v>86</v>
      </c>
      <c r="BN41" s="13">
        <f t="shared" si="26"/>
        <v>20</v>
      </c>
      <c r="BO41" s="13">
        <f t="shared" si="26"/>
        <v>29</v>
      </c>
      <c r="BP41" s="13">
        <f t="shared" si="26"/>
        <v>74</v>
      </c>
      <c r="BQ41" s="13">
        <f t="shared" si="27"/>
        <v>41</v>
      </c>
      <c r="BR41" s="13">
        <f t="shared" si="27"/>
        <v>2</v>
      </c>
      <c r="BS41" s="13">
        <f t="shared" si="27"/>
        <v>9</v>
      </c>
      <c r="BT41" s="13">
        <f t="shared" si="28"/>
        <v>81</v>
      </c>
      <c r="BU41" s="13">
        <f t="shared" si="28"/>
        <v>36</v>
      </c>
      <c r="BV41" s="13">
        <f t="shared" si="28"/>
        <v>4</v>
      </c>
      <c r="BW41" s="13">
        <f t="shared" si="29"/>
        <v>70</v>
      </c>
      <c r="BX41" s="13">
        <f t="shared" si="29"/>
        <v>9</v>
      </c>
      <c r="BY41" s="13">
        <f t="shared" si="29"/>
        <v>0</v>
      </c>
      <c r="BZ41" s="13">
        <f t="shared" si="30"/>
        <v>95</v>
      </c>
      <c r="CA41" s="13">
        <f t="shared" si="30"/>
        <v>82</v>
      </c>
      <c r="CB41" s="13">
        <f t="shared" si="30"/>
        <v>1</v>
      </c>
      <c r="CC41" s="13">
        <f>CC4+CC7+CC10+CC13+CC16+CC19+CC22+CC25+CC28+CC31+CC34+CC37</f>
        <v>50</v>
      </c>
      <c r="CD41" s="13">
        <f t="shared" si="31"/>
        <v>67</v>
      </c>
      <c r="CE41" s="13">
        <f t="shared" si="31"/>
        <v>58</v>
      </c>
      <c r="CF41" s="13">
        <f t="shared" si="31"/>
        <v>50</v>
      </c>
      <c r="CG41" s="13">
        <f t="shared" si="32"/>
        <v>26</v>
      </c>
      <c r="CH41" s="13">
        <f t="shared" si="32"/>
        <v>33</v>
      </c>
      <c r="CI41" s="13">
        <f t="shared" si="32"/>
        <v>23</v>
      </c>
      <c r="CJ41" s="13">
        <f>CJ4+CJ7+CJ10+CJ13+CJ16+CJ19+CJ22+CJ25+CJ28+CJ31+CJ34+CJ37</f>
        <v>24</v>
      </c>
      <c r="CK41" s="13">
        <f>CK4+CK7+CK10+CK13+CK16+CK19+CK22+CK25+CK28+CK31+CK34+CK37</f>
        <v>15</v>
      </c>
    </row>
    <row r="42" spans="1:89" ht="12.75" thickBot="1" x14ac:dyDescent="0.25">
      <c r="B42" s="1" t="s">
        <v>746</v>
      </c>
      <c r="C42" s="2">
        <f>C40-C41</f>
        <v>9</v>
      </c>
      <c r="D42" s="2">
        <f t="shared" ref="D42:AR42" si="33">D40-D41+C42</f>
        <v>23</v>
      </c>
      <c r="E42" s="2">
        <f t="shared" si="33"/>
        <v>33</v>
      </c>
      <c r="F42" s="2">
        <f t="shared" si="33"/>
        <v>30</v>
      </c>
      <c r="G42" s="2">
        <f t="shared" si="33"/>
        <v>43</v>
      </c>
      <c r="H42" s="2">
        <f t="shared" si="33"/>
        <v>54</v>
      </c>
      <c r="I42" s="2">
        <f t="shared" si="33"/>
        <v>56</v>
      </c>
      <c r="J42" s="2">
        <f t="shared" si="33"/>
        <v>62</v>
      </c>
      <c r="K42" s="2">
        <f t="shared" si="33"/>
        <v>58</v>
      </c>
      <c r="L42" s="2">
        <f t="shared" si="33"/>
        <v>70</v>
      </c>
      <c r="M42" s="2">
        <f t="shared" si="33"/>
        <v>82</v>
      </c>
      <c r="N42" s="2">
        <f t="shared" si="33"/>
        <v>72</v>
      </c>
      <c r="O42" s="2">
        <f t="shared" si="33"/>
        <v>95</v>
      </c>
      <c r="P42" s="2">
        <f t="shared" si="33"/>
        <v>144</v>
      </c>
      <c r="Q42" s="2">
        <f t="shared" si="33"/>
        <v>89</v>
      </c>
      <c r="R42" s="83">
        <f t="shared" si="33"/>
        <v>91</v>
      </c>
      <c r="S42" s="83">
        <f t="shared" si="33"/>
        <v>100</v>
      </c>
      <c r="T42" s="83">
        <f t="shared" si="33"/>
        <v>111</v>
      </c>
      <c r="U42" s="83">
        <f t="shared" si="33"/>
        <v>156</v>
      </c>
      <c r="V42" s="83">
        <f t="shared" si="33"/>
        <v>117</v>
      </c>
      <c r="W42" s="83">
        <f t="shared" si="33"/>
        <v>121</v>
      </c>
      <c r="X42" s="83">
        <f t="shared" si="33"/>
        <v>146</v>
      </c>
      <c r="Y42" s="83">
        <f t="shared" si="33"/>
        <v>135</v>
      </c>
      <c r="Z42" s="83">
        <f t="shared" si="33"/>
        <v>169</v>
      </c>
      <c r="AA42" s="83">
        <f t="shared" si="33"/>
        <v>173</v>
      </c>
      <c r="AB42" s="83">
        <f t="shared" si="33"/>
        <v>190</v>
      </c>
      <c r="AC42" s="83">
        <f t="shared" si="33"/>
        <v>228</v>
      </c>
      <c r="AD42" s="83">
        <f t="shared" si="33"/>
        <v>220</v>
      </c>
      <c r="AE42" s="83">
        <f t="shared" si="33"/>
        <v>216</v>
      </c>
      <c r="AF42" s="83">
        <f t="shared" si="33"/>
        <v>241</v>
      </c>
      <c r="AG42" s="83">
        <f t="shared" si="33"/>
        <v>271</v>
      </c>
      <c r="AH42" s="83">
        <f t="shared" si="33"/>
        <v>284</v>
      </c>
      <c r="AI42" s="83">
        <f t="shared" si="33"/>
        <v>284</v>
      </c>
      <c r="AJ42" s="83">
        <f t="shared" si="33"/>
        <v>282</v>
      </c>
      <c r="AK42" s="83">
        <f t="shared" si="33"/>
        <v>242</v>
      </c>
      <c r="AL42" s="83">
        <f t="shared" si="33"/>
        <v>269</v>
      </c>
      <c r="AM42" s="83">
        <f t="shared" si="33"/>
        <v>229</v>
      </c>
      <c r="AN42" s="83">
        <f t="shared" si="33"/>
        <v>199</v>
      </c>
      <c r="AO42" s="83">
        <f t="shared" si="33"/>
        <v>171</v>
      </c>
      <c r="AP42" s="83">
        <f t="shared" si="33"/>
        <v>176</v>
      </c>
      <c r="AQ42" s="83">
        <f t="shared" si="33"/>
        <v>183</v>
      </c>
      <c r="AR42" s="83">
        <f t="shared" si="33"/>
        <v>194</v>
      </c>
      <c r="AS42" s="83">
        <f t="shared" ref="AS42:BX42" si="34">AS40-AS41+AR42</f>
        <v>168</v>
      </c>
      <c r="AT42" s="83">
        <f t="shared" si="34"/>
        <v>142</v>
      </c>
      <c r="AU42" s="83">
        <f t="shared" si="34"/>
        <v>158</v>
      </c>
      <c r="AV42" s="83">
        <f t="shared" si="34"/>
        <v>179</v>
      </c>
      <c r="AW42" s="83">
        <f t="shared" si="34"/>
        <v>176</v>
      </c>
      <c r="AX42" s="83">
        <f t="shared" si="34"/>
        <v>187</v>
      </c>
      <c r="AY42" s="83">
        <f t="shared" si="34"/>
        <v>162</v>
      </c>
      <c r="AZ42" s="83">
        <f t="shared" si="34"/>
        <v>154</v>
      </c>
      <c r="BA42" s="83">
        <f t="shared" si="34"/>
        <v>165</v>
      </c>
      <c r="BB42" s="83">
        <f t="shared" si="34"/>
        <v>184</v>
      </c>
      <c r="BC42" s="83">
        <f t="shared" si="34"/>
        <v>202</v>
      </c>
      <c r="BD42" s="83">
        <f t="shared" si="34"/>
        <v>230</v>
      </c>
      <c r="BE42" s="83">
        <f t="shared" si="34"/>
        <v>310</v>
      </c>
      <c r="BF42" s="83">
        <f t="shared" si="34"/>
        <v>322</v>
      </c>
      <c r="BG42" s="83">
        <f t="shared" si="34"/>
        <v>273</v>
      </c>
      <c r="BH42" s="83">
        <f t="shared" si="34"/>
        <v>317</v>
      </c>
      <c r="BI42" s="83">
        <f t="shared" si="34"/>
        <v>299</v>
      </c>
      <c r="BJ42" s="83">
        <f t="shared" si="34"/>
        <v>265</v>
      </c>
      <c r="BK42" s="83">
        <f t="shared" si="34"/>
        <v>285</v>
      </c>
      <c r="BL42" s="83">
        <f t="shared" si="34"/>
        <v>316</v>
      </c>
      <c r="BM42" s="83">
        <f t="shared" si="34"/>
        <v>299</v>
      </c>
      <c r="BN42" s="83">
        <f t="shared" si="34"/>
        <v>312</v>
      </c>
      <c r="BO42" s="83">
        <f t="shared" si="34"/>
        <v>342</v>
      </c>
      <c r="BP42" s="83">
        <f t="shared" si="34"/>
        <v>230</v>
      </c>
      <c r="BQ42" s="83">
        <f t="shared" si="34"/>
        <v>265</v>
      </c>
      <c r="BR42" s="83">
        <f t="shared" si="34"/>
        <v>290</v>
      </c>
      <c r="BS42" s="83">
        <f t="shared" si="34"/>
        <v>338</v>
      </c>
      <c r="BT42" s="83">
        <f t="shared" si="34"/>
        <v>306</v>
      </c>
      <c r="BU42" s="83">
        <f t="shared" si="34"/>
        <v>312</v>
      </c>
      <c r="BV42" s="83">
        <f t="shared" si="34"/>
        <v>323</v>
      </c>
      <c r="BW42" s="83">
        <f t="shared" si="34"/>
        <v>258</v>
      </c>
      <c r="BX42" s="83">
        <f t="shared" si="34"/>
        <v>249</v>
      </c>
      <c r="BY42" s="83">
        <f>BY40-BY41+BX42</f>
        <v>248</v>
      </c>
      <c r="BZ42" s="83">
        <f t="shared" ref="BZ42:CF42" si="35">BZ23+BZ20+BZ17+BZ14+BZ11+BZ8+BZ5</f>
        <v>366</v>
      </c>
      <c r="CA42" s="83">
        <f t="shared" si="35"/>
        <v>322</v>
      </c>
      <c r="CB42" s="83">
        <v>425</v>
      </c>
      <c r="CC42" s="83">
        <f>CC23+CC20+CC17+CC14+CC11+CC8+CC5</f>
        <v>367</v>
      </c>
      <c r="CD42" s="83">
        <f t="shared" si="35"/>
        <v>304</v>
      </c>
      <c r="CE42" s="83">
        <f t="shared" si="35"/>
        <v>250</v>
      </c>
      <c r="CF42" s="83">
        <f t="shared" si="35"/>
        <v>210</v>
      </c>
      <c r="CG42" s="83">
        <f>CG23+CG20+CG17+CG14+CG11+CG8+CG5</f>
        <v>197</v>
      </c>
      <c r="CH42" s="83">
        <f>CH23+CH20+CH17+CH14+CH11+CH8+CH5</f>
        <v>174</v>
      </c>
      <c r="CI42" s="83">
        <f>CI23+CI20+CI17+CI14+CI11+CI8+CI5</f>
        <v>161</v>
      </c>
      <c r="CJ42" s="83">
        <f>CJ23+CJ20+CJ17+CJ14+CJ11+CJ8+CJ5</f>
        <v>137</v>
      </c>
      <c r="CK42" s="83">
        <f>CK23+CK20+CK17+CK14+CK11+CK8+CK5</f>
        <v>122</v>
      </c>
    </row>
    <row r="43" spans="1:89" x14ac:dyDescent="0.2">
      <c r="B43" s="10" t="s">
        <v>3712</v>
      </c>
      <c r="C43" s="8">
        <v>0</v>
      </c>
      <c r="D43" s="8">
        <f>C43+D40</f>
        <v>21</v>
      </c>
      <c r="E43" s="8">
        <f t="shared" ref="E43:AH43" si="36">D43+E40</f>
        <v>48</v>
      </c>
      <c r="F43" s="8">
        <f t="shared" si="36"/>
        <v>51</v>
      </c>
      <c r="G43" s="8">
        <f t="shared" si="36"/>
        <v>77</v>
      </c>
      <c r="H43" s="8">
        <f t="shared" si="36"/>
        <v>97</v>
      </c>
      <c r="I43" s="8">
        <f t="shared" si="36"/>
        <v>113</v>
      </c>
      <c r="J43" s="8">
        <f t="shared" si="36"/>
        <v>129</v>
      </c>
      <c r="K43" s="8">
        <f t="shared" si="36"/>
        <v>144</v>
      </c>
      <c r="L43" s="8">
        <f t="shared" si="36"/>
        <v>182</v>
      </c>
      <c r="M43" s="8">
        <f t="shared" si="36"/>
        <v>219</v>
      </c>
      <c r="N43" s="8">
        <f t="shared" si="36"/>
        <v>239</v>
      </c>
      <c r="O43" s="8">
        <f t="shared" si="36"/>
        <v>299</v>
      </c>
      <c r="P43" s="8">
        <f t="shared" si="36"/>
        <v>405</v>
      </c>
      <c r="Q43" s="8">
        <f t="shared" si="36"/>
        <v>456</v>
      </c>
      <c r="R43" s="9">
        <f t="shared" si="36"/>
        <v>516</v>
      </c>
      <c r="S43" s="9">
        <f t="shared" si="36"/>
        <v>565</v>
      </c>
      <c r="T43" s="9">
        <f t="shared" si="36"/>
        <v>621</v>
      </c>
      <c r="U43" s="9">
        <f t="shared" si="36"/>
        <v>704</v>
      </c>
      <c r="V43" s="9">
        <f t="shared" si="36"/>
        <v>735</v>
      </c>
      <c r="W43" s="9">
        <f t="shared" si="36"/>
        <v>801</v>
      </c>
      <c r="X43" s="9">
        <f t="shared" si="36"/>
        <v>865</v>
      </c>
      <c r="Y43" s="9">
        <f t="shared" si="36"/>
        <v>916</v>
      </c>
      <c r="Z43" s="9">
        <f t="shared" si="36"/>
        <v>966</v>
      </c>
      <c r="AA43" s="9">
        <f t="shared" si="36"/>
        <v>1017</v>
      </c>
      <c r="AB43" s="9">
        <f t="shared" si="36"/>
        <v>1082</v>
      </c>
      <c r="AC43" s="9">
        <f t="shared" si="36"/>
        <v>1140</v>
      </c>
      <c r="AD43" s="9">
        <f t="shared" si="36"/>
        <v>1199</v>
      </c>
      <c r="AE43" s="9">
        <f t="shared" si="36"/>
        <v>1240</v>
      </c>
      <c r="AF43" s="9">
        <f t="shared" si="36"/>
        <v>1289</v>
      </c>
      <c r="AG43" s="9">
        <f t="shared" si="36"/>
        <v>1342</v>
      </c>
      <c r="AH43" s="9">
        <f t="shared" si="36"/>
        <v>1358</v>
      </c>
      <c r="AI43" s="9">
        <f t="shared" ref="AI43:AN43" si="37">AH43+AI40</f>
        <v>1396</v>
      </c>
      <c r="AJ43" s="9">
        <f t="shared" si="37"/>
        <v>1428</v>
      </c>
      <c r="AK43" s="9">
        <f t="shared" si="37"/>
        <v>1467</v>
      </c>
      <c r="AL43" s="9">
        <f t="shared" si="37"/>
        <v>1501</v>
      </c>
      <c r="AM43" s="9">
        <f t="shared" si="37"/>
        <v>1545</v>
      </c>
      <c r="AN43" s="9">
        <f t="shared" si="37"/>
        <v>1593</v>
      </c>
      <c r="AO43" s="9">
        <f t="shared" ref="AO43:AT43" si="38">AN43+AO40</f>
        <v>1649</v>
      </c>
      <c r="AP43" s="9">
        <f t="shared" si="38"/>
        <v>1710</v>
      </c>
      <c r="AQ43" s="9">
        <f t="shared" si="38"/>
        <v>1754</v>
      </c>
      <c r="AR43" s="9">
        <f t="shared" si="38"/>
        <v>1822</v>
      </c>
      <c r="AS43" s="9">
        <f t="shared" si="38"/>
        <v>1865</v>
      </c>
      <c r="AT43" s="9">
        <f t="shared" si="38"/>
        <v>1892</v>
      </c>
      <c r="AU43" s="9">
        <f t="shared" ref="AU43:AZ43" si="39">AT43+AU40</f>
        <v>1941</v>
      </c>
      <c r="AV43" s="9">
        <f t="shared" si="39"/>
        <v>1982</v>
      </c>
      <c r="AW43" s="9">
        <f t="shared" si="39"/>
        <v>2042</v>
      </c>
      <c r="AX43" s="9">
        <f t="shared" si="39"/>
        <v>2072</v>
      </c>
      <c r="AY43" s="9">
        <f t="shared" si="39"/>
        <v>2098</v>
      </c>
      <c r="AZ43" s="9">
        <f t="shared" si="39"/>
        <v>2112</v>
      </c>
      <c r="BA43" s="9">
        <f t="shared" ref="BA43:BG43" si="40">AZ43+BA40</f>
        <v>2153</v>
      </c>
      <c r="BB43" s="9">
        <f t="shared" si="40"/>
        <v>2172</v>
      </c>
      <c r="BC43" s="9">
        <f t="shared" si="40"/>
        <v>2190</v>
      </c>
      <c r="BD43" s="9">
        <f t="shared" si="40"/>
        <v>2225</v>
      </c>
      <c r="BE43" s="9">
        <f t="shared" si="40"/>
        <v>2305</v>
      </c>
      <c r="BF43" s="9">
        <f t="shared" si="40"/>
        <v>2317</v>
      </c>
      <c r="BG43" s="9">
        <f t="shared" si="40"/>
        <v>2339</v>
      </c>
      <c r="BH43" s="9">
        <f t="shared" ref="BH43:BM43" si="41">BG43+BH40</f>
        <v>2392</v>
      </c>
      <c r="BI43" s="9">
        <f t="shared" si="41"/>
        <v>2422</v>
      </c>
      <c r="BJ43" s="9">
        <f t="shared" si="41"/>
        <v>2437</v>
      </c>
      <c r="BK43" s="9">
        <f t="shared" si="41"/>
        <v>2460</v>
      </c>
      <c r="BL43" s="9">
        <f t="shared" si="41"/>
        <v>2491</v>
      </c>
      <c r="BM43" s="9">
        <f t="shared" si="41"/>
        <v>2560</v>
      </c>
      <c r="BN43" s="9">
        <f t="shared" ref="BN43:BS43" si="42">BM43+BN40</f>
        <v>2593</v>
      </c>
      <c r="BO43" s="9">
        <f t="shared" si="42"/>
        <v>2652</v>
      </c>
      <c r="BP43" s="9">
        <f t="shared" si="42"/>
        <v>2614</v>
      </c>
      <c r="BQ43" s="9">
        <f t="shared" si="42"/>
        <v>2690</v>
      </c>
      <c r="BR43" s="9">
        <f t="shared" si="42"/>
        <v>2717</v>
      </c>
      <c r="BS43" s="9">
        <f t="shared" si="42"/>
        <v>2774</v>
      </c>
      <c r="BT43" s="9">
        <f>BS43+BT40</f>
        <v>2823</v>
      </c>
      <c r="BU43" s="9">
        <f>BT43+BU40</f>
        <v>2865</v>
      </c>
      <c r="BV43" s="9">
        <f>BU43+BV40</f>
        <v>2880</v>
      </c>
      <c r="BW43" s="9">
        <f>BV43+BW40</f>
        <v>2885</v>
      </c>
      <c r="BX43" s="9">
        <f>BW43+BX40</f>
        <v>2885</v>
      </c>
      <c r="BY43" s="9">
        <v>2980</v>
      </c>
      <c r="BZ43" s="9">
        <f t="shared" ref="BZ43:CF43" si="43">BY43+BZ40</f>
        <v>2984</v>
      </c>
      <c r="CA43" s="9">
        <f>BZ43+CA40</f>
        <v>3022</v>
      </c>
      <c r="CB43" s="9">
        <v>3192</v>
      </c>
      <c r="CC43" s="9">
        <f>CB43+CC40</f>
        <v>3196</v>
      </c>
      <c r="CD43" s="9">
        <f t="shared" si="43"/>
        <v>3200</v>
      </c>
      <c r="CE43" s="9">
        <f t="shared" si="43"/>
        <v>3204</v>
      </c>
      <c r="CF43" s="9">
        <f t="shared" si="43"/>
        <v>3214</v>
      </c>
      <c r="CG43" s="9">
        <f>CF43+CG40</f>
        <v>3227</v>
      </c>
      <c r="CH43" s="9">
        <f>CG43+CH40</f>
        <v>3237</v>
      </c>
      <c r="CI43" s="9">
        <f>CH43+CI40</f>
        <v>3247</v>
      </c>
      <c r="CJ43" s="9">
        <f>CI43+CJ40</f>
        <v>3247</v>
      </c>
      <c r="CK43" s="9">
        <f>CJ43+CK40</f>
        <v>3247</v>
      </c>
    </row>
    <row r="44" spans="1:89" ht="12.75" thickBot="1" x14ac:dyDescent="0.25">
      <c r="B44" s="12" t="s">
        <v>3712</v>
      </c>
      <c r="C44" s="13">
        <v>0</v>
      </c>
      <c r="D44" s="13">
        <f>D41+C44</f>
        <v>7</v>
      </c>
      <c r="E44" s="13">
        <f t="shared" ref="E44:AH44" si="44">E41+D44</f>
        <v>24</v>
      </c>
      <c r="F44" s="13">
        <f t="shared" si="44"/>
        <v>30</v>
      </c>
      <c r="G44" s="13">
        <f t="shared" si="44"/>
        <v>43</v>
      </c>
      <c r="H44" s="13">
        <f t="shared" si="44"/>
        <v>52</v>
      </c>
      <c r="I44" s="13">
        <f t="shared" si="44"/>
        <v>66</v>
      </c>
      <c r="J44" s="13">
        <f t="shared" si="44"/>
        <v>76</v>
      </c>
      <c r="K44" s="13">
        <f t="shared" si="44"/>
        <v>95</v>
      </c>
      <c r="L44" s="13">
        <f t="shared" si="44"/>
        <v>121</v>
      </c>
      <c r="M44" s="13">
        <f t="shared" si="44"/>
        <v>146</v>
      </c>
      <c r="N44" s="13">
        <f t="shared" si="44"/>
        <v>176</v>
      </c>
      <c r="O44" s="13">
        <f t="shared" si="44"/>
        <v>213</v>
      </c>
      <c r="P44" s="13">
        <f t="shared" si="44"/>
        <v>270</v>
      </c>
      <c r="Q44" s="13">
        <f t="shared" si="44"/>
        <v>376</v>
      </c>
      <c r="R44" s="29">
        <f t="shared" si="44"/>
        <v>434</v>
      </c>
      <c r="S44" s="29">
        <f t="shared" si="44"/>
        <v>474</v>
      </c>
      <c r="T44" s="29">
        <f t="shared" si="44"/>
        <v>519</v>
      </c>
      <c r="U44" s="29">
        <f t="shared" si="44"/>
        <v>557</v>
      </c>
      <c r="V44" s="29">
        <f t="shared" si="44"/>
        <v>627</v>
      </c>
      <c r="W44" s="29">
        <f t="shared" si="44"/>
        <v>689</v>
      </c>
      <c r="X44" s="29">
        <f t="shared" si="44"/>
        <v>728</v>
      </c>
      <c r="Y44" s="29">
        <f t="shared" si="44"/>
        <v>790</v>
      </c>
      <c r="Z44" s="29">
        <f t="shared" si="44"/>
        <v>806</v>
      </c>
      <c r="AA44" s="29">
        <f t="shared" si="44"/>
        <v>853</v>
      </c>
      <c r="AB44" s="29">
        <f t="shared" si="44"/>
        <v>901</v>
      </c>
      <c r="AC44" s="29">
        <f t="shared" si="44"/>
        <v>921</v>
      </c>
      <c r="AD44" s="29">
        <f t="shared" si="44"/>
        <v>988</v>
      </c>
      <c r="AE44" s="29">
        <f t="shared" si="44"/>
        <v>1033</v>
      </c>
      <c r="AF44" s="29">
        <f t="shared" si="44"/>
        <v>1057</v>
      </c>
      <c r="AG44" s="29">
        <f t="shared" si="44"/>
        <v>1080</v>
      </c>
      <c r="AH44" s="29">
        <f t="shared" si="44"/>
        <v>1083</v>
      </c>
      <c r="AI44" s="29">
        <f t="shared" ref="AI44:AN44" si="45">AI41+AH44</f>
        <v>1121</v>
      </c>
      <c r="AJ44" s="29">
        <f t="shared" si="45"/>
        <v>1155</v>
      </c>
      <c r="AK44" s="29">
        <f t="shared" si="45"/>
        <v>1234</v>
      </c>
      <c r="AL44" s="29">
        <f t="shared" si="45"/>
        <v>1241</v>
      </c>
      <c r="AM44" s="29">
        <f t="shared" si="45"/>
        <v>1325</v>
      </c>
      <c r="AN44" s="29">
        <f t="shared" si="45"/>
        <v>1403</v>
      </c>
      <c r="AO44" s="29">
        <f t="shared" ref="AO44:AT44" si="46">AO41+AN44</f>
        <v>1487</v>
      </c>
      <c r="AP44" s="29">
        <f t="shared" si="46"/>
        <v>1543</v>
      </c>
      <c r="AQ44" s="29">
        <f t="shared" si="46"/>
        <v>1580</v>
      </c>
      <c r="AR44" s="29">
        <f t="shared" si="46"/>
        <v>1637</v>
      </c>
      <c r="AS44" s="29">
        <f t="shared" si="46"/>
        <v>1706</v>
      </c>
      <c r="AT44" s="29">
        <f t="shared" si="46"/>
        <v>1759</v>
      </c>
      <c r="AU44" s="29">
        <f t="shared" ref="AU44:AZ44" si="47">AU41+AT44</f>
        <v>1792</v>
      </c>
      <c r="AV44" s="29">
        <f t="shared" si="47"/>
        <v>1812</v>
      </c>
      <c r="AW44" s="29">
        <f t="shared" si="47"/>
        <v>1875</v>
      </c>
      <c r="AX44" s="29">
        <f t="shared" si="47"/>
        <v>1894</v>
      </c>
      <c r="AY44" s="29">
        <f t="shared" si="47"/>
        <v>1945</v>
      </c>
      <c r="AZ44" s="29">
        <f t="shared" si="47"/>
        <v>1967</v>
      </c>
      <c r="BA44" s="29">
        <f t="shared" ref="BA44:BG44" si="48">BA41+AZ44</f>
        <v>1997</v>
      </c>
      <c r="BB44" s="29">
        <f t="shared" si="48"/>
        <v>1997</v>
      </c>
      <c r="BC44" s="29">
        <f t="shared" si="48"/>
        <v>1997</v>
      </c>
      <c r="BD44" s="29">
        <f t="shared" si="48"/>
        <v>2004</v>
      </c>
      <c r="BE44" s="29">
        <f t="shared" si="48"/>
        <v>2004</v>
      </c>
      <c r="BF44" s="29">
        <f t="shared" si="48"/>
        <v>2004</v>
      </c>
      <c r="BG44" s="29">
        <f t="shared" si="48"/>
        <v>2075</v>
      </c>
      <c r="BH44" s="29">
        <f t="shared" ref="BH44:BM44" si="49">BH41+BG44</f>
        <v>2084</v>
      </c>
      <c r="BI44" s="29">
        <f t="shared" si="49"/>
        <v>2132</v>
      </c>
      <c r="BJ44" s="29">
        <f t="shared" si="49"/>
        <v>2181</v>
      </c>
      <c r="BK44" s="29">
        <f t="shared" si="49"/>
        <v>2184</v>
      </c>
      <c r="BL44" s="29">
        <f t="shared" si="49"/>
        <v>2184</v>
      </c>
      <c r="BM44" s="29">
        <f t="shared" si="49"/>
        <v>2270</v>
      </c>
      <c r="BN44" s="29">
        <f t="shared" ref="BN44:BS44" si="50">BN41+BM44</f>
        <v>2290</v>
      </c>
      <c r="BO44" s="29">
        <f t="shared" si="50"/>
        <v>2319</v>
      </c>
      <c r="BP44" s="29">
        <f t="shared" si="50"/>
        <v>2393</v>
      </c>
      <c r="BQ44" s="29">
        <f t="shared" si="50"/>
        <v>2434</v>
      </c>
      <c r="BR44" s="29">
        <f t="shared" si="50"/>
        <v>2436</v>
      </c>
      <c r="BS44" s="29">
        <f t="shared" si="50"/>
        <v>2445</v>
      </c>
      <c r="BT44" s="29">
        <f>BT41+BS44</f>
        <v>2526</v>
      </c>
      <c r="BU44" s="29">
        <f>BU41+BT44</f>
        <v>2562</v>
      </c>
      <c r="BV44" s="29">
        <f>BV41+BU44</f>
        <v>2566</v>
      </c>
      <c r="BW44" s="29">
        <f>BW41+BV44</f>
        <v>2636</v>
      </c>
      <c r="BX44" s="29">
        <f>BX41+BW44</f>
        <v>2645</v>
      </c>
      <c r="BY44" s="29">
        <v>2523</v>
      </c>
      <c r="BZ44" s="29">
        <f>BZ41+BY44</f>
        <v>2618</v>
      </c>
      <c r="CA44" s="29">
        <f>CA41+BZ44</f>
        <v>2700</v>
      </c>
      <c r="CB44" s="29">
        <v>2761</v>
      </c>
      <c r="CC44" s="29">
        <f t="shared" ref="CC44:CK44" si="51">CC41+CB44</f>
        <v>2811</v>
      </c>
      <c r="CD44" s="29">
        <f t="shared" si="51"/>
        <v>2878</v>
      </c>
      <c r="CE44" s="29">
        <f t="shared" si="51"/>
        <v>2936</v>
      </c>
      <c r="CF44" s="29">
        <f t="shared" si="51"/>
        <v>2986</v>
      </c>
      <c r="CG44" s="29">
        <f t="shared" si="51"/>
        <v>3012</v>
      </c>
      <c r="CH44" s="29">
        <f t="shared" si="51"/>
        <v>3045</v>
      </c>
      <c r="CI44" s="29">
        <f t="shared" si="51"/>
        <v>3068</v>
      </c>
      <c r="CJ44" s="29">
        <f t="shared" si="51"/>
        <v>3092</v>
      </c>
      <c r="CK44" s="29">
        <f t="shared" si="51"/>
        <v>3107</v>
      </c>
    </row>
    <row r="45" spans="1:89" ht="12.75" thickBot="1" x14ac:dyDescent="0.25">
      <c r="B45" s="1" t="s">
        <v>1926</v>
      </c>
      <c r="C45" s="2">
        <f t="shared" ref="C45:BW45" si="52">C43-C44</f>
        <v>0</v>
      </c>
      <c r="D45" s="2">
        <f t="shared" si="52"/>
        <v>14</v>
      </c>
      <c r="E45" s="2">
        <f t="shared" si="52"/>
        <v>24</v>
      </c>
      <c r="F45" s="2">
        <f t="shared" si="52"/>
        <v>21</v>
      </c>
      <c r="G45" s="2">
        <f t="shared" si="52"/>
        <v>34</v>
      </c>
      <c r="H45" s="2">
        <f t="shared" si="52"/>
        <v>45</v>
      </c>
      <c r="I45" s="2">
        <f t="shared" si="52"/>
        <v>47</v>
      </c>
      <c r="J45" s="2">
        <f t="shared" si="52"/>
        <v>53</v>
      </c>
      <c r="K45" s="2">
        <f t="shared" si="52"/>
        <v>49</v>
      </c>
      <c r="L45" s="2">
        <f t="shared" si="52"/>
        <v>61</v>
      </c>
      <c r="M45" s="2">
        <f t="shared" si="52"/>
        <v>73</v>
      </c>
      <c r="N45" s="2">
        <f t="shared" si="52"/>
        <v>63</v>
      </c>
      <c r="O45" s="2">
        <f t="shared" si="52"/>
        <v>86</v>
      </c>
      <c r="P45" s="2">
        <f t="shared" si="52"/>
        <v>135</v>
      </c>
      <c r="Q45" s="2">
        <f t="shared" si="52"/>
        <v>80</v>
      </c>
      <c r="R45" s="2">
        <f t="shared" si="52"/>
        <v>82</v>
      </c>
      <c r="S45" s="2">
        <f t="shared" si="52"/>
        <v>91</v>
      </c>
      <c r="T45" s="2">
        <f t="shared" si="52"/>
        <v>102</v>
      </c>
      <c r="U45" s="2">
        <f t="shared" si="52"/>
        <v>147</v>
      </c>
      <c r="V45" s="2">
        <f t="shared" si="52"/>
        <v>108</v>
      </c>
      <c r="W45" s="2">
        <f t="shared" si="52"/>
        <v>112</v>
      </c>
      <c r="X45" s="2">
        <f t="shared" si="52"/>
        <v>137</v>
      </c>
      <c r="Y45" s="2">
        <f t="shared" si="52"/>
        <v>126</v>
      </c>
      <c r="Z45" s="2">
        <f t="shared" si="52"/>
        <v>160</v>
      </c>
      <c r="AA45" s="2">
        <f t="shared" si="52"/>
        <v>164</v>
      </c>
      <c r="AB45" s="2">
        <f t="shared" si="52"/>
        <v>181</v>
      </c>
      <c r="AC45" s="2">
        <f t="shared" si="52"/>
        <v>219</v>
      </c>
      <c r="AD45" s="2">
        <f t="shared" si="52"/>
        <v>211</v>
      </c>
      <c r="AE45" s="2">
        <f t="shared" si="52"/>
        <v>207</v>
      </c>
      <c r="AF45" s="2">
        <f t="shared" si="52"/>
        <v>232</v>
      </c>
      <c r="AG45" s="2">
        <f t="shared" si="52"/>
        <v>262</v>
      </c>
      <c r="AH45" s="2">
        <f t="shared" si="52"/>
        <v>275</v>
      </c>
      <c r="AI45" s="2">
        <f t="shared" si="52"/>
        <v>275</v>
      </c>
      <c r="AJ45" s="2">
        <f t="shared" si="52"/>
        <v>273</v>
      </c>
      <c r="AK45" s="2">
        <f t="shared" si="52"/>
        <v>233</v>
      </c>
      <c r="AL45" s="2">
        <f t="shared" si="52"/>
        <v>260</v>
      </c>
      <c r="AM45" s="2">
        <f t="shared" si="52"/>
        <v>220</v>
      </c>
      <c r="AN45" s="2">
        <f t="shared" si="52"/>
        <v>190</v>
      </c>
      <c r="AO45" s="2">
        <f t="shared" si="52"/>
        <v>162</v>
      </c>
      <c r="AP45" s="2">
        <f t="shared" si="52"/>
        <v>167</v>
      </c>
      <c r="AQ45" s="2">
        <f t="shared" si="52"/>
        <v>174</v>
      </c>
      <c r="AR45" s="2">
        <f t="shared" si="52"/>
        <v>185</v>
      </c>
      <c r="AS45" s="2">
        <f t="shared" si="52"/>
        <v>159</v>
      </c>
      <c r="AT45" s="2">
        <f t="shared" si="52"/>
        <v>133</v>
      </c>
      <c r="AU45" s="2">
        <f t="shared" si="52"/>
        <v>149</v>
      </c>
      <c r="AV45" s="2">
        <f t="shared" si="52"/>
        <v>170</v>
      </c>
      <c r="AW45" s="2">
        <f t="shared" si="52"/>
        <v>167</v>
      </c>
      <c r="AX45" s="2">
        <f t="shared" si="52"/>
        <v>178</v>
      </c>
      <c r="AY45" s="2">
        <f t="shared" si="52"/>
        <v>153</v>
      </c>
      <c r="AZ45" s="2">
        <f t="shared" si="52"/>
        <v>145</v>
      </c>
      <c r="BA45" s="2">
        <f t="shared" si="52"/>
        <v>156</v>
      </c>
      <c r="BB45" s="2">
        <f t="shared" si="52"/>
        <v>175</v>
      </c>
      <c r="BC45" s="2">
        <f t="shared" si="52"/>
        <v>193</v>
      </c>
      <c r="BD45" s="2">
        <f t="shared" si="52"/>
        <v>221</v>
      </c>
      <c r="BE45" s="2">
        <f t="shared" si="52"/>
        <v>301</v>
      </c>
      <c r="BF45" s="2">
        <f t="shared" si="52"/>
        <v>313</v>
      </c>
      <c r="BG45" s="2">
        <f t="shared" si="52"/>
        <v>264</v>
      </c>
      <c r="BH45" s="2">
        <f t="shared" si="52"/>
        <v>308</v>
      </c>
      <c r="BI45" s="2">
        <f t="shared" si="52"/>
        <v>290</v>
      </c>
      <c r="BJ45" s="2">
        <f t="shared" si="52"/>
        <v>256</v>
      </c>
      <c r="BK45" s="2">
        <f t="shared" si="52"/>
        <v>276</v>
      </c>
      <c r="BL45" s="2">
        <f t="shared" si="52"/>
        <v>307</v>
      </c>
      <c r="BM45" s="2">
        <f t="shared" si="52"/>
        <v>290</v>
      </c>
      <c r="BN45" s="2">
        <f t="shared" si="52"/>
        <v>303</v>
      </c>
      <c r="BO45" s="2">
        <f t="shared" si="52"/>
        <v>333</v>
      </c>
      <c r="BP45" s="2">
        <f t="shared" si="52"/>
        <v>221</v>
      </c>
      <c r="BQ45" s="2">
        <f t="shared" si="52"/>
        <v>256</v>
      </c>
      <c r="BR45" s="2">
        <f t="shared" si="52"/>
        <v>281</v>
      </c>
      <c r="BS45" s="2">
        <f t="shared" si="52"/>
        <v>329</v>
      </c>
      <c r="BT45" s="2">
        <f t="shared" si="52"/>
        <v>297</v>
      </c>
      <c r="BU45" s="2">
        <f t="shared" si="52"/>
        <v>303</v>
      </c>
      <c r="BV45" s="2">
        <f t="shared" si="52"/>
        <v>314</v>
      </c>
      <c r="BW45" s="2">
        <f t="shared" si="52"/>
        <v>249</v>
      </c>
      <c r="BX45" s="2">
        <f t="shared" ref="BX45:CD45" si="53">BX43-BX44</f>
        <v>240</v>
      </c>
      <c r="BY45" s="2">
        <f t="shared" si="53"/>
        <v>457</v>
      </c>
      <c r="BZ45" s="2">
        <f t="shared" si="53"/>
        <v>366</v>
      </c>
      <c r="CA45" s="2">
        <f t="shared" si="53"/>
        <v>322</v>
      </c>
      <c r="CB45" s="2">
        <f>CB43-CB44</f>
        <v>431</v>
      </c>
      <c r="CC45" s="2">
        <f>CC43-CC44</f>
        <v>385</v>
      </c>
      <c r="CD45" s="2">
        <f t="shared" si="53"/>
        <v>322</v>
      </c>
      <c r="CE45" s="2">
        <f t="shared" ref="CE45:CJ45" si="54">CE43-CE44</f>
        <v>268</v>
      </c>
      <c r="CF45" s="2">
        <f t="shared" si="54"/>
        <v>228</v>
      </c>
      <c r="CG45" s="2">
        <f t="shared" si="54"/>
        <v>215</v>
      </c>
      <c r="CH45" s="2">
        <f t="shared" si="54"/>
        <v>192</v>
      </c>
      <c r="CI45" s="2">
        <f t="shared" si="54"/>
        <v>179</v>
      </c>
      <c r="CJ45" s="2">
        <f t="shared" si="54"/>
        <v>155</v>
      </c>
      <c r="CK45" s="2">
        <f>CK43-CK44</f>
        <v>140</v>
      </c>
    </row>
    <row r="46" spans="1:89" x14ac:dyDescent="0.2">
      <c r="B46" s="10" t="s">
        <v>2609</v>
      </c>
      <c r="C46" s="147">
        <v>0</v>
      </c>
      <c r="D46" s="101">
        <v>0</v>
      </c>
      <c r="E46" s="101">
        <v>1</v>
      </c>
      <c r="F46" s="101">
        <v>0</v>
      </c>
      <c r="G46" s="101">
        <v>0</v>
      </c>
      <c r="H46" s="101">
        <v>0</v>
      </c>
      <c r="I46" s="101">
        <v>1</v>
      </c>
      <c r="J46" s="101">
        <v>1</v>
      </c>
      <c r="K46" s="101">
        <v>0</v>
      </c>
      <c r="L46" s="101">
        <v>1</v>
      </c>
      <c r="M46" s="101">
        <v>0</v>
      </c>
      <c r="N46" s="101">
        <v>0</v>
      </c>
      <c r="O46" s="101">
        <v>1</v>
      </c>
      <c r="P46" s="101">
        <v>1</v>
      </c>
      <c r="Q46" s="101">
        <v>0</v>
      </c>
      <c r="R46" s="101">
        <v>2</v>
      </c>
      <c r="S46" s="101">
        <v>0</v>
      </c>
      <c r="T46" s="101">
        <v>1</v>
      </c>
      <c r="U46" s="101">
        <v>1</v>
      </c>
      <c r="V46" s="101">
        <v>1</v>
      </c>
      <c r="W46" s="101">
        <v>0</v>
      </c>
      <c r="X46" s="101">
        <v>2</v>
      </c>
      <c r="Y46" s="101">
        <v>2</v>
      </c>
      <c r="Z46" s="101">
        <v>0</v>
      </c>
      <c r="AA46" s="101">
        <v>2</v>
      </c>
      <c r="AB46" s="101">
        <v>0</v>
      </c>
      <c r="AC46" s="101">
        <v>2</v>
      </c>
      <c r="AD46" s="101">
        <v>2</v>
      </c>
      <c r="AE46" s="101">
        <v>3</v>
      </c>
      <c r="AF46" s="101">
        <v>0</v>
      </c>
      <c r="AG46" s="101">
        <v>1</v>
      </c>
      <c r="AH46" s="101">
        <v>0</v>
      </c>
      <c r="AI46" s="101">
        <v>0</v>
      </c>
      <c r="AJ46" s="101">
        <v>1</v>
      </c>
      <c r="AK46" s="101">
        <v>4</v>
      </c>
      <c r="AL46" s="101">
        <v>0</v>
      </c>
      <c r="AM46" s="101">
        <v>2</v>
      </c>
      <c r="AN46" s="1">
        <v>1</v>
      </c>
      <c r="AR46" s="1">
        <v>1</v>
      </c>
      <c r="BI46" s="1">
        <v>1</v>
      </c>
      <c r="BQ46" s="1">
        <v>2</v>
      </c>
      <c r="CI46" s="1">
        <v>1</v>
      </c>
    </row>
    <row r="47" spans="1:89" ht="12.75" thickBot="1" x14ac:dyDescent="0.25">
      <c r="B47" s="12" t="s">
        <v>2610</v>
      </c>
      <c r="C47" s="148">
        <f>SUM($C$46:C46)</f>
        <v>0</v>
      </c>
      <c r="D47" s="105">
        <f>SUM($C$46:D46)</f>
        <v>0</v>
      </c>
      <c r="E47" s="105">
        <f>SUM($C$46:E46)</f>
        <v>1</v>
      </c>
      <c r="F47" s="105">
        <f>SUM($C$46:F46)</f>
        <v>1</v>
      </c>
      <c r="G47" s="105">
        <f>SUM($C$46:G46)</f>
        <v>1</v>
      </c>
      <c r="H47" s="105">
        <f>SUM($C$46:H46)</f>
        <v>1</v>
      </c>
      <c r="I47" s="105">
        <f>SUM($C$46:I46)</f>
        <v>2</v>
      </c>
      <c r="J47" s="105">
        <f>SUM($C$46:J46)</f>
        <v>3</v>
      </c>
      <c r="K47" s="105">
        <f>SUM($C$46:K46)</f>
        <v>3</v>
      </c>
      <c r="L47" s="105">
        <f>SUM($C$46:L46)</f>
        <v>4</v>
      </c>
      <c r="M47" s="105">
        <f>SUM($C$46:M46)</f>
        <v>4</v>
      </c>
      <c r="N47" s="105">
        <f>SUM($C$46:N46)</f>
        <v>4</v>
      </c>
      <c r="O47" s="105">
        <f>SUM($C$46:O46)</f>
        <v>5</v>
      </c>
      <c r="P47" s="105">
        <f>SUM($C$46:P46)</f>
        <v>6</v>
      </c>
      <c r="Q47" s="105">
        <f>SUM($C$46:Q46)</f>
        <v>6</v>
      </c>
      <c r="R47" s="105">
        <f>SUM($C$46:R46)</f>
        <v>8</v>
      </c>
      <c r="S47" s="105">
        <f>SUM($C$46:S46)</f>
        <v>8</v>
      </c>
      <c r="T47" s="105">
        <f>SUM($C$46:T46)</f>
        <v>9</v>
      </c>
      <c r="U47" s="105">
        <f>SUM($C$46:U46)</f>
        <v>10</v>
      </c>
      <c r="V47" s="105">
        <f>SUM($C$46:V46)</f>
        <v>11</v>
      </c>
      <c r="W47" s="105">
        <f>SUM($C$46:W46)</f>
        <v>11</v>
      </c>
      <c r="X47" s="105">
        <f>SUM($C$46:X46)</f>
        <v>13</v>
      </c>
      <c r="Y47" s="105">
        <f>SUM($C$46:Y46)</f>
        <v>15</v>
      </c>
      <c r="Z47" s="105">
        <f>SUM($C$46:Z46)</f>
        <v>15</v>
      </c>
      <c r="AA47" s="105">
        <f>SUM($C$46:AA46)</f>
        <v>17</v>
      </c>
      <c r="AB47" s="105">
        <f>SUM($C$46:AB46)</f>
        <v>17</v>
      </c>
      <c r="AC47" s="105">
        <f>SUM($C$46:AC46)</f>
        <v>19</v>
      </c>
      <c r="AD47" s="105">
        <f>SUM($C$46:AD46)</f>
        <v>21</v>
      </c>
      <c r="AE47" s="105">
        <f>SUM($C$46:AE46)</f>
        <v>24</v>
      </c>
      <c r="AF47" s="105">
        <f>SUM($C$46:AF46)</f>
        <v>24</v>
      </c>
      <c r="AG47" s="105">
        <f>SUM($C$46:AG46)</f>
        <v>25</v>
      </c>
      <c r="AH47" s="105">
        <f>SUM($C$46:AH46)</f>
        <v>25</v>
      </c>
      <c r="AI47" s="105">
        <f>SUM($C$46:AI46)</f>
        <v>25</v>
      </c>
      <c r="AJ47" s="105">
        <f>SUM($C$46:AJ46)</f>
        <v>26</v>
      </c>
      <c r="AK47" s="105">
        <f>SUM($C$46:AK46)</f>
        <v>30</v>
      </c>
      <c r="AL47" s="105">
        <f>SUM($C$46:AL46)</f>
        <v>30</v>
      </c>
      <c r="AM47" s="149">
        <f>SUM($C$46:AM46)</f>
        <v>32</v>
      </c>
    </row>
    <row r="56" spans="3:7" x14ac:dyDescent="0.2">
      <c r="C56" s="28"/>
      <c r="D56" s="28"/>
      <c r="E56" s="28"/>
      <c r="F56" s="28"/>
      <c r="G56" s="28"/>
    </row>
    <row r="57" spans="3:7" x14ac:dyDescent="0.2">
      <c r="C57" s="28"/>
      <c r="D57" s="22" t="s">
        <v>2220</v>
      </c>
      <c r="E57" s="23"/>
      <c r="F57" s="24">
        <v>41306</v>
      </c>
      <c r="G57" s="28"/>
    </row>
    <row r="58" spans="3:7" x14ac:dyDescent="0.2">
      <c r="C58" s="28"/>
      <c r="D58" s="25" t="s">
        <v>2221</v>
      </c>
      <c r="E58" s="26"/>
      <c r="F58" s="27">
        <f ca="1">DATEVALUE(CONCATENATE(MONTH(NOW()),"/",YEAR(NOW())))</f>
        <v>41334</v>
      </c>
      <c r="G58" s="28"/>
    </row>
    <row r="59" spans="3:7" x14ac:dyDescent="0.2">
      <c r="C59" s="28"/>
      <c r="D59" s="28"/>
      <c r="E59" s="28"/>
      <c r="F59" s="28"/>
      <c r="G59" s="28"/>
    </row>
  </sheetData>
  <phoneticPr fontId="0" type="noConversion"/>
  <pageMargins left="0.78740157480314965" right="0.19685039370078741" top="0.98425196850393704" bottom="0.98425196850393704" header="0.51181102362204722" footer="0.51181102362204722"/>
  <pageSetup paperSize="9" scale="10" fitToWidth="2" orientation="landscape" horizontalDpi="4294967293" r:id="rId1"/>
  <headerFooter alignWithMargins="0">
    <oddHeader>&amp;L&amp;16SIAT-BRAUN&amp;C&amp;"Arial,Gras"&amp;14&amp;ESuivi étiquettes rouge 2006&amp;R&amp;D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enableFormatConditionsCalculation="0">
    <tabColor indexed="9"/>
    <pageSetUpPr fitToPage="1"/>
  </sheetPr>
  <dimension ref="A1:T2"/>
  <sheetViews>
    <sheetView zoomScale="80" workbookViewId="0">
      <selection activeCell="K54" sqref="K54"/>
    </sheetView>
  </sheetViews>
  <sheetFormatPr baseColWidth="10" defaultRowHeight="12.75" x14ac:dyDescent="0.2"/>
  <cols>
    <col min="14" max="14" width="4.5703125" customWidth="1"/>
    <col min="20" max="20" width="2.85546875" customWidth="1"/>
  </cols>
  <sheetData>
    <row r="1" spans="1:20" ht="29.25" customHeight="1" x14ac:dyDescent="0.2">
      <c r="A1" s="272" t="s">
        <v>1888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</row>
    <row r="2" spans="1:20" ht="12.75" customHeight="1" x14ac:dyDescent="0.2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</row>
  </sheetData>
  <mergeCells count="1">
    <mergeCell ref="A1:T1"/>
  </mergeCells>
  <phoneticPr fontId="0" type="noConversion"/>
  <printOptions horizontalCentered="1" verticalCentered="1"/>
  <pageMargins left="0.39370078740157483" right="0.39370078740157483" top="0.98425196850393704" bottom="0.98425196850393704" header="0.51181102362204722" footer="0.51181102362204722"/>
  <pageSetup paperSize="9" scale="66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>
    <tabColor indexed="43"/>
  </sheetPr>
  <dimension ref="A1:K52"/>
  <sheetViews>
    <sheetView zoomScaleNormal="100" zoomScaleSheetLayoutView="100" workbookViewId="0">
      <pane ySplit="1" topLeftCell="A26" activePane="bottomLeft" state="frozen"/>
      <selection activeCell="A63" sqref="A63:IV63"/>
      <selection pane="bottomLeft" activeCell="A52" sqref="A52:F52"/>
    </sheetView>
  </sheetViews>
  <sheetFormatPr baseColWidth="10" defaultRowHeight="12" x14ac:dyDescent="0.2"/>
  <cols>
    <col min="1" max="1" width="10.85546875" style="31" customWidth="1"/>
    <col min="2" max="2" width="86.140625" style="33" customWidth="1"/>
    <col min="3" max="3" width="10.85546875" style="35" bestFit="1" customWidth="1"/>
    <col min="4" max="4" width="8.85546875" style="37" customWidth="1"/>
    <col min="5" max="5" width="11.85546875" style="35" bestFit="1" customWidth="1"/>
    <col min="6" max="6" width="8.28515625" style="38" customWidth="1"/>
    <col min="7" max="7" width="13.42578125" style="169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  <col min="12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1" x14ac:dyDescent="0.2">
      <c r="A2" s="31">
        <v>39328</v>
      </c>
      <c r="B2" s="33" t="s">
        <v>3226</v>
      </c>
      <c r="C2" s="35" t="s">
        <v>3894</v>
      </c>
      <c r="D2" s="37">
        <v>1660</v>
      </c>
      <c r="E2" s="35" t="s">
        <v>1667</v>
      </c>
      <c r="F2" s="38">
        <v>3</v>
      </c>
      <c r="G2" s="169" t="s">
        <v>3406</v>
      </c>
    </row>
    <row r="3" spans="1:11" x14ac:dyDescent="0.2">
      <c r="A3" s="31">
        <v>39708</v>
      </c>
      <c r="B3" s="33" t="s">
        <v>2116</v>
      </c>
      <c r="C3" s="35" t="s">
        <v>3894</v>
      </c>
      <c r="D3" s="37">
        <v>2684</v>
      </c>
      <c r="F3" s="38">
        <v>5</v>
      </c>
      <c r="G3" s="169" t="s">
        <v>3406</v>
      </c>
    </row>
    <row r="4" spans="1:11" x14ac:dyDescent="0.2">
      <c r="A4" s="31">
        <v>39953</v>
      </c>
      <c r="B4" s="33" t="s">
        <v>2887</v>
      </c>
      <c r="C4" s="35" t="s">
        <v>1841</v>
      </c>
      <c r="D4" s="37">
        <v>3094</v>
      </c>
      <c r="F4" s="38">
        <v>5</v>
      </c>
      <c r="G4" s="169" t="s">
        <v>3406</v>
      </c>
    </row>
    <row r="5" spans="1:11" ht="24" x14ac:dyDescent="0.2">
      <c r="A5" s="31">
        <v>39966</v>
      </c>
      <c r="B5" s="33" t="s">
        <v>1192</v>
      </c>
      <c r="C5" s="35" t="s">
        <v>2050</v>
      </c>
      <c r="D5" s="37">
        <v>129</v>
      </c>
      <c r="E5" s="35" t="s">
        <v>2188</v>
      </c>
      <c r="F5" s="38">
        <v>5</v>
      </c>
      <c r="G5" s="169" t="s">
        <v>3406</v>
      </c>
    </row>
    <row r="6" spans="1:11" x14ac:dyDescent="0.2">
      <c r="A6" s="31">
        <v>40100</v>
      </c>
      <c r="B6" s="33" t="s">
        <v>3439</v>
      </c>
      <c r="C6" s="35" t="s">
        <v>2050</v>
      </c>
      <c r="D6" s="37">
        <v>5518</v>
      </c>
      <c r="E6" s="35" t="s">
        <v>850</v>
      </c>
      <c r="F6" s="38">
        <v>5</v>
      </c>
      <c r="G6" s="169" t="s">
        <v>3406</v>
      </c>
    </row>
    <row r="7" spans="1:11" x14ac:dyDescent="0.2">
      <c r="A7" s="31">
        <v>40119</v>
      </c>
      <c r="B7" s="33" t="s">
        <v>961</v>
      </c>
      <c r="C7" s="35" t="s">
        <v>3894</v>
      </c>
      <c r="D7" s="37">
        <v>5533</v>
      </c>
      <c r="E7" s="35" t="s">
        <v>1562</v>
      </c>
      <c r="F7" s="38">
        <v>3</v>
      </c>
      <c r="G7" s="169" t="s">
        <v>3406</v>
      </c>
    </row>
    <row r="8" spans="1:11" x14ac:dyDescent="0.2">
      <c r="A8" s="31">
        <v>40119</v>
      </c>
      <c r="B8" s="243" t="s">
        <v>1308</v>
      </c>
      <c r="C8" s="35" t="s">
        <v>3963</v>
      </c>
      <c r="D8" s="37">
        <v>5536</v>
      </c>
      <c r="E8" s="35" t="s">
        <v>3175</v>
      </c>
      <c r="F8" s="38">
        <v>3</v>
      </c>
      <c r="G8" s="169" t="s">
        <v>3406</v>
      </c>
    </row>
    <row r="9" spans="1:11" x14ac:dyDescent="0.2">
      <c r="A9" s="31">
        <v>40203</v>
      </c>
      <c r="B9" s="243" t="s">
        <v>2888</v>
      </c>
      <c r="C9" s="35" t="s">
        <v>1841</v>
      </c>
      <c r="D9" s="37">
        <v>5670</v>
      </c>
      <c r="E9" s="35" t="s">
        <v>2494</v>
      </c>
      <c r="F9" s="38">
        <v>5</v>
      </c>
      <c r="G9" s="169" t="s">
        <v>3406</v>
      </c>
    </row>
    <row r="10" spans="1:11" x14ac:dyDescent="0.2">
      <c r="A10" s="31">
        <v>40240</v>
      </c>
      <c r="B10" s="33" t="s">
        <v>2961</v>
      </c>
      <c r="C10" s="35" t="s">
        <v>3894</v>
      </c>
      <c r="D10" s="37">
        <v>5868</v>
      </c>
      <c r="F10" s="38">
        <v>5</v>
      </c>
      <c r="G10" s="169" t="s">
        <v>3406</v>
      </c>
    </row>
    <row r="11" spans="1:11" x14ac:dyDescent="0.2">
      <c r="A11" s="31">
        <v>40249</v>
      </c>
      <c r="B11" s="33" t="s">
        <v>2798</v>
      </c>
      <c r="C11" s="35" t="s">
        <v>2050</v>
      </c>
      <c r="D11" s="37">
        <v>5823</v>
      </c>
      <c r="E11" s="35" t="s">
        <v>2494</v>
      </c>
      <c r="F11" s="38">
        <v>4</v>
      </c>
      <c r="G11" s="169" t="s">
        <v>3406</v>
      </c>
    </row>
    <row r="12" spans="1:11" x14ac:dyDescent="0.2">
      <c r="A12" s="31">
        <v>40316</v>
      </c>
      <c r="B12" s="33" t="s">
        <v>993</v>
      </c>
      <c r="C12" s="35" t="s">
        <v>1841</v>
      </c>
      <c r="D12" s="37">
        <v>5827</v>
      </c>
      <c r="E12" s="35" t="s">
        <v>3175</v>
      </c>
      <c r="F12" s="38">
        <v>3</v>
      </c>
      <c r="G12" s="169" t="s">
        <v>3406</v>
      </c>
    </row>
    <row r="13" spans="1:11" x14ac:dyDescent="0.2">
      <c r="A13" s="31">
        <v>40329</v>
      </c>
      <c r="B13" s="33" t="s">
        <v>1941</v>
      </c>
      <c r="C13" s="35" t="s">
        <v>1841</v>
      </c>
      <c r="D13" s="37">
        <v>6498</v>
      </c>
      <c r="E13" s="35" t="s">
        <v>3482</v>
      </c>
      <c r="F13" s="38">
        <v>3</v>
      </c>
      <c r="G13" s="169" t="s">
        <v>3406</v>
      </c>
    </row>
    <row r="14" spans="1:11" x14ac:dyDescent="0.2">
      <c r="A14" s="31">
        <v>40385</v>
      </c>
      <c r="B14" s="33" t="s">
        <v>2195</v>
      </c>
      <c r="C14" s="35" t="s">
        <v>1841</v>
      </c>
      <c r="D14" s="37">
        <v>6502</v>
      </c>
      <c r="E14" s="35" t="s">
        <v>952</v>
      </c>
      <c r="F14" s="38">
        <v>4</v>
      </c>
      <c r="G14" s="169" t="s">
        <v>3406</v>
      </c>
    </row>
    <row r="15" spans="1:11" x14ac:dyDescent="0.2">
      <c r="A15" s="31">
        <v>40386</v>
      </c>
      <c r="B15" s="33" t="s">
        <v>4015</v>
      </c>
      <c r="C15" s="35" t="s">
        <v>3963</v>
      </c>
      <c r="D15" s="37">
        <v>6515</v>
      </c>
      <c r="E15" s="35" t="s">
        <v>3482</v>
      </c>
      <c r="F15" s="38">
        <v>4</v>
      </c>
      <c r="G15" s="169" t="s">
        <v>3406</v>
      </c>
    </row>
    <row r="16" spans="1:11" x14ac:dyDescent="0.2">
      <c r="A16" s="31">
        <v>40441</v>
      </c>
      <c r="B16" s="33" t="s">
        <v>2857</v>
      </c>
      <c r="C16" s="35" t="s">
        <v>3963</v>
      </c>
      <c r="D16" s="37">
        <v>6539</v>
      </c>
      <c r="E16" s="35" t="s">
        <v>2858</v>
      </c>
      <c r="F16" s="38">
        <v>4</v>
      </c>
      <c r="G16" s="169" t="s">
        <v>3406</v>
      </c>
    </row>
    <row r="17" spans="1:8" ht="24" x14ac:dyDescent="0.2">
      <c r="A17" s="31">
        <v>40463</v>
      </c>
      <c r="B17" s="243" t="s">
        <v>632</v>
      </c>
      <c r="C17" s="35" t="s">
        <v>2050</v>
      </c>
      <c r="D17" s="37">
        <v>6556</v>
      </c>
      <c r="F17" s="38">
        <v>3</v>
      </c>
      <c r="G17" s="169" t="s">
        <v>3406</v>
      </c>
    </row>
    <row r="18" spans="1:8" x14ac:dyDescent="0.2">
      <c r="A18" s="31">
        <v>40520</v>
      </c>
      <c r="B18" s="33" t="s">
        <v>2224</v>
      </c>
      <c r="C18" s="35" t="s">
        <v>1841</v>
      </c>
      <c r="D18" s="37">
        <v>7697</v>
      </c>
      <c r="F18" s="38">
        <v>3</v>
      </c>
      <c r="G18" s="169" t="s">
        <v>3406</v>
      </c>
    </row>
    <row r="19" spans="1:8" x14ac:dyDescent="0.2">
      <c r="A19" s="31">
        <v>40620</v>
      </c>
      <c r="B19" s="33" t="s">
        <v>2555</v>
      </c>
      <c r="C19" s="35" t="s">
        <v>1766</v>
      </c>
      <c r="D19" s="37">
        <v>7732</v>
      </c>
      <c r="E19" s="35" t="s">
        <v>2556</v>
      </c>
      <c r="F19" s="38">
        <v>1</v>
      </c>
      <c r="G19" s="169" t="s">
        <v>3406</v>
      </c>
    </row>
    <row r="20" spans="1:8" x14ac:dyDescent="0.2">
      <c r="A20" s="31">
        <v>40694</v>
      </c>
      <c r="B20" s="33" t="s">
        <v>209</v>
      </c>
      <c r="C20" s="35" t="s">
        <v>2050</v>
      </c>
      <c r="D20" s="37">
        <v>7745</v>
      </c>
      <c r="E20" s="35" t="s">
        <v>2494</v>
      </c>
      <c r="F20" s="38">
        <v>2</v>
      </c>
      <c r="G20" s="169" t="s">
        <v>3406</v>
      </c>
    </row>
    <row r="21" spans="1:8" ht="12" customHeight="1" x14ac:dyDescent="0.2">
      <c r="A21" s="31">
        <v>40798</v>
      </c>
      <c r="B21" s="33" t="s">
        <v>929</v>
      </c>
      <c r="C21" s="35" t="s">
        <v>2347</v>
      </c>
      <c r="D21" s="37">
        <v>7567</v>
      </c>
      <c r="E21" s="35" t="s">
        <v>196</v>
      </c>
      <c r="F21" s="38">
        <v>1</v>
      </c>
      <c r="G21" s="169" t="s">
        <v>3406</v>
      </c>
    </row>
    <row r="22" spans="1:8" x14ac:dyDescent="0.2">
      <c r="A22" s="31">
        <v>40707</v>
      </c>
      <c r="B22" s="33" t="s">
        <v>2346</v>
      </c>
      <c r="C22" s="35" t="s">
        <v>1594</v>
      </c>
      <c r="D22" s="37">
        <v>7569</v>
      </c>
      <c r="E22" s="35" t="s">
        <v>196</v>
      </c>
      <c r="F22" s="38">
        <v>1</v>
      </c>
      <c r="G22" s="169" t="s">
        <v>3406</v>
      </c>
      <c r="H22" s="168" t="s">
        <v>1162</v>
      </c>
    </row>
    <row r="23" spans="1:8" x14ac:dyDescent="0.2">
      <c r="A23" s="31">
        <v>40799</v>
      </c>
      <c r="B23" s="33" t="s">
        <v>1593</v>
      </c>
      <c r="C23" s="35" t="s">
        <v>604</v>
      </c>
      <c r="D23" s="37">
        <v>7565</v>
      </c>
      <c r="E23" s="35" t="s">
        <v>605</v>
      </c>
      <c r="F23" s="38">
        <v>1</v>
      </c>
      <c r="G23" s="169" t="s">
        <v>3406</v>
      </c>
    </row>
    <row r="24" spans="1:8" x14ac:dyDescent="0.2">
      <c r="A24" s="31">
        <v>40826</v>
      </c>
      <c r="B24" s="33" t="s">
        <v>3092</v>
      </c>
      <c r="C24" s="35" t="s">
        <v>1841</v>
      </c>
      <c r="D24" s="37">
        <v>7668</v>
      </c>
      <c r="E24" s="35" t="s">
        <v>3482</v>
      </c>
      <c r="F24" s="38">
        <v>3</v>
      </c>
      <c r="G24" s="169" t="s">
        <v>3406</v>
      </c>
    </row>
    <row r="25" spans="1:8" ht="24" x14ac:dyDescent="0.2">
      <c r="A25" s="31">
        <v>40918</v>
      </c>
      <c r="B25" s="33" t="s">
        <v>1547</v>
      </c>
      <c r="C25" s="35" t="s">
        <v>258</v>
      </c>
      <c r="D25" s="37">
        <v>7631</v>
      </c>
      <c r="E25" s="35" t="s">
        <v>1604</v>
      </c>
      <c r="F25" s="38">
        <v>1</v>
      </c>
      <c r="G25" s="169" t="s">
        <v>3406</v>
      </c>
    </row>
    <row r="26" spans="1:8" x14ac:dyDescent="0.2">
      <c r="A26" s="31">
        <v>40876</v>
      </c>
      <c r="B26" s="33" t="s">
        <v>3327</v>
      </c>
      <c r="C26" s="35" t="s">
        <v>2696</v>
      </c>
      <c r="D26" s="37">
        <v>7661</v>
      </c>
      <c r="F26" s="38">
        <v>2</v>
      </c>
      <c r="G26" s="169" t="s">
        <v>3406</v>
      </c>
    </row>
    <row r="27" spans="1:8" x14ac:dyDescent="0.2">
      <c r="A27" s="31">
        <v>40974</v>
      </c>
      <c r="B27" s="33" t="s">
        <v>248</v>
      </c>
      <c r="C27" s="35" t="s">
        <v>932</v>
      </c>
      <c r="D27" s="37">
        <v>7636</v>
      </c>
      <c r="F27" s="38">
        <v>3</v>
      </c>
      <c r="G27" s="169" t="s">
        <v>3406</v>
      </c>
      <c r="H27" s="168" t="s">
        <v>1228</v>
      </c>
    </row>
    <row r="28" spans="1:8" x14ac:dyDescent="0.2">
      <c r="A28" s="31">
        <v>41018</v>
      </c>
      <c r="B28" s="33" t="s">
        <v>3870</v>
      </c>
      <c r="C28" s="35" t="s">
        <v>932</v>
      </c>
      <c r="D28" s="37">
        <v>8979</v>
      </c>
      <c r="F28" s="38">
        <v>1</v>
      </c>
      <c r="G28" s="169" t="s">
        <v>3406</v>
      </c>
      <c r="H28" s="168" t="s">
        <v>1878</v>
      </c>
    </row>
    <row r="29" spans="1:8" x14ac:dyDescent="0.2">
      <c r="A29" s="31">
        <v>41079</v>
      </c>
      <c r="B29" s="33" t="s">
        <v>3919</v>
      </c>
      <c r="C29" s="35" t="s">
        <v>932</v>
      </c>
      <c r="D29" s="37">
        <v>8638</v>
      </c>
      <c r="H29" s="168" t="s">
        <v>17</v>
      </c>
    </row>
    <row r="30" spans="1:8" x14ac:dyDescent="0.2">
      <c r="A30" s="31">
        <v>41079</v>
      </c>
      <c r="B30" s="243" t="s">
        <v>3135</v>
      </c>
      <c r="C30" s="35" t="s">
        <v>932</v>
      </c>
      <c r="D30" s="37">
        <v>8635</v>
      </c>
    </row>
    <row r="31" spans="1:8" ht="24" x14ac:dyDescent="0.2">
      <c r="A31" s="31">
        <v>41099</v>
      </c>
      <c r="B31" s="33" t="s">
        <v>1806</v>
      </c>
      <c r="C31" s="35" t="s">
        <v>932</v>
      </c>
      <c r="D31" s="37">
        <v>8631</v>
      </c>
    </row>
    <row r="32" spans="1:8" x14ac:dyDescent="0.2">
      <c r="A32" s="31">
        <v>41099</v>
      </c>
      <c r="B32" s="33" t="s">
        <v>3642</v>
      </c>
      <c r="C32" s="35" t="s">
        <v>2696</v>
      </c>
      <c r="D32" s="37">
        <v>8634</v>
      </c>
    </row>
    <row r="33" spans="1:9" x14ac:dyDescent="0.2">
      <c r="A33" s="31">
        <v>41099</v>
      </c>
      <c r="B33" s="243" t="s">
        <v>1900</v>
      </c>
      <c r="C33" s="35" t="s">
        <v>2696</v>
      </c>
      <c r="D33" s="37">
        <v>8630</v>
      </c>
    </row>
    <row r="34" spans="1:9" ht="24" x14ac:dyDescent="0.2">
      <c r="A34" s="31">
        <v>41127</v>
      </c>
      <c r="B34" s="33" t="s">
        <v>1450</v>
      </c>
      <c r="C34" s="35" t="s">
        <v>932</v>
      </c>
      <c r="D34" s="37">
        <v>8628</v>
      </c>
    </row>
    <row r="35" spans="1:9" x14ac:dyDescent="0.2">
      <c r="A35" s="31">
        <v>41157</v>
      </c>
      <c r="B35" s="243" t="s">
        <v>1426</v>
      </c>
      <c r="C35" s="35" t="s">
        <v>1427</v>
      </c>
      <c r="D35" s="37">
        <v>9170</v>
      </c>
    </row>
    <row r="36" spans="1:9" x14ac:dyDescent="0.2">
      <c r="A36" s="31">
        <v>41157</v>
      </c>
      <c r="B36" s="33" t="s">
        <v>2815</v>
      </c>
      <c r="C36" s="35" t="s">
        <v>1766</v>
      </c>
      <c r="D36" s="37">
        <v>9168</v>
      </c>
    </row>
    <row r="37" spans="1:9" x14ac:dyDescent="0.2">
      <c r="A37" s="31">
        <v>41157</v>
      </c>
      <c r="B37" s="33" t="s">
        <v>1024</v>
      </c>
      <c r="C37" s="35" t="s">
        <v>3254</v>
      </c>
      <c r="D37" s="37">
        <v>9165</v>
      </c>
    </row>
    <row r="38" spans="1:9" x14ac:dyDescent="0.2">
      <c r="A38" s="31">
        <v>41180</v>
      </c>
      <c r="B38" s="33" t="s">
        <v>2882</v>
      </c>
      <c r="C38" s="35" t="s">
        <v>258</v>
      </c>
      <c r="D38" s="37">
        <v>9041</v>
      </c>
    </row>
    <row r="39" spans="1:9" ht="24" x14ac:dyDescent="0.2">
      <c r="A39" s="31">
        <v>41186</v>
      </c>
      <c r="B39" s="33" t="s">
        <v>862</v>
      </c>
      <c r="C39" s="35" t="s">
        <v>258</v>
      </c>
      <c r="D39" s="37">
        <v>9042</v>
      </c>
    </row>
    <row r="40" spans="1:9" x14ac:dyDescent="0.2">
      <c r="A40" s="31">
        <v>41220</v>
      </c>
      <c r="B40" s="243" t="s">
        <v>3245</v>
      </c>
      <c r="C40" s="35" t="s">
        <v>932</v>
      </c>
      <c r="D40" s="37">
        <v>8905</v>
      </c>
    </row>
    <row r="41" spans="1:9" x14ac:dyDescent="0.2">
      <c r="A41" s="31">
        <v>41234</v>
      </c>
      <c r="B41" s="33" t="s">
        <v>2711</v>
      </c>
      <c r="C41" s="35" t="s">
        <v>2364</v>
      </c>
      <c r="D41" s="37">
        <v>8990</v>
      </c>
      <c r="F41" s="38">
        <v>2</v>
      </c>
      <c r="G41" s="169" t="s">
        <v>3406</v>
      </c>
      <c r="I41" s="177">
        <v>41323</v>
      </c>
    </row>
    <row r="42" spans="1:9" x14ac:dyDescent="0.2">
      <c r="A42" s="31">
        <v>41297</v>
      </c>
      <c r="B42" s="33" t="s">
        <v>3973</v>
      </c>
      <c r="C42" s="35" t="s">
        <v>932</v>
      </c>
      <c r="D42" s="37">
        <v>9287</v>
      </c>
    </row>
    <row r="43" spans="1:9" x14ac:dyDescent="0.2">
      <c r="A43" s="31">
        <v>41297</v>
      </c>
      <c r="B43" s="33" t="s">
        <v>3974</v>
      </c>
      <c r="C43" s="35" t="s">
        <v>2696</v>
      </c>
      <c r="D43" s="37">
        <v>9286</v>
      </c>
    </row>
    <row r="44" spans="1:9" x14ac:dyDescent="0.2">
      <c r="A44" s="31">
        <v>9293</v>
      </c>
      <c r="B44" s="33" t="s">
        <v>3975</v>
      </c>
      <c r="C44" s="35" t="s">
        <v>932</v>
      </c>
      <c r="D44" s="37">
        <v>9293</v>
      </c>
    </row>
    <row r="45" spans="1:9" ht="24" x14ac:dyDescent="0.2">
      <c r="A45" s="31">
        <v>41297</v>
      </c>
      <c r="B45" s="33" t="s">
        <v>3976</v>
      </c>
      <c r="C45" s="35" t="s">
        <v>932</v>
      </c>
      <c r="D45" s="37">
        <v>9292</v>
      </c>
    </row>
    <row r="46" spans="1:9" x14ac:dyDescent="0.2">
      <c r="A46" s="31">
        <v>41297</v>
      </c>
      <c r="B46" s="33" t="s">
        <v>3978</v>
      </c>
      <c r="C46" s="35" t="s">
        <v>2696</v>
      </c>
      <c r="D46" s="37">
        <v>9289</v>
      </c>
    </row>
    <row r="47" spans="1:9" ht="24" x14ac:dyDescent="0.2">
      <c r="A47" s="31">
        <v>41297</v>
      </c>
      <c r="B47" s="33" t="s">
        <v>3979</v>
      </c>
      <c r="C47" s="35" t="s">
        <v>2696</v>
      </c>
      <c r="D47" s="37">
        <v>9290</v>
      </c>
    </row>
    <row r="48" spans="1:9" ht="24" x14ac:dyDescent="0.2">
      <c r="A48" s="31">
        <v>41297</v>
      </c>
      <c r="B48" s="33" t="s">
        <v>3980</v>
      </c>
      <c r="C48" s="35" t="s">
        <v>2696</v>
      </c>
      <c r="D48" s="37">
        <v>9291</v>
      </c>
    </row>
    <row r="49" spans="1:4" ht="24" x14ac:dyDescent="0.2">
      <c r="A49" s="31">
        <v>41324</v>
      </c>
      <c r="B49" s="33" t="s">
        <v>4031</v>
      </c>
      <c r="C49" s="35" t="s">
        <v>3894</v>
      </c>
      <c r="D49" s="37">
        <v>9266</v>
      </c>
    </row>
    <row r="50" spans="1:4" x14ac:dyDescent="0.2">
      <c r="A50" s="31">
        <v>41327</v>
      </c>
      <c r="B50" s="33" t="s">
        <v>4033</v>
      </c>
      <c r="C50" s="35" t="s">
        <v>932</v>
      </c>
      <c r="D50" s="37">
        <v>9262</v>
      </c>
    </row>
    <row r="51" spans="1:4" x14ac:dyDescent="0.2">
      <c r="A51" s="31">
        <v>41327</v>
      </c>
      <c r="B51" s="33" t="s">
        <v>4036</v>
      </c>
      <c r="C51" s="35" t="s">
        <v>2364</v>
      </c>
      <c r="D51" s="37">
        <v>9265</v>
      </c>
    </row>
    <row r="52" spans="1:4" x14ac:dyDescent="0.2">
      <c r="A52" s="31">
        <v>41337</v>
      </c>
      <c r="B52" s="33" t="s">
        <v>4039</v>
      </c>
      <c r="C52" s="35" t="s">
        <v>3963</v>
      </c>
      <c r="D52" s="37">
        <v>9256</v>
      </c>
    </row>
  </sheetData>
  <autoFilter ref="A1:F48"/>
  <phoneticPr fontId="0" type="noConversion"/>
  <conditionalFormatting sqref="F1:F1048576">
    <cfRule type="cellIs" dxfId="27" priority="1" stopIfTrue="1" operator="equal">
      <formula>1</formula>
    </cfRule>
    <cfRule type="cellIs" dxfId="26" priority="2" stopIfTrue="1" operator="equal">
      <formula>2</formula>
    </cfRule>
    <cfRule type="cellIs" dxfId="25" priority="3" stopIfTrue="1" operator="equal">
      <formula>3</formula>
    </cfRule>
  </conditionalFormatting>
  <conditionalFormatting sqref="I1:I1048576">
    <cfRule type="cellIs" dxfId="24" priority="4" stopIfTrue="1" operator="equal">
      <formula>"Ok"</formula>
    </cfRule>
  </conditionalFormatting>
  <pageMargins left="0.48" right="0.78740157480314965" top="0.98425196850393704" bottom="0.39370078740157483" header="0.51181102362204722" footer="0.51181102362204722"/>
  <pageSetup paperSize="9" scale="63" orientation="landscape" r:id="rId1"/>
  <headerFooter alignWithMargins="0">
    <oddHeader>&amp;Lsuivi des travaux de maintenance.&amp;C&amp;"Arial,Gras"&amp;EREFENTE
à faire&amp;R&amp;D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tabColor indexed="43"/>
  </sheetPr>
  <dimension ref="A1:G594"/>
  <sheetViews>
    <sheetView workbookViewId="0">
      <pane ySplit="1" topLeftCell="A568" activePane="bottomLeft" state="frozen"/>
      <selection activeCell="B17" sqref="B17"/>
      <selection pane="bottomLeft" activeCell="A594" sqref="A594:F594"/>
    </sheetView>
  </sheetViews>
  <sheetFormatPr baseColWidth="10" defaultRowHeight="12" x14ac:dyDescent="0.2"/>
  <cols>
    <col min="1" max="1" width="9.140625" style="39" bestFit="1" customWidth="1"/>
    <col min="2" max="2" width="84.42578125" style="40" bestFit="1" customWidth="1"/>
    <col min="3" max="3" width="9.5703125" style="41" customWidth="1"/>
    <col min="4" max="4" width="9" style="43" customWidth="1"/>
    <col min="5" max="5" width="10.5703125" style="41" bestFit="1" customWidth="1"/>
    <col min="6" max="6" width="7.42578125" style="41" customWidth="1"/>
    <col min="7" max="7" width="11.140625" style="41" customWidth="1"/>
    <col min="8" max="16384" width="11.42578125" style="1"/>
  </cols>
  <sheetData>
    <row r="1" spans="1:7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x14ac:dyDescent="0.2">
      <c r="A2" s="78">
        <v>40445</v>
      </c>
      <c r="B2" s="79" t="s">
        <v>2031</v>
      </c>
      <c r="C2" s="80" t="s">
        <v>2031</v>
      </c>
      <c r="D2" s="81">
        <v>46</v>
      </c>
      <c r="E2" s="80" t="s">
        <v>2178</v>
      </c>
      <c r="F2" s="80"/>
      <c r="G2" s="116">
        <v>40689</v>
      </c>
    </row>
    <row r="3" spans="1:7" x14ac:dyDescent="0.2">
      <c r="A3" s="39">
        <v>39961</v>
      </c>
      <c r="B3" s="40" t="s">
        <v>1214</v>
      </c>
      <c r="C3" s="41" t="s">
        <v>3963</v>
      </c>
      <c r="D3" s="43">
        <v>130</v>
      </c>
      <c r="E3" s="41" t="s">
        <v>3483</v>
      </c>
      <c r="G3" s="56">
        <v>40023</v>
      </c>
    </row>
    <row r="4" spans="1:7" x14ac:dyDescent="0.2">
      <c r="A4" s="39">
        <v>39961</v>
      </c>
      <c r="B4" s="40" t="s">
        <v>947</v>
      </c>
      <c r="C4" s="41" t="s">
        <v>3894</v>
      </c>
      <c r="D4" s="43">
        <v>131</v>
      </c>
      <c r="E4" s="41" t="s">
        <v>2187</v>
      </c>
      <c r="G4" s="56">
        <v>40009</v>
      </c>
    </row>
    <row r="5" spans="1:7" x14ac:dyDescent="0.2">
      <c r="A5" s="39">
        <v>39961</v>
      </c>
      <c r="B5" s="40" t="s">
        <v>3363</v>
      </c>
      <c r="C5" s="41" t="s">
        <v>1841</v>
      </c>
      <c r="D5" s="43">
        <v>132</v>
      </c>
      <c r="E5" s="41" t="s">
        <v>3479</v>
      </c>
      <c r="G5" s="56">
        <v>40010</v>
      </c>
    </row>
    <row r="6" spans="1:7" x14ac:dyDescent="0.2">
      <c r="A6" s="39">
        <v>39961</v>
      </c>
      <c r="B6" s="40" t="s">
        <v>1363</v>
      </c>
      <c r="C6" s="41" t="s">
        <v>3963</v>
      </c>
      <c r="D6" s="43">
        <v>133</v>
      </c>
      <c r="E6" s="41" t="s">
        <v>3478</v>
      </c>
      <c r="G6" s="56">
        <v>40023</v>
      </c>
    </row>
    <row r="7" spans="1:7" ht="24" x14ac:dyDescent="0.2">
      <c r="A7" s="39">
        <v>39961</v>
      </c>
      <c r="B7" s="40" t="s">
        <v>2730</v>
      </c>
      <c r="C7" s="41" t="s">
        <v>2050</v>
      </c>
      <c r="D7" s="43">
        <v>134</v>
      </c>
      <c r="E7" s="41" t="s">
        <v>3478</v>
      </c>
      <c r="G7" s="56">
        <v>40717</v>
      </c>
    </row>
    <row r="8" spans="1:7" x14ac:dyDescent="0.2">
      <c r="A8" s="39">
        <v>39265</v>
      </c>
      <c r="B8" s="40" t="s">
        <v>866</v>
      </c>
      <c r="C8" s="41" t="s">
        <v>2050</v>
      </c>
      <c r="D8" s="43">
        <v>135</v>
      </c>
      <c r="E8" s="41" t="s">
        <v>3479</v>
      </c>
      <c r="G8" s="56">
        <v>39890</v>
      </c>
    </row>
    <row r="9" spans="1:7" x14ac:dyDescent="0.2">
      <c r="A9" s="39">
        <v>39959</v>
      </c>
      <c r="B9" s="40" t="s">
        <v>668</v>
      </c>
      <c r="C9" s="41" t="s">
        <v>3963</v>
      </c>
      <c r="D9" s="43">
        <v>138</v>
      </c>
      <c r="E9" s="41" t="s">
        <v>669</v>
      </c>
      <c r="G9" s="56">
        <v>40051</v>
      </c>
    </row>
    <row r="10" spans="1:7" x14ac:dyDescent="0.2">
      <c r="A10" s="39">
        <v>39958</v>
      </c>
      <c r="B10" s="40" t="s">
        <v>1170</v>
      </c>
      <c r="C10" s="41" t="s">
        <v>2050</v>
      </c>
      <c r="D10" s="43">
        <v>139</v>
      </c>
      <c r="E10" s="41" t="s">
        <v>509</v>
      </c>
      <c r="G10" s="56">
        <v>40051</v>
      </c>
    </row>
    <row r="11" spans="1:7" x14ac:dyDescent="0.2">
      <c r="A11" s="39">
        <v>39958</v>
      </c>
      <c r="B11" s="40" t="s">
        <v>1169</v>
      </c>
      <c r="C11" s="41" t="s">
        <v>2050</v>
      </c>
      <c r="D11" s="43">
        <v>140</v>
      </c>
      <c r="E11" s="41" t="s">
        <v>509</v>
      </c>
      <c r="G11" s="56">
        <v>40051</v>
      </c>
    </row>
    <row r="12" spans="1:7" x14ac:dyDescent="0.2">
      <c r="A12" s="39">
        <v>39951</v>
      </c>
      <c r="B12" s="40" t="s">
        <v>2623</v>
      </c>
      <c r="C12" s="41" t="s">
        <v>3894</v>
      </c>
      <c r="D12" s="43">
        <v>143</v>
      </c>
    </row>
    <row r="13" spans="1:7" x14ac:dyDescent="0.2">
      <c r="A13" s="39">
        <v>39944</v>
      </c>
      <c r="B13" s="40" t="s">
        <v>1894</v>
      </c>
      <c r="C13" s="41" t="s">
        <v>2050</v>
      </c>
      <c r="D13" s="43">
        <v>145</v>
      </c>
      <c r="E13" s="41" t="s">
        <v>3162</v>
      </c>
      <c r="G13" s="56">
        <v>40023</v>
      </c>
    </row>
    <row r="14" spans="1:7" x14ac:dyDescent="0.2">
      <c r="A14" s="39">
        <v>39944</v>
      </c>
      <c r="B14" s="40" t="s">
        <v>1665</v>
      </c>
      <c r="C14" s="41" t="s">
        <v>2050</v>
      </c>
      <c r="D14" s="43">
        <v>148</v>
      </c>
      <c r="E14" s="41" t="s">
        <v>3162</v>
      </c>
      <c r="G14" s="56">
        <v>39967</v>
      </c>
    </row>
    <row r="15" spans="1:7" x14ac:dyDescent="0.2">
      <c r="A15" s="39">
        <v>39944</v>
      </c>
      <c r="B15" s="40" t="s">
        <v>426</v>
      </c>
      <c r="C15" s="41" t="s">
        <v>2051</v>
      </c>
      <c r="D15" s="43">
        <v>152</v>
      </c>
      <c r="E15" s="41" t="s">
        <v>3162</v>
      </c>
      <c r="G15" s="56">
        <v>39959</v>
      </c>
    </row>
    <row r="16" spans="1:7" x14ac:dyDescent="0.2">
      <c r="A16" s="39">
        <v>39939</v>
      </c>
      <c r="B16" s="40" t="s">
        <v>760</v>
      </c>
      <c r="C16" s="41" t="s">
        <v>2050</v>
      </c>
      <c r="D16" s="43">
        <v>153</v>
      </c>
      <c r="E16" s="41" t="s">
        <v>3479</v>
      </c>
      <c r="G16" s="56">
        <v>39959</v>
      </c>
    </row>
    <row r="17" spans="1:7" x14ac:dyDescent="0.2">
      <c r="A17" s="39">
        <v>39932</v>
      </c>
      <c r="B17" s="40" t="s">
        <v>3148</v>
      </c>
      <c r="C17" s="41" t="s">
        <v>1841</v>
      </c>
      <c r="D17" s="43">
        <v>154</v>
      </c>
      <c r="E17" s="41" t="s">
        <v>1562</v>
      </c>
      <c r="G17" s="56">
        <v>40010</v>
      </c>
    </row>
    <row r="18" spans="1:7" x14ac:dyDescent="0.2">
      <c r="A18" s="39">
        <v>39932</v>
      </c>
      <c r="B18" s="40" t="s">
        <v>2626</v>
      </c>
      <c r="C18" s="41" t="s">
        <v>3963</v>
      </c>
      <c r="D18" s="43">
        <v>155</v>
      </c>
      <c r="E18" s="41" t="s">
        <v>3837</v>
      </c>
      <c r="G18" s="56">
        <v>40023</v>
      </c>
    </row>
    <row r="19" spans="1:7" x14ac:dyDescent="0.2">
      <c r="A19" s="39">
        <v>39932</v>
      </c>
      <c r="B19" s="40" t="s">
        <v>287</v>
      </c>
      <c r="C19" s="41" t="s">
        <v>3963</v>
      </c>
      <c r="D19" s="43">
        <v>156</v>
      </c>
      <c r="E19" s="41" t="s">
        <v>3479</v>
      </c>
      <c r="G19" s="56">
        <v>39959</v>
      </c>
    </row>
    <row r="20" spans="1:7" x14ac:dyDescent="0.2">
      <c r="A20" s="39">
        <v>39932</v>
      </c>
      <c r="B20" s="40" t="s">
        <v>2590</v>
      </c>
      <c r="C20" s="41" t="s">
        <v>3963</v>
      </c>
      <c r="D20" s="43">
        <v>157</v>
      </c>
      <c r="E20" s="41" t="s">
        <v>3165</v>
      </c>
      <c r="G20" s="56">
        <v>39959</v>
      </c>
    </row>
    <row r="21" spans="1:7" x14ac:dyDescent="0.2">
      <c r="A21" s="39">
        <v>39932</v>
      </c>
      <c r="B21" s="40" t="s">
        <v>2735</v>
      </c>
      <c r="C21" s="41" t="s">
        <v>1841</v>
      </c>
      <c r="D21" s="43">
        <v>158</v>
      </c>
      <c r="E21" s="41" t="s">
        <v>3479</v>
      </c>
      <c r="G21" s="56">
        <v>40010</v>
      </c>
    </row>
    <row r="22" spans="1:7" x14ac:dyDescent="0.2">
      <c r="A22" s="39">
        <v>39931</v>
      </c>
      <c r="B22" s="40" t="s">
        <v>731</v>
      </c>
      <c r="C22" s="41" t="s">
        <v>3963</v>
      </c>
      <c r="D22" s="43">
        <v>159</v>
      </c>
      <c r="E22" s="41" t="s">
        <v>3480</v>
      </c>
      <c r="G22" s="56">
        <v>40023</v>
      </c>
    </row>
    <row r="23" spans="1:7" x14ac:dyDescent="0.2">
      <c r="A23" s="39">
        <v>39926</v>
      </c>
      <c r="B23" s="40" t="s">
        <v>970</v>
      </c>
      <c r="C23" s="41" t="s">
        <v>3963</v>
      </c>
      <c r="D23" s="43">
        <v>160</v>
      </c>
      <c r="E23" s="41" t="s">
        <v>971</v>
      </c>
      <c r="G23" s="56">
        <v>40071</v>
      </c>
    </row>
    <row r="24" spans="1:7" x14ac:dyDescent="0.2">
      <c r="A24" s="39">
        <v>39926</v>
      </c>
      <c r="B24" s="40" t="s">
        <v>3874</v>
      </c>
      <c r="C24" s="41" t="s">
        <v>3963</v>
      </c>
      <c r="D24" s="43">
        <v>161</v>
      </c>
      <c r="E24" s="41" t="s">
        <v>2504</v>
      </c>
      <c r="G24" s="56">
        <v>40023</v>
      </c>
    </row>
    <row r="25" spans="1:7" x14ac:dyDescent="0.2">
      <c r="A25" s="39">
        <v>39920</v>
      </c>
      <c r="B25" s="40" t="s">
        <v>1252</v>
      </c>
      <c r="C25" s="41" t="s">
        <v>3963</v>
      </c>
      <c r="D25" s="43">
        <v>162</v>
      </c>
      <c r="E25" s="41" t="s">
        <v>3175</v>
      </c>
      <c r="G25" s="56">
        <v>39927</v>
      </c>
    </row>
    <row r="26" spans="1:7" x14ac:dyDescent="0.2">
      <c r="A26" s="39">
        <v>39917</v>
      </c>
      <c r="B26" s="40" t="s">
        <v>2564</v>
      </c>
      <c r="C26" s="41" t="s">
        <v>3963</v>
      </c>
      <c r="D26" s="43">
        <v>167</v>
      </c>
      <c r="E26" s="41" t="s">
        <v>3176</v>
      </c>
      <c r="G26" s="56">
        <v>40051</v>
      </c>
    </row>
    <row r="27" spans="1:7" x14ac:dyDescent="0.2">
      <c r="A27" s="39">
        <v>39917</v>
      </c>
      <c r="B27" s="40" t="s">
        <v>2565</v>
      </c>
      <c r="C27" s="41" t="s">
        <v>3963</v>
      </c>
      <c r="D27" s="43">
        <v>168</v>
      </c>
      <c r="E27" s="41" t="s">
        <v>3478</v>
      </c>
      <c r="G27" s="56">
        <v>40023</v>
      </c>
    </row>
    <row r="28" spans="1:7" x14ac:dyDescent="0.2">
      <c r="A28" s="39">
        <v>39909</v>
      </c>
      <c r="B28" s="40" t="s">
        <v>2124</v>
      </c>
      <c r="C28" s="41" t="s">
        <v>2050</v>
      </c>
      <c r="D28" s="43">
        <v>169</v>
      </c>
      <c r="E28" s="41" t="s">
        <v>3175</v>
      </c>
      <c r="G28" s="56">
        <v>40717</v>
      </c>
    </row>
    <row r="29" spans="1:7" x14ac:dyDescent="0.2">
      <c r="A29" s="39">
        <v>39902</v>
      </c>
      <c r="B29" s="40" t="s">
        <v>1683</v>
      </c>
      <c r="C29" s="41" t="s">
        <v>1842</v>
      </c>
      <c r="D29" s="43">
        <v>172</v>
      </c>
      <c r="E29" s="41" t="s">
        <v>2504</v>
      </c>
      <c r="G29" s="56">
        <v>40717</v>
      </c>
    </row>
    <row r="30" spans="1:7" x14ac:dyDescent="0.2">
      <c r="A30" s="39">
        <v>38806</v>
      </c>
      <c r="B30" s="40" t="s">
        <v>1457</v>
      </c>
      <c r="C30" s="42"/>
      <c r="D30" s="43">
        <v>364</v>
      </c>
      <c r="E30" s="41" t="s">
        <v>3479</v>
      </c>
      <c r="F30" s="42"/>
    </row>
    <row r="31" spans="1:7" x14ac:dyDescent="0.2">
      <c r="A31" s="39">
        <v>39126</v>
      </c>
      <c r="B31" s="40" t="s">
        <v>2042</v>
      </c>
      <c r="D31" s="43">
        <v>369</v>
      </c>
      <c r="E31" s="41" t="s">
        <v>112</v>
      </c>
    </row>
    <row r="32" spans="1:7" x14ac:dyDescent="0.2">
      <c r="A32" s="39">
        <v>39126</v>
      </c>
      <c r="B32" s="40" t="s">
        <v>1553</v>
      </c>
      <c r="D32" s="43">
        <v>370</v>
      </c>
      <c r="E32" s="41" t="s">
        <v>3176</v>
      </c>
    </row>
    <row r="33" spans="1:7" x14ac:dyDescent="0.2">
      <c r="A33" s="39">
        <v>39126</v>
      </c>
      <c r="B33" s="40" t="s">
        <v>2000</v>
      </c>
      <c r="D33" s="43">
        <v>371</v>
      </c>
      <c r="E33" s="41" t="s">
        <v>3032</v>
      </c>
    </row>
    <row r="34" spans="1:7" x14ac:dyDescent="0.2">
      <c r="A34" s="39">
        <v>39244</v>
      </c>
      <c r="B34" s="40" t="s">
        <v>2081</v>
      </c>
      <c r="D34" s="43">
        <v>372</v>
      </c>
      <c r="E34" s="41" t="s">
        <v>112</v>
      </c>
    </row>
    <row r="35" spans="1:7" x14ac:dyDescent="0.2">
      <c r="A35" s="39">
        <v>39244</v>
      </c>
      <c r="B35" s="40" t="s">
        <v>1686</v>
      </c>
      <c r="D35" s="43">
        <v>373</v>
      </c>
      <c r="E35" s="41" t="s">
        <v>112</v>
      </c>
    </row>
    <row r="36" spans="1:7" x14ac:dyDescent="0.2">
      <c r="A36" s="39">
        <v>39244</v>
      </c>
      <c r="B36" s="40" t="s">
        <v>2278</v>
      </c>
      <c r="D36" s="43">
        <v>374</v>
      </c>
      <c r="E36" s="41" t="s">
        <v>1700</v>
      </c>
    </row>
    <row r="37" spans="1:7" x14ac:dyDescent="0.2">
      <c r="A37" s="39">
        <v>39974</v>
      </c>
      <c r="B37" s="40" t="s">
        <v>299</v>
      </c>
      <c r="C37" s="41" t="s">
        <v>3894</v>
      </c>
      <c r="D37" s="43">
        <v>377</v>
      </c>
      <c r="E37" s="41" t="s">
        <v>2187</v>
      </c>
      <c r="G37" s="56">
        <v>40009</v>
      </c>
    </row>
    <row r="38" spans="1:7" x14ac:dyDescent="0.2">
      <c r="A38" s="39">
        <v>39974</v>
      </c>
      <c r="B38" s="40" t="s">
        <v>1933</v>
      </c>
      <c r="C38" s="41" t="s">
        <v>2050</v>
      </c>
      <c r="D38" s="43">
        <v>378</v>
      </c>
      <c r="E38" s="41" t="s">
        <v>3837</v>
      </c>
      <c r="G38" s="56">
        <v>40051</v>
      </c>
    </row>
    <row r="39" spans="1:7" x14ac:dyDescent="0.2">
      <c r="A39" s="39">
        <v>39972</v>
      </c>
      <c r="B39" s="40" t="s">
        <v>96</v>
      </c>
      <c r="C39" s="41" t="s">
        <v>1841</v>
      </c>
      <c r="D39" s="43">
        <v>381</v>
      </c>
      <c r="E39" s="41" t="s">
        <v>3483</v>
      </c>
      <c r="G39" s="56">
        <v>40051</v>
      </c>
    </row>
    <row r="40" spans="1:7" x14ac:dyDescent="0.2">
      <c r="A40" s="39">
        <v>39972</v>
      </c>
      <c r="B40" s="40" t="s">
        <v>3677</v>
      </c>
      <c r="C40" s="41" t="s">
        <v>1842</v>
      </c>
      <c r="D40" s="43">
        <v>382</v>
      </c>
      <c r="E40" s="41" t="s">
        <v>3678</v>
      </c>
      <c r="G40" s="56">
        <v>39994</v>
      </c>
    </row>
    <row r="41" spans="1:7" x14ac:dyDescent="0.2">
      <c r="A41" s="39">
        <v>39972</v>
      </c>
      <c r="B41" s="40" t="s">
        <v>1436</v>
      </c>
      <c r="C41" s="41" t="s">
        <v>1841</v>
      </c>
      <c r="D41" s="43">
        <v>383</v>
      </c>
      <c r="E41" s="41" t="s">
        <v>3478</v>
      </c>
      <c r="G41" s="56">
        <v>39987</v>
      </c>
    </row>
    <row r="42" spans="1:7" x14ac:dyDescent="0.2">
      <c r="A42" s="39">
        <v>39972</v>
      </c>
      <c r="B42" s="40" t="s">
        <v>173</v>
      </c>
      <c r="C42" s="41" t="s">
        <v>3894</v>
      </c>
      <c r="D42" s="43">
        <v>384</v>
      </c>
      <c r="E42" s="41" t="s">
        <v>3478</v>
      </c>
      <c r="G42" s="56">
        <v>40071</v>
      </c>
    </row>
    <row r="43" spans="1:7" x14ac:dyDescent="0.2">
      <c r="A43" s="39">
        <v>39972</v>
      </c>
      <c r="B43" s="40" t="s">
        <v>2740</v>
      </c>
      <c r="C43" s="41" t="s">
        <v>1841</v>
      </c>
      <c r="D43" s="43">
        <v>385</v>
      </c>
      <c r="E43" s="41" t="s">
        <v>3479</v>
      </c>
      <c r="G43" s="56">
        <v>40023</v>
      </c>
    </row>
    <row r="44" spans="1:7" x14ac:dyDescent="0.2">
      <c r="A44" s="39">
        <v>39969</v>
      </c>
      <c r="B44" s="40" t="s">
        <v>3643</v>
      </c>
      <c r="C44" s="41" t="s">
        <v>3963</v>
      </c>
      <c r="D44" s="43">
        <v>387</v>
      </c>
      <c r="E44" s="41" t="s">
        <v>3478</v>
      </c>
      <c r="G44" s="56">
        <v>39972</v>
      </c>
    </row>
    <row r="45" spans="1:7" ht="24" x14ac:dyDescent="0.2">
      <c r="A45" s="39">
        <v>39966</v>
      </c>
      <c r="B45" s="40" t="s">
        <v>1027</v>
      </c>
      <c r="C45" s="41" t="s">
        <v>2050</v>
      </c>
      <c r="D45" s="43">
        <v>410</v>
      </c>
      <c r="E45" s="41" t="s">
        <v>2188</v>
      </c>
      <c r="G45" s="56">
        <v>40717</v>
      </c>
    </row>
    <row r="46" spans="1:7" x14ac:dyDescent="0.2">
      <c r="A46" s="39">
        <v>40239</v>
      </c>
      <c r="B46" s="40" t="s">
        <v>281</v>
      </c>
      <c r="C46" s="41" t="s">
        <v>2050</v>
      </c>
      <c r="D46" s="43">
        <v>586</v>
      </c>
      <c r="G46" s="56">
        <v>40717</v>
      </c>
    </row>
    <row r="47" spans="1:7" x14ac:dyDescent="0.2">
      <c r="A47" s="39">
        <v>40386</v>
      </c>
      <c r="B47" s="40" t="s">
        <v>3329</v>
      </c>
      <c r="C47" s="41" t="s">
        <v>932</v>
      </c>
      <c r="D47" s="43">
        <v>651</v>
      </c>
      <c r="G47" s="56">
        <v>40497</v>
      </c>
    </row>
    <row r="48" spans="1:7" customFormat="1" ht="24" x14ac:dyDescent="0.2">
      <c r="A48" s="39">
        <v>38894</v>
      </c>
      <c r="B48" s="40" t="s">
        <v>2493</v>
      </c>
      <c r="C48" s="41"/>
      <c r="D48" s="43">
        <v>751</v>
      </c>
      <c r="E48" s="41" t="s">
        <v>3482</v>
      </c>
      <c r="F48" s="41"/>
      <c r="G48" s="41"/>
    </row>
    <row r="49" spans="1:7" customFormat="1" ht="12.75" x14ac:dyDescent="0.2">
      <c r="A49" s="39">
        <v>40710</v>
      </c>
      <c r="B49" s="40" t="s">
        <v>2548</v>
      </c>
      <c r="C49" s="41" t="s">
        <v>3963</v>
      </c>
      <c r="D49" s="43">
        <v>768</v>
      </c>
      <c r="E49" s="41" t="s">
        <v>3482</v>
      </c>
      <c r="F49" s="41"/>
      <c r="G49" s="56">
        <v>40717</v>
      </c>
    </row>
    <row r="50" spans="1:7" customFormat="1" ht="12.75" x14ac:dyDescent="0.2">
      <c r="A50" s="39">
        <v>39101</v>
      </c>
      <c r="B50" s="40" t="s">
        <v>273</v>
      </c>
      <c r="C50" s="41"/>
      <c r="D50" s="43">
        <v>783</v>
      </c>
      <c r="E50" s="41" t="s">
        <v>3481</v>
      </c>
      <c r="F50" s="41"/>
      <c r="G50" s="41"/>
    </row>
    <row r="51" spans="1:7" customFormat="1" ht="12.75" x14ac:dyDescent="0.2">
      <c r="A51" s="39">
        <v>39043</v>
      </c>
      <c r="B51" s="40" t="s">
        <v>676</v>
      </c>
      <c r="C51" s="41"/>
      <c r="D51" s="43">
        <v>1103</v>
      </c>
      <c r="E51" s="41" t="s">
        <v>1562</v>
      </c>
      <c r="F51" s="41"/>
      <c r="G51" s="41"/>
    </row>
    <row r="52" spans="1:7" customFormat="1" ht="12.75" x14ac:dyDescent="0.2">
      <c r="A52" s="39">
        <v>39106</v>
      </c>
      <c r="B52" s="40" t="s">
        <v>2585</v>
      </c>
      <c r="C52" s="41"/>
      <c r="D52" s="43">
        <v>1106</v>
      </c>
      <c r="E52" s="41" t="s">
        <v>2586</v>
      </c>
      <c r="F52" s="41"/>
      <c r="G52" s="41"/>
    </row>
    <row r="53" spans="1:7" customFormat="1" ht="12.75" x14ac:dyDescent="0.2">
      <c r="A53" s="39">
        <v>39048</v>
      </c>
      <c r="B53" s="40" t="s">
        <v>3421</v>
      </c>
      <c r="C53" s="41"/>
      <c r="D53" s="43">
        <v>1121</v>
      </c>
      <c r="E53" s="41" t="s">
        <v>3175</v>
      </c>
      <c r="F53" s="41"/>
      <c r="G53" s="41"/>
    </row>
    <row r="54" spans="1:7" customFormat="1" ht="12.75" x14ac:dyDescent="0.2">
      <c r="A54" s="39">
        <v>39091</v>
      </c>
      <c r="B54" s="40" t="s">
        <v>3286</v>
      </c>
      <c r="C54" s="41"/>
      <c r="D54" s="43">
        <v>1308</v>
      </c>
      <c r="E54" s="41" t="s">
        <v>3481</v>
      </c>
      <c r="F54" s="41"/>
      <c r="G54" s="41"/>
    </row>
    <row r="55" spans="1:7" x14ac:dyDescent="0.2">
      <c r="A55" s="39">
        <v>39091</v>
      </c>
      <c r="B55" s="40" t="s">
        <v>2016</v>
      </c>
      <c r="D55" s="43">
        <v>1309</v>
      </c>
      <c r="E55" s="41" t="s">
        <v>3481</v>
      </c>
    </row>
    <row r="56" spans="1:7" customFormat="1" ht="12.75" x14ac:dyDescent="0.2">
      <c r="A56" s="39">
        <v>39106</v>
      </c>
      <c r="B56" s="40" t="s">
        <v>738</v>
      </c>
      <c r="C56" s="41"/>
      <c r="D56" s="43">
        <v>1311</v>
      </c>
      <c r="E56" s="41" t="s">
        <v>3481</v>
      </c>
      <c r="F56" s="41"/>
      <c r="G56" s="41"/>
    </row>
    <row r="57" spans="1:7" customFormat="1" ht="12.75" x14ac:dyDescent="0.2">
      <c r="A57" s="39">
        <v>39091</v>
      </c>
      <c r="B57" s="40" t="s">
        <v>1699</v>
      </c>
      <c r="C57" s="41"/>
      <c r="D57" s="43">
        <v>1322</v>
      </c>
      <c r="E57" s="41" t="s">
        <v>1700</v>
      </c>
      <c r="F57" s="41"/>
      <c r="G57" s="56"/>
    </row>
    <row r="58" spans="1:7" customFormat="1" ht="12.75" x14ac:dyDescent="0.2">
      <c r="A58" s="39">
        <v>39114</v>
      </c>
      <c r="B58" s="40" t="s">
        <v>270</v>
      </c>
      <c r="C58" s="41"/>
      <c r="D58" s="43">
        <v>1365</v>
      </c>
      <c r="E58" s="41" t="s">
        <v>3481</v>
      </c>
      <c r="F58" s="41"/>
      <c r="G58" s="41"/>
    </row>
    <row r="59" spans="1:7" customFormat="1" ht="12.75" x14ac:dyDescent="0.2">
      <c r="A59" s="39">
        <v>39379</v>
      </c>
      <c r="B59" s="40" t="s">
        <v>972</v>
      </c>
      <c r="C59" s="41"/>
      <c r="D59" s="43">
        <v>1372</v>
      </c>
      <c r="E59" s="41" t="s">
        <v>1562</v>
      </c>
      <c r="F59" s="41"/>
      <c r="G59" s="41"/>
    </row>
    <row r="60" spans="1:7" customFormat="1" ht="12.75" x14ac:dyDescent="0.2">
      <c r="A60" s="39">
        <v>39119</v>
      </c>
      <c r="B60" s="40" t="s">
        <v>1869</v>
      </c>
      <c r="C60" s="41"/>
      <c r="D60" s="43">
        <v>1378</v>
      </c>
      <c r="E60" s="41" t="s">
        <v>112</v>
      </c>
      <c r="F60" s="41"/>
      <c r="G60" s="41"/>
    </row>
    <row r="61" spans="1:7" customFormat="1" ht="12.75" x14ac:dyDescent="0.2">
      <c r="A61" s="39">
        <v>39114</v>
      </c>
      <c r="B61" s="40" t="s">
        <v>677</v>
      </c>
      <c r="C61" s="41"/>
      <c r="D61" s="43">
        <v>1408</v>
      </c>
      <c r="E61" s="41" t="s">
        <v>2504</v>
      </c>
      <c r="F61" s="41"/>
      <c r="G61" s="41"/>
    </row>
    <row r="62" spans="1:7" customFormat="1" ht="12.75" x14ac:dyDescent="0.2">
      <c r="A62" s="39">
        <v>39115</v>
      </c>
      <c r="B62" s="40" t="s">
        <v>3164</v>
      </c>
      <c r="C62" s="41"/>
      <c r="D62" s="43">
        <v>1410</v>
      </c>
      <c r="E62" s="41" t="s">
        <v>3175</v>
      </c>
      <c r="F62" s="41"/>
      <c r="G62" s="41"/>
    </row>
    <row r="63" spans="1:7" customFormat="1" ht="12.75" x14ac:dyDescent="0.2">
      <c r="A63" s="39">
        <v>39116</v>
      </c>
      <c r="B63" s="40" t="s">
        <v>2262</v>
      </c>
      <c r="C63" s="41"/>
      <c r="D63" s="43">
        <v>1412</v>
      </c>
      <c r="E63" s="41" t="s">
        <v>3479</v>
      </c>
      <c r="F63" s="41"/>
      <c r="G63" s="41"/>
    </row>
    <row r="64" spans="1:7" x14ac:dyDescent="0.2">
      <c r="A64" s="39">
        <v>39119</v>
      </c>
      <c r="B64" s="40" t="s">
        <v>175</v>
      </c>
      <c r="D64" s="43">
        <v>1501</v>
      </c>
      <c r="E64" s="41" t="s">
        <v>3175</v>
      </c>
    </row>
    <row r="65" spans="1:7" x14ac:dyDescent="0.2">
      <c r="A65" s="39">
        <v>39119</v>
      </c>
      <c r="B65" s="40" t="s">
        <v>541</v>
      </c>
      <c r="D65" s="43">
        <v>1502</v>
      </c>
      <c r="E65" s="41" t="s">
        <v>3479</v>
      </c>
    </row>
    <row r="66" spans="1:7" x14ac:dyDescent="0.2">
      <c r="A66" s="39">
        <v>39119</v>
      </c>
      <c r="B66" s="40" t="s">
        <v>1172</v>
      </c>
      <c r="D66" s="43">
        <v>1503</v>
      </c>
      <c r="E66" s="41" t="s">
        <v>3175</v>
      </c>
    </row>
    <row r="67" spans="1:7" x14ac:dyDescent="0.2">
      <c r="A67" s="39">
        <v>39125</v>
      </c>
      <c r="B67" s="40" t="s">
        <v>3882</v>
      </c>
      <c r="D67" s="43">
        <v>1505</v>
      </c>
      <c r="E67" s="41" t="s">
        <v>3481</v>
      </c>
    </row>
    <row r="68" spans="1:7" x14ac:dyDescent="0.2">
      <c r="A68" s="39">
        <v>39119</v>
      </c>
      <c r="B68" s="40" t="s">
        <v>1550</v>
      </c>
      <c r="D68" s="43">
        <v>1506</v>
      </c>
      <c r="E68" s="41" t="s">
        <v>3484</v>
      </c>
    </row>
    <row r="69" spans="1:7" x14ac:dyDescent="0.2">
      <c r="A69" s="39">
        <v>39121</v>
      </c>
      <c r="B69" s="40" t="s">
        <v>1032</v>
      </c>
      <c r="D69" s="43">
        <v>1511</v>
      </c>
      <c r="E69" s="41" t="s">
        <v>1085</v>
      </c>
    </row>
    <row r="70" spans="1:7" x14ac:dyDescent="0.2">
      <c r="A70" s="39">
        <v>39134</v>
      </c>
      <c r="B70" s="40" t="s">
        <v>1059</v>
      </c>
      <c r="D70" s="43">
        <v>1528</v>
      </c>
      <c r="E70" s="41" t="s">
        <v>3479</v>
      </c>
    </row>
    <row r="71" spans="1:7" x14ac:dyDescent="0.2">
      <c r="A71" s="39">
        <v>39132</v>
      </c>
      <c r="B71" s="40" t="s">
        <v>2352</v>
      </c>
      <c r="D71" s="43">
        <v>1529</v>
      </c>
      <c r="E71" s="41" t="s">
        <v>3481</v>
      </c>
    </row>
    <row r="72" spans="1:7" x14ac:dyDescent="0.2">
      <c r="A72" s="39">
        <v>39134</v>
      </c>
      <c r="B72" s="40" t="s">
        <v>2001</v>
      </c>
      <c r="D72" s="43">
        <v>1532</v>
      </c>
      <c r="E72" s="41" t="s">
        <v>3479</v>
      </c>
    </row>
    <row r="73" spans="1:7" x14ac:dyDescent="0.2">
      <c r="A73" s="39">
        <v>39139</v>
      </c>
      <c r="B73" s="40" t="s">
        <v>3746</v>
      </c>
      <c r="D73" s="43">
        <v>1544</v>
      </c>
      <c r="E73" s="41" t="s">
        <v>3481</v>
      </c>
    </row>
    <row r="74" spans="1:7" x14ac:dyDescent="0.2">
      <c r="A74" s="39">
        <v>39190</v>
      </c>
      <c r="B74" s="40" t="s">
        <v>1292</v>
      </c>
      <c r="D74" s="43">
        <v>1596</v>
      </c>
      <c r="E74" s="41" t="s">
        <v>790</v>
      </c>
    </row>
    <row r="75" spans="1:7" x14ac:dyDescent="0.2">
      <c r="A75" s="39">
        <v>39191</v>
      </c>
      <c r="B75" s="40" t="s">
        <v>735</v>
      </c>
      <c r="D75" s="43">
        <v>1597</v>
      </c>
      <c r="E75" s="41" t="s">
        <v>112</v>
      </c>
    </row>
    <row r="76" spans="1:7" x14ac:dyDescent="0.2">
      <c r="A76" s="39">
        <v>39191</v>
      </c>
      <c r="B76" s="40" t="s">
        <v>520</v>
      </c>
      <c r="D76" s="43">
        <v>1598</v>
      </c>
      <c r="E76" s="41" t="s">
        <v>1085</v>
      </c>
    </row>
    <row r="77" spans="1:7" x14ac:dyDescent="0.2">
      <c r="A77" s="39">
        <v>39337</v>
      </c>
      <c r="B77" s="40" t="s">
        <v>2192</v>
      </c>
      <c r="D77" s="43">
        <v>1651</v>
      </c>
      <c r="E77" s="41" t="s">
        <v>3206</v>
      </c>
    </row>
    <row r="78" spans="1:7" x14ac:dyDescent="0.2">
      <c r="A78" s="39">
        <v>39335</v>
      </c>
      <c r="B78" s="40" t="s">
        <v>1620</v>
      </c>
      <c r="D78" s="43">
        <v>1653</v>
      </c>
      <c r="E78" s="41" t="s">
        <v>1621</v>
      </c>
    </row>
    <row r="79" spans="1:7" x14ac:dyDescent="0.2">
      <c r="A79" s="39">
        <v>39335</v>
      </c>
      <c r="B79" s="40" t="s">
        <v>3058</v>
      </c>
      <c r="D79" s="43">
        <v>1654</v>
      </c>
      <c r="E79" s="41" t="s">
        <v>1621</v>
      </c>
    </row>
    <row r="80" spans="1:7" x14ac:dyDescent="0.2">
      <c r="A80" s="39">
        <v>39335</v>
      </c>
      <c r="B80" s="40" t="s">
        <v>468</v>
      </c>
      <c r="C80" s="41" t="s">
        <v>3894</v>
      </c>
      <c r="D80" s="43">
        <v>1655</v>
      </c>
      <c r="E80" s="41" t="s">
        <v>1455</v>
      </c>
      <c r="G80" s="56">
        <v>40717</v>
      </c>
    </row>
    <row r="81" spans="1:7" x14ac:dyDescent="0.2">
      <c r="A81" s="39">
        <v>39335</v>
      </c>
      <c r="B81" s="40" t="s">
        <v>1789</v>
      </c>
      <c r="C81" s="41" t="s">
        <v>3894</v>
      </c>
      <c r="D81" s="43">
        <v>1656</v>
      </c>
      <c r="E81" s="41" t="s">
        <v>2504</v>
      </c>
      <c r="G81" s="56">
        <v>39828</v>
      </c>
    </row>
    <row r="82" spans="1:7" x14ac:dyDescent="0.2">
      <c r="A82" s="39">
        <v>39330</v>
      </c>
      <c r="B82" s="40" t="s">
        <v>2777</v>
      </c>
      <c r="D82" s="43">
        <v>1657</v>
      </c>
      <c r="E82" s="41" t="s">
        <v>3162</v>
      </c>
    </row>
    <row r="83" spans="1:7" x14ac:dyDescent="0.2">
      <c r="A83" s="39">
        <v>39328</v>
      </c>
      <c r="B83" s="40" t="s">
        <v>2650</v>
      </c>
      <c r="C83" s="41" t="s">
        <v>3963</v>
      </c>
      <c r="D83" s="43">
        <v>1659</v>
      </c>
      <c r="E83" s="41" t="s">
        <v>3523</v>
      </c>
      <c r="G83" s="56">
        <v>39561</v>
      </c>
    </row>
    <row r="84" spans="1:7" x14ac:dyDescent="0.2">
      <c r="A84" s="39">
        <v>39325</v>
      </c>
      <c r="B84" s="40" t="s">
        <v>3251</v>
      </c>
      <c r="C84" s="41" t="s">
        <v>2050</v>
      </c>
      <c r="D84" s="43">
        <v>1661</v>
      </c>
      <c r="E84" s="41" t="s">
        <v>493</v>
      </c>
      <c r="G84" s="56">
        <v>40023</v>
      </c>
    </row>
    <row r="85" spans="1:7" x14ac:dyDescent="0.2">
      <c r="A85" s="39">
        <v>39349</v>
      </c>
      <c r="B85" s="40" t="s">
        <v>1846</v>
      </c>
      <c r="D85" s="43">
        <v>1668</v>
      </c>
      <c r="E85" s="41" t="s">
        <v>3206</v>
      </c>
    </row>
    <row r="86" spans="1:7" x14ac:dyDescent="0.2">
      <c r="A86" s="39">
        <v>39343</v>
      </c>
      <c r="B86" s="40" t="s">
        <v>3066</v>
      </c>
      <c r="D86" s="43">
        <v>1669</v>
      </c>
      <c r="E86" s="41" t="s">
        <v>3523</v>
      </c>
    </row>
    <row r="87" spans="1:7" x14ac:dyDescent="0.2">
      <c r="A87" s="39">
        <v>39343</v>
      </c>
      <c r="B87" s="40" t="s">
        <v>845</v>
      </c>
      <c r="D87" s="43">
        <v>1672</v>
      </c>
      <c r="E87" s="41" t="s">
        <v>3175</v>
      </c>
    </row>
    <row r="88" spans="1:7" x14ac:dyDescent="0.2">
      <c r="A88" s="39">
        <v>39342</v>
      </c>
      <c r="B88" s="40" t="s">
        <v>3373</v>
      </c>
      <c r="D88" s="43">
        <v>1678</v>
      </c>
      <c r="E88" s="41" t="s">
        <v>112</v>
      </c>
    </row>
    <row r="89" spans="1:7" x14ac:dyDescent="0.2">
      <c r="A89" s="39">
        <v>39342</v>
      </c>
      <c r="B89" s="40" t="s">
        <v>3067</v>
      </c>
      <c r="D89" s="43">
        <v>1679</v>
      </c>
      <c r="E89" s="41" t="s">
        <v>3481</v>
      </c>
    </row>
    <row r="90" spans="1:7" x14ac:dyDescent="0.2">
      <c r="A90" s="39">
        <v>39342</v>
      </c>
      <c r="B90" s="40" t="s">
        <v>3143</v>
      </c>
      <c r="D90" s="43">
        <v>1680</v>
      </c>
      <c r="E90" s="41" t="s">
        <v>1085</v>
      </c>
    </row>
    <row r="91" spans="1:7" x14ac:dyDescent="0.2">
      <c r="A91" s="39">
        <v>39338</v>
      </c>
      <c r="B91" s="40" t="s">
        <v>3316</v>
      </c>
      <c r="D91" s="43">
        <v>1681</v>
      </c>
      <c r="E91" s="41" t="s">
        <v>3482</v>
      </c>
    </row>
    <row r="92" spans="1:7" x14ac:dyDescent="0.2">
      <c r="A92" s="39">
        <v>39325</v>
      </c>
      <c r="B92" s="40" t="s">
        <v>4026</v>
      </c>
      <c r="D92" s="43">
        <v>1682</v>
      </c>
      <c r="E92" s="41" t="s">
        <v>3162</v>
      </c>
    </row>
    <row r="93" spans="1:7" x14ac:dyDescent="0.2">
      <c r="A93" s="39">
        <v>39325</v>
      </c>
      <c r="B93" s="40" t="s">
        <v>631</v>
      </c>
      <c r="D93" s="43">
        <v>1683</v>
      </c>
      <c r="E93" s="41" t="s">
        <v>3206</v>
      </c>
    </row>
    <row r="94" spans="1:7" x14ac:dyDescent="0.2">
      <c r="A94" s="39">
        <v>39325</v>
      </c>
      <c r="B94" s="40" t="s">
        <v>3192</v>
      </c>
      <c r="D94" s="43">
        <v>1684</v>
      </c>
      <c r="E94" s="41" t="s">
        <v>3523</v>
      </c>
    </row>
    <row r="95" spans="1:7" x14ac:dyDescent="0.2">
      <c r="A95" s="39">
        <v>39325</v>
      </c>
      <c r="B95" s="40" t="s">
        <v>1666</v>
      </c>
      <c r="C95" s="41" t="s">
        <v>3963</v>
      </c>
      <c r="D95" s="43">
        <v>1685</v>
      </c>
      <c r="E95" s="41" t="s">
        <v>1667</v>
      </c>
      <c r="G95" s="56">
        <v>39828</v>
      </c>
    </row>
    <row r="96" spans="1:7" x14ac:dyDescent="0.2">
      <c r="A96" s="39">
        <v>39325</v>
      </c>
      <c r="B96" s="40" t="s">
        <v>193</v>
      </c>
      <c r="D96" s="43">
        <v>1686</v>
      </c>
      <c r="E96" s="41" t="s">
        <v>112</v>
      </c>
    </row>
    <row r="97" spans="1:5" x14ac:dyDescent="0.2">
      <c r="A97" s="39">
        <v>39322</v>
      </c>
      <c r="B97" s="40" t="s">
        <v>3962</v>
      </c>
      <c r="D97" s="43">
        <v>1688</v>
      </c>
      <c r="E97" s="41" t="s">
        <v>3963</v>
      </c>
    </row>
    <row r="98" spans="1:5" x14ac:dyDescent="0.2">
      <c r="A98" s="39">
        <v>39302</v>
      </c>
      <c r="B98" s="40" t="s">
        <v>3075</v>
      </c>
      <c r="D98" s="43">
        <v>1689</v>
      </c>
      <c r="E98" s="41" t="s">
        <v>112</v>
      </c>
    </row>
    <row r="99" spans="1:5" x14ac:dyDescent="0.2">
      <c r="A99" s="39">
        <v>39301</v>
      </c>
      <c r="B99" s="40" t="s">
        <v>2395</v>
      </c>
      <c r="D99" s="43">
        <v>1690</v>
      </c>
      <c r="E99" s="41" t="s">
        <v>112</v>
      </c>
    </row>
    <row r="100" spans="1:5" x14ac:dyDescent="0.2">
      <c r="A100" s="39">
        <v>39301</v>
      </c>
      <c r="B100" s="40" t="s">
        <v>869</v>
      </c>
      <c r="D100" s="43">
        <v>1691</v>
      </c>
      <c r="E100" s="41" t="s">
        <v>112</v>
      </c>
    </row>
    <row r="101" spans="1:5" x14ac:dyDescent="0.2">
      <c r="A101" s="39">
        <v>39301</v>
      </c>
      <c r="B101" s="40" t="s">
        <v>868</v>
      </c>
      <c r="D101" s="43">
        <v>1692</v>
      </c>
      <c r="E101" s="41" t="s">
        <v>112</v>
      </c>
    </row>
    <row r="102" spans="1:5" x14ac:dyDescent="0.2">
      <c r="A102" s="39">
        <v>39297</v>
      </c>
      <c r="B102" s="40" t="s">
        <v>1940</v>
      </c>
      <c r="D102" s="43">
        <v>1694</v>
      </c>
      <c r="E102" s="41" t="s">
        <v>112</v>
      </c>
    </row>
    <row r="103" spans="1:5" x14ac:dyDescent="0.2">
      <c r="A103" s="39">
        <v>39280</v>
      </c>
      <c r="B103" s="40" t="s">
        <v>2881</v>
      </c>
      <c r="D103" s="43">
        <v>1695</v>
      </c>
      <c r="E103" s="41" t="s">
        <v>135</v>
      </c>
    </row>
    <row r="104" spans="1:5" x14ac:dyDescent="0.2">
      <c r="A104" s="39">
        <v>39289</v>
      </c>
      <c r="B104" s="40" t="s">
        <v>2972</v>
      </c>
      <c r="D104" s="43">
        <v>1696</v>
      </c>
      <c r="E104" s="41" t="s">
        <v>135</v>
      </c>
    </row>
    <row r="105" spans="1:5" x14ac:dyDescent="0.2">
      <c r="A105" s="39">
        <v>39267</v>
      </c>
      <c r="B105" s="40" t="s">
        <v>2432</v>
      </c>
      <c r="D105" s="43">
        <v>1697</v>
      </c>
      <c r="E105" s="41" t="s">
        <v>1085</v>
      </c>
    </row>
    <row r="106" spans="1:5" x14ac:dyDescent="0.2">
      <c r="A106" s="39">
        <v>39266</v>
      </c>
      <c r="B106" s="40" t="s">
        <v>3607</v>
      </c>
      <c r="D106" s="43">
        <v>1699</v>
      </c>
      <c r="E106" s="41" t="s">
        <v>135</v>
      </c>
    </row>
    <row r="107" spans="1:5" x14ac:dyDescent="0.2">
      <c r="A107" s="39">
        <v>39266</v>
      </c>
      <c r="B107" s="40" t="s">
        <v>3621</v>
      </c>
      <c r="D107" s="43">
        <v>1700</v>
      </c>
      <c r="E107" s="41" t="s">
        <v>1085</v>
      </c>
    </row>
    <row r="108" spans="1:5" x14ac:dyDescent="0.2">
      <c r="A108" s="39">
        <v>39247</v>
      </c>
      <c r="B108" s="40" t="s">
        <v>3561</v>
      </c>
      <c r="D108" s="43">
        <v>1701</v>
      </c>
      <c r="E108" s="41" t="s">
        <v>1085</v>
      </c>
    </row>
    <row r="109" spans="1:5" x14ac:dyDescent="0.2">
      <c r="A109" s="39">
        <v>39247</v>
      </c>
      <c r="B109" s="40" t="s">
        <v>1193</v>
      </c>
      <c r="D109" s="43">
        <v>1702</v>
      </c>
      <c r="E109" s="41" t="s">
        <v>1085</v>
      </c>
    </row>
    <row r="110" spans="1:5" x14ac:dyDescent="0.2">
      <c r="A110" s="39">
        <v>39246</v>
      </c>
      <c r="B110" s="40" t="s">
        <v>456</v>
      </c>
      <c r="D110" s="43">
        <v>1703</v>
      </c>
      <c r="E110" s="41" t="s">
        <v>1085</v>
      </c>
    </row>
    <row r="111" spans="1:5" x14ac:dyDescent="0.2">
      <c r="A111" s="39">
        <v>39247</v>
      </c>
      <c r="B111" s="40" t="s">
        <v>1974</v>
      </c>
      <c r="D111" s="43">
        <v>1704</v>
      </c>
      <c r="E111" s="41" t="s">
        <v>112</v>
      </c>
    </row>
    <row r="112" spans="1:5" x14ac:dyDescent="0.2">
      <c r="A112" s="39">
        <v>39239</v>
      </c>
      <c r="B112" s="40" t="s">
        <v>477</v>
      </c>
      <c r="D112" s="43">
        <v>1705</v>
      </c>
      <c r="E112" s="41" t="s">
        <v>135</v>
      </c>
    </row>
    <row r="113" spans="1:7" x14ac:dyDescent="0.2">
      <c r="A113" s="39">
        <v>39246</v>
      </c>
      <c r="B113" s="40" t="s">
        <v>2097</v>
      </c>
      <c r="D113" s="43">
        <v>1706</v>
      </c>
      <c r="E113" s="41" t="s">
        <v>3163</v>
      </c>
    </row>
    <row r="114" spans="1:7" x14ac:dyDescent="0.2">
      <c r="A114" s="39">
        <v>39239</v>
      </c>
      <c r="B114" s="40" t="s">
        <v>1852</v>
      </c>
      <c r="D114" s="43">
        <v>1707</v>
      </c>
      <c r="E114" s="41" t="s">
        <v>135</v>
      </c>
    </row>
    <row r="115" spans="1:7" x14ac:dyDescent="0.2">
      <c r="A115" s="39">
        <v>39239</v>
      </c>
      <c r="B115" s="40" t="s">
        <v>1922</v>
      </c>
      <c r="D115" s="43">
        <v>1708</v>
      </c>
      <c r="E115" s="41" t="s">
        <v>112</v>
      </c>
    </row>
    <row r="116" spans="1:7" x14ac:dyDescent="0.2">
      <c r="A116" s="39">
        <v>39239</v>
      </c>
      <c r="B116" s="40" t="s">
        <v>3953</v>
      </c>
      <c r="D116" s="43">
        <v>1710</v>
      </c>
      <c r="E116" s="41" t="s">
        <v>3478</v>
      </c>
    </row>
    <row r="117" spans="1:7" x14ac:dyDescent="0.2">
      <c r="A117" s="39">
        <v>39241</v>
      </c>
      <c r="B117" s="40" t="s">
        <v>581</v>
      </c>
      <c r="D117" s="43">
        <v>1781</v>
      </c>
      <c r="E117" s="41" t="s">
        <v>3486</v>
      </c>
    </row>
    <row r="118" spans="1:7" x14ac:dyDescent="0.2">
      <c r="A118" s="39">
        <v>39240</v>
      </c>
      <c r="B118" s="40" t="s">
        <v>2297</v>
      </c>
      <c r="D118" s="43">
        <v>1783</v>
      </c>
      <c r="E118" s="41" t="s">
        <v>3165</v>
      </c>
    </row>
    <row r="119" spans="1:7" x14ac:dyDescent="0.2">
      <c r="A119" s="39">
        <v>39240</v>
      </c>
      <c r="B119" s="40" t="s">
        <v>2298</v>
      </c>
      <c r="D119" s="43">
        <v>1784</v>
      </c>
      <c r="E119" s="41" t="s">
        <v>3165</v>
      </c>
    </row>
    <row r="120" spans="1:7" x14ac:dyDescent="0.2">
      <c r="A120" s="39">
        <v>39239</v>
      </c>
      <c r="B120" s="40" t="s">
        <v>1676</v>
      </c>
      <c r="D120" s="43">
        <v>1785</v>
      </c>
      <c r="E120" s="41" t="s">
        <v>1085</v>
      </c>
    </row>
    <row r="121" spans="1:7" x14ac:dyDescent="0.2">
      <c r="A121" s="39">
        <v>39240</v>
      </c>
      <c r="B121" s="40" t="s">
        <v>1920</v>
      </c>
      <c r="D121" s="43">
        <v>1786</v>
      </c>
      <c r="E121" s="41" t="s">
        <v>1085</v>
      </c>
    </row>
    <row r="122" spans="1:7" x14ac:dyDescent="0.2">
      <c r="A122" s="39">
        <v>39232</v>
      </c>
      <c r="B122" s="40" t="s">
        <v>641</v>
      </c>
      <c r="D122" s="43">
        <v>1787</v>
      </c>
      <c r="E122" s="41" t="s">
        <v>1085</v>
      </c>
    </row>
    <row r="123" spans="1:7" x14ac:dyDescent="0.2">
      <c r="A123" s="39">
        <v>39231</v>
      </c>
      <c r="B123" s="40" t="s">
        <v>2414</v>
      </c>
      <c r="C123" s="41" t="s">
        <v>1841</v>
      </c>
      <c r="D123" s="43">
        <v>1789</v>
      </c>
      <c r="G123" s="56">
        <v>39769</v>
      </c>
    </row>
    <row r="124" spans="1:7" x14ac:dyDescent="0.2">
      <c r="A124" s="39">
        <v>39231</v>
      </c>
      <c r="B124" s="40" t="s">
        <v>83</v>
      </c>
      <c r="D124" s="43">
        <v>1790</v>
      </c>
      <c r="E124" s="41" t="s">
        <v>3175</v>
      </c>
    </row>
    <row r="125" spans="1:7" x14ac:dyDescent="0.2">
      <c r="A125" s="39">
        <v>39231</v>
      </c>
      <c r="B125" s="40" t="s">
        <v>3413</v>
      </c>
      <c r="D125" s="43">
        <v>1792</v>
      </c>
      <c r="E125" s="41" t="s">
        <v>1577</v>
      </c>
    </row>
    <row r="126" spans="1:7" x14ac:dyDescent="0.2">
      <c r="A126" s="39">
        <v>39226</v>
      </c>
      <c r="B126" s="40" t="s">
        <v>1720</v>
      </c>
      <c r="D126" s="43">
        <v>1794</v>
      </c>
      <c r="E126" s="41" t="s">
        <v>3162</v>
      </c>
    </row>
    <row r="127" spans="1:7" x14ac:dyDescent="0.2">
      <c r="A127" s="39">
        <v>39224</v>
      </c>
      <c r="B127" s="40" t="s">
        <v>3692</v>
      </c>
      <c r="D127" s="43">
        <v>1795</v>
      </c>
      <c r="E127" s="41" t="s">
        <v>1085</v>
      </c>
    </row>
    <row r="128" spans="1:7" x14ac:dyDescent="0.2">
      <c r="A128" s="39">
        <v>39224</v>
      </c>
      <c r="B128" s="40" t="s">
        <v>3152</v>
      </c>
      <c r="D128" s="43">
        <v>1796</v>
      </c>
      <c r="E128" s="41" t="s">
        <v>3486</v>
      </c>
    </row>
    <row r="129" spans="1:6" x14ac:dyDescent="0.2">
      <c r="A129" s="39">
        <v>39216</v>
      </c>
      <c r="B129" s="40" t="s">
        <v>2300</v>
      </c>
      <c r="D129" s="43">
        <v>1798</v>
      </c>
      <c r="E129" s="41" t="s">
        <v>3478</v>
      </c>
    </row>
    <row r="130" spans="1:6" x14ac:dyDescent="0.2">
      <c r="A130" s="39">
        <v>39168</v>
      </c>
      <c r="B130" s="40" t="s">
        <v>920</v>
      </c>
      <c r="D130" s="43">
        <v>1911</v>
      </c>
      <c r="E130" s="41" t="s">
        <v>3481</v>
      </c>
    </row>
    <row r="131" spans="1:6" x14ac:dyDescent="0.2">
      <c r="A131" s="39">
        <v>39168</v>
      </c>
      <c r="B131" s="40" t="s">
        <v>3731</v>
      </c>
      <c r="C131" s="42"/>
      <c r="D131" s="43">
        <v>1913</v>
      </c>
      <c r="E131" s="41" t="s">
        <v>3481</v>
      </c>
      <c r="F131" s="42"/>
    </row>
    <row r="132" spans="1:6" x14ac:dyDescent="0.2">
      <c r="A132" s="39">
        <v>39169</v>
      </c>
      <c r="B132" s="40" t="s">
        <v>1899</v>
      </c>
      <c r="D132" s="43">
        <v>1914</v>
      </c>
      <c r="E132" s="41" t="s">
        <v>3481</v>
      </c>
    </row>
    <row r="133" spans="1:6" x14ac:dyDescent="0.2">
      <c r="A133" s="39">
        <v>39169</v>
      </c>
      <c r="B133" s="40" t="s">
        <v>2672</v>
      </c>
      <c r="D133" s="43">
        <v>1915</v>
      </c>
      <c r="E133" s="41" t="s">
        <v>3481</v>
      </c>
    </row>
    <row r="134" spans="1:6" x14ac:dyDescent="0.2">
      <c r="A134" s="39">
        <v>39169</v>
      </c>
      <c r="B134" s="40" t="s">
        <v>3679</v>
      </c>
      <c r="D134" s="43">
        <v>1916</v>
      </c>
      <c r="E134" s="41" t="s">
        <v>3481</v>
      </c>
    </row>
    <row r="135" spans="1:6" x14ac:dyDescent="0.2">
      <c r="A135" s="39">
        <v>39169</v>
      </c>
      <c r="B135" s="40" t="s">
        <v>2159</v>
      </c>
      <c r="D135" s="43">
        <v>1917</v>
      </c>
      <c r="E135" s="41" t="s">
        <v>112</v>
      </c>
    </row>
    <row r="136" spans="1:6" x14ac:dyDescent="0.2">
      <c r="A136" s="39">
        <v>39169</v>
      </c>
      <c r="B136" s="40" t="s">
        <v>982</v>
      </c>
      <c r="D136" s="43">
        <v>1918</v>
      </c>
      <c r="E136" s="41" t="s">
        <v>112</v>
      </c>
    </row>
    <row r="137" spans="1:6" x14ac:dyDescent="0.2">
      <c r="A137" s="39">
        <v>39169</v>
      </c>
      <c r="B137" s="40" t="s">
        <v>3594</v>
      </c>
      <c r="D137" s="43">
        <v>1920</v>
      </c>
      <c r="E137" s="41" t="s">
        <v>3175</v>
      </c>
    </row>
    <row r="138" spans="1:6" x14ac:dyDescent="0.2">
      <c r="A138" s="39">
        <v>39189</v>
      </c>
      <c r="B138" s="40" t="s">
        <v>2755</v>
      </c>
      <c r="D138" s="43">
        <v>1943</v>
      </c>
      <c r="E138" s="41" t="s">
        <v>1085</v>
      </c>
    </row>
    <row r="139" spans="1:6" x14ac:dyDescent="0.2">
      <c r="A139" s="39">
        <v>39189</v>
      </c>
      <c r="B139" s="40" t="s">
        <v>3560</v>
      </c>
      <c r="D139" s="43">
        <v>1944</v>
      </c>
      <c r="E139" s="41" t="s">
        <v>1085</v>
      </c>
    </row>
    <row r="140" spans="1:6" x14ac:dyDescent="0.2">
      <c r="A140" s="39">
        <v>39189</v>
      </c>
      <c r="B140" s="40" t="s">
        <v>1591</v>
      </c>
      <c r="D140" s="43">
        <v>1946</v>
      </c>
      <c r="E140" s="41" t="s">
        <v>3481</v>
      </c>
    </row>
    <row r="141" spans="1:6" x14ac:dyDescent="0.2">
      <c r="A141" s="39">
        <v>39174</v>
      </c>
      <c r="B141" s="40" t="s">
        <v>3422</v>
      </c>
      <c r="D141" s="43">
        <v>1954</v>
      </c>
      <c r="E141" s="41" t="s">
        <v>3481</v>
      </c>
    </row>
    <row r="142" spans="1:6" x14ac:dyDescent="0.2">
      <c r="A142" s="39">
        <v>39176</v>
      </c>
      <c r="B142" s="40" t="s">
        <v>1618</v>
      </c>
      <c r="D142" s="43">
        <v>1956</v>
      </c>
      <c r="E142" s="41" t="s">
        <v>790</v>
      </c>
    </row>
    <row r="143" spans="1:6" x14ac:dyDescent="0.2">
      <c r="A143" s="39">
        <v>39176</v>
      </c>
      <c r="B143" s="40" t="s">
        <v>791</v>
      </c>
      <c r="D143" s="43">
        <v>1957</v>
      </c>
      <c r="E143" s="41" t="s">
        <v>3032</v>
      </c>
    </row>
    <row r="144" spans="1:6" x14ac:dyDescent="0.2">
      <c r="A144" s="39">
        <v>39177</v>
      </c>
      <c r="B144" s="40" t="s">
        <v>3345</v>
      </c>
      <c r="D144" s="43">
        <v>1958</v>
      </c>
      <c r="E144" s="41" t="s">
        <v>3478</v>
      </c>
    </row>
    <row r="145" spans="1:7" x14ac:dyDescent="0.2">
      <c r="A145" s="39">
        <v>39177</v>
      </c>
      <c r="B145" s="40" t="s">
        <v>886</v>
      </c>
      <c r="D145" s="43">
        <v>1959</v>
      </c>
      <c r="E145" s="41" t="s">
        <v>3486</v>
      </c>
    </row>
    <row r="146" spans="1:7" x14ac:dyDescent="0.2">
      <c r="A146" s="39">
        <v>39182</v>
      </c>
      <c r="B146" s="40" t="s">
        <v>3571</v>
      </c>
      <c r="D146" s="43">
        <v>1960</v>
      </c>
      <c r="E146" s="41" t="s">
        <v>3523</v>
      </c>
    </row>
    <row r="147" spans="1:7" x14ac:dyDescent="0.2">
      <c r="A147" s="39">
        <v>39259</v>
      </c>
      <c r="B147" s="40" t="s">
        <v>661</v>
      </c>
      <c r="D147" s="43">
        <v>2067</v>
      </c>
      <c r="E147" s="41" t="s">
        <v>3206</v>
      </c>
    </row>
    <row r="148" spans="1:7" x14ac:dyDescent="0.2">
      <c r="A148" s="39">
        <v>39302</v>
      </c>
      <c r="B148" s="40" t="s">
        <v>1263</v>
      </c>
      <c r="C148" s="41" t="s">
        <v>3894</v>
      </c>
      <c r="D148" s="43">
        <v>2119</v>
      </c>
      <c r="E148" s="41" t="s">
        <v>3175</v>
      </c>
      <c r="G148" s="56">
        <v>39741</v>
      </c>
    </row>
    <row r="149" spans="1:7" x14ac:dyDescent="0.2">
      <c r="A149" s="39">
        <v>39302</v>
      </c>
      <c r="B149" s="40" t="s">
        <v>3246</v>
      </c>
      <c r="D149" s="43">
        <v>2120</v>
      </c>
      <c r="E149" s="41" t="s">
        <v>2504</v>
      </c>
    </row>
    <row r="150" spans="1:7" x14ac:dyDescent="0.2">
      <c r="A150" s="39">
        <v>39326</v>
      </c>
      <c r="B150" s="40" t="s">
        <v>785</v>
      </c>
      <c r="C150" s="41" t="s">
        <v>3963</v>
      </c>
      <c r="D150" s="43">
        <v>2134</v>
      </c>
      <c r="E150" s="41" t="s">
        <v>786</v>
      </c>
    </row>
    <row r="151" spans="1:7" x14ac:dyDescent="0.2">
      <c r="A151" s="39">
        <v>39326</v>
      </c>
      <c r="B151" s="40" t="s">
        <v>628</v>
      </c>
      <c r="D151" s="43">
        <v>2135</v>
      </c>
      <c r="E151" s="41" t="s">
        <v>3523</v>
      </c>
    </row>
    <row r="152" spans="1:7" x14ac:dyDescent="0.2">
      <c r="A152" s="39">
        <v>39349</v>
      </c>
      <c r="B152" s="40" t="s">
        <v>1334</v>
      </c>
      <c r="D152" s="43">
        <v>2246</v>
      </c>
      <c r="E152" s="41" t="s">
        <v>1086</v>
      </c>
    </row>
    <row r="153" spans="1:7" x14ac:dyDescent="0.2">
      <c r="A153" s="39">
        <v>39349</v>
      </c>
      <c r="B153" s="40" t="s">
        <v>2923</v>
      </c>
      <c r="D153" s="43">
        <v>2247</v>
      </c>
      <c r="E153" s="41" t="s">
        <v>135</v>
      </c>
    </row>
    <row r="154" spans="1:7" x14ac:dyDescent="0.2">
      <c r="A154" s="39">
        <v>39349</v>
      </c>
      <c r="B154" s="40" t="s">
        <v>2682</v>
      </c>
      <c r="D154" s="43">
        <v>2249</v>
      </c>
      <c r="E154" s="41" t="s">
        <v>3206</v>
      </c>
    </row>
    <row r="155" spans="1:7" x14ac:dyDescent="0.2">
      <c r="A155" s="39">
        <v>39349</v>
      </c>
      <c r="B155" s="40" t="s">
        <v>2681</v>
      </c>
      <c r="D155" s="43">
        <v>2250</v>
      </c>
      <c r="E155" s="41" t="s">
        <v>748</v>
      </c>
    </row>
    <row r="156" spans="1:7" ht="24" x14ac:dyDescent="0.2">
      <c r="A156" s="39">
        <v>39349</v>
      </c>
      <c r="B156" s="40" t="s">
        <v>2945</v>
      </c>
      <c r="D156" s="43">
        <v>2251</v>
      </c>
      <c r="E156" s="41" t="s">
        <v>3338</v>
      </c>
    </row>
    <row r="157" spans="1:7" x14ac:dyDescent="0.2">
      <c r="A157" s="39">
        <v>39351</v>
      </c>
      <c r="B157" s="40" t="s">
        <v>523</v>
      </c>
      <c r="D157" s="43">
        <v>2252</v>
      </c>
      <c r="E157" s="41" t="s">
        <v>524</v>
      </c>
    </row>
    <row r="158" spans="1:7" x14ac:dyDescent="0.2">
      <c r="A158" s="39">
        <v>39358</v>
      </c>
      <c r="B158" s="40" t="s">
        <v>3079</v>
      </c>
      <c r="D158" s="43">
        <v>2254</v>
      </c>
      <c r="E158" s="41" t="s">
        <v>1085</v>
      </c>
    </row>
    <row r="159" spans="1:7" x14ac:dyDescent="0.2">
      <c r="A159" s="39">
        <v>39358</v>
      </c>
      <c r="B159" s="40" t="s">
        <v>3080</v>
      </c>
      <c r="C159" s="41" t="s">
        <v>1841</v>
      </c>
      <c r="D159" s="43">
        <v>2255</v>
      </c>
      <c r="E159" s="41" t="s">
        <v>3478</v>
      </c>
      <c r="G159" s="56">
        <v>39581</v>
      </c>
    </row>
    <row r="160" spans="1:7" x14ac:dyDescent="0.2">
      <c r="A160" s="39">
        <v>39365</v>
      </c>
      <c r="B160" s="40" t="s">
        <v>3775</v>
      </c>
      <c r="D160" s="43">
        <v>2256</v>
      </c>
      <c r="E160" s="41" t="s">
        <v>3481</v>
      </c>
    </row>
    <row r="161" spans="1:7" x14ac:dyDescent="0.2">
      <c r="A161" s="39">
        <v>39365</v>
      </c>
      <c r="B161" s="40" t="s">
        <v>3532</v>
      </c>
      <c r="D161" s="43">
        <v>2257</v>
      </c>
      <c r="E161" s="41" t="s">
        <v>3481</v>
      </c>
    </row>
    <row r="162" spans="1:7" x14ac:dyDescent="0.2">
      <c r="A162" s="39">
        <v>39365</v>
      </c>
      <c r="B162" s="40" t="s">
        <v>3533</v>
      </c>
      <c r="D162" s="43">
        <v>2258</v>
      </c>
      <c r="E162" s="41" t="s">
        <v>3481</v>
      </c>
    </row>
    <row r="163" spans="1:7" x14ac:dyDescent="0.2">
      <c r="A163" s="39">
        <v>39365</v>
      </c>
      <c r="B163" s="40" t="s">
        <v>3590</v>
      </c>
      <c r="D163" s="43">
        <v>2259</v>
      </c>
      <c r="E163" s="41" t="s">
        <v>3481</v>
      </c>
    </row>
    <row r="164" spans="1:7" x14ac:dyDescent="0.2">
      <c r="A164" s="39">
        <v>39365</v>
      </c>
      <c r="B164" s="40" t="s">
        <v>321</v>
      </c>
      <c r="D164" s="43">
        <v>2260</v>
      </c>
      <c r="E164" s="41" t="s">
        <v>1085</v>
      </c>
    </row>
    <row r="165" spans="1:7" x14ac:dyDescent="0.2">
      <c r="A165" s="39">
        <v>39372</v>
      </c>
      <c r="B165" s="40" t="s">
        <v>2699</v>
      </c>
      <c r="D165" s="43">
        <v>2275</v>
      </c>
      <c r="E165" s="41" t="s">
        <v>3481</v>
      </c>
    </row>
    <row r="166" spans="1:7" x14ac:dyDescent="0.2">
      <c r="A166" s="39">
        <v>39372</v>
      </c>
      <c r="B166" s="40" t="s">
        <v>3125</v>
      </c>
      <c r="D166" s="43">
        <v>2276</v>
      </c>
      <c r="E166" s="41" t="s">
        <v>3479</v>
      </c>
    </row>
    <row r="167" spans="1:7" x14ac:dyDescent="0.2">
      <c r="A167" s="39">
        <v>39373</v>
      </c>
      <c r="B167" s="40" t="s">
        <v>446</v>
      </c>
      <c r="D167" s="43">
        <v>2279</v>
      </c>
      <c r="E167" s="41" t="s">
        <v>3175</v>
      </c>
    </row>
    <row r="168" spans="1:7" x14ac:dyDescent="0.2">
      <c r="A168" s="39">
        <v>39373</v>
      </c>
      <c r="B168" s="40" t="s">
        <v>486</v>
      </c>
      <c r="D168" s="43">
        <v>2284</v>
      </c>
      <c r="E168" s="41" t="s">
        <v>3175</v>
      </c>
    </row>
    <row r="169" spans="1:7" x14ac:dyDescent="0.2">
      <c r="A169" s="39">
        <v>39393</v>
      </c>
      <c r="B169" s="40" t="s">
        <v>3466</v>
      </c>
      <c r="D169" s="43">
        <v>2285</v>
      </c>
      <c r="E169" s="41" t="s">
        <v>3175</v>
      </c>
    </row>
    <row r="170" spans="1:7" x14ac:dyDescent="0.2">
      <c r="A170" s="39">
        <v>39398</v>
      </c>
      <c r="B170" s="40" t="s">
        <v>1833</v>
      </c>
      <c r="C170" s="41" t="s">
        <v>1841</v>
      </c>
      <c r="D170" s="43">
        <v>2287</v>
      </c>
    </row>
    <row r="171" spans="1:7" x14ac:dyDescent="0.2">
      <c r="A171" s="39">
        <v>39400</v>
      </c>
      <c r="B171" s="40" t="s">
        <v>3336</v>
      </c>
      <c r="D171" s="43">
        <v>2290</v>
      </c>
      <c r="E171" s="41" t="s">
        <v>3481</v>
      </c>
    </row>
    <row r="172" spans="1:7" x14ac:dyDescent="0.2">
      <c r="A172" s="39">
        <v>39400</v>
      </c>
      <c r="B172" s="40" t="s">
        <v>655</v>
      </c>
      <c r="D172" s="43">
        <v>2291</v>
      </c>
      <c r="E172" s="41" t="s">
        <v>3162</v>
      </c>
    </row>
    <row r="173" spans="1:7" x14ac:dyDescent="0.2">
      <c r="A173" s="39">
        <v>39401</v>
      </c>
      <c r="B173" s="40" t="s">
        <v>2770</v>
      </c>
      <c r="C173" s="41" t="s">
        <v>2050</v>
      </c>
      <c r="D173" s="43">
        <v>2293</v>
      </c>
      <c r="E173" s="41" t="s">
        <v>3175</v>
      </c>
      <c r="G173" s="56">
        <v>39828</v>
      </c>
    </row>
    <row r="174" spans="1:7" x14ac:dyDescent="0.2">
      <c r="A174" s="39">
        <v>39405</v>
      </c>
      <c r="B174" s="40" t="s">
        <v>2839</v>
      </c>
      <c r="C174" s="41" t="s">
        <v>3963</v>
      </c>
      <c r="D174" s="43">
        <v>2296</v>
      </c>
      <c r="E174" s="41" t="s">
        <v>3479</v>
      </c>
    </row>
    <row r="175" spans="1:7" x14ac:dyDescent="0.2">
      <c r="A175" s="39">
        <v>39405</v>
      </c>
      <c r="B175" s="40" t="s">
        <v>2838</v>
      </c>
      <c r="D175" s="43">
        <v>2297</v>
      </c>
      <c r="E175" s="41" t="s">
        <v>1562</v>
      </c>
    </row>
    <row r="176" spans="1:7" x14ac:dyDescent="0.2">
      <c r="A176" s="39">
        <v>39583</v>
      </c>
      <c r="B176" s="40" t="s">
        <v>3871</v>
      </c>
      <c r="C176" s="41" t="s">
        <v>3963</v>
      </c>
      <c r="D176" s="43">
        <v>2384</v>
      </c>
      <c r="E176" s="41" t="s">
        <v>3486</v>
      </c>
      <c r="G176" s="56">
        <v>39860</v>
      </c>
    </row>
    <row r="177" spans="1:7" x14ac:dyDescent="0.2">
      <c r="A177" s="39">
        <v>39408</v>
      </c>
      <c r="B177" s="40" t="s">
        <v>3638</v>
      </c>
      <c r="D177" s="43">
        <v>2622</v>
      </c>
      <c r="E177" s="41" t="s">
        <v>3162</v>
      </c>
    </row>
    <row r="178" spans="1:7" x14ac:dyDescent="0.2">
      <c r="A178" s="39">
        <v>39409</v>
      </c>
      <c r="B178" s="40" t="s">
        <v>543</v>
      </c>
      <c r="D178" s="43">
        <v>2624</v>
      </c>
      <c r="E178" s="41" t="s">
        <v>3480</v>
      </c>
    </row>
    <row r="179" spans="1:7" x14ac:dyDescent="0.2">
      <c r="A179" s="39">
        <v>39413</v>
      </c>
      <c r="B179" s="40" t="s">
        <v>542</v>
      </c>
      <c r="D179" s="43">
        <v>2626</v>
      </c>
      <c r="E179" s="41" t="s">
        <v>3482</v>
      </c>
    </row>
    <row r="180" spans="1:7" x14ac:dyDescent="0.2">
      <c r="A180" s="39">
        <v>39413</v>
      </c>
      <c r="B180" s="40" t="s">
        <v>3764</v>
      </c>
      <c r="C180" s="41" t="s">
        <v>2050</v>
      </c>
      <c r="D180" s="43">
        <v>2627</v>
      </c>
      <c r="E180" s="41" t="s">
        <v>3032</v>
      </c>
    </row>
    <row r="181" spans="1:7" x14ac:dyDescent="0.2">
      <c r="A181" s="39">
        <v>39413</v>
      </c>
      <c r="B181" s="40" t="s">
        <v>3763</v>
      </c>
      <c r="D181" s="43">
        <v>2628</v>
      </c>
      <c r="E181" s="41" t="s">
        <v>3032</v>
      </c>
    </row>
    <row r="182" spans="1:7" x14ac:dyDescent="0.2">
      <c r="A182" s="39">
        <v>39420</v>
      </c>
      <c r="B182" s="40" t="s">
        <v>3112</v>
      </c>
      <c r="C182" s="41" t="s">
        <v>2050</v>
      </c>
      <c r="D182" s="43">
        <v>2629</v>
      </c>
      <c r="E182" s="41" t="s">
        <v>3175</v>
      </c>
    </row>
    <row r="183" spans="1:7" x14ac:dyDescent="0.2">
      <c r="A183" s="39">
        <v>39420</v>
      </c>
      <c r="B183" s="40" t="s">
        <v>776</v>
      </c>
      <c r="D183" s="43">
        <v>2630</v>
      </c>
    </row>
    <row r="184" spans="1:7" x14ac:dyDescent="0.2">
      <c r="A184" s="39">
        <v>39420</v>
      </c>
      <c r="B184" s="40" t="s">
        <v>1220</v>
      </c>
      <c r="D184" s="43">
        <v>2631</v>
      </c>
      <c r="E184" s="41" t="s">
        <v>3162</v>
      </c>
    </row>
    <row r="185" spans="1:7" x14ac:dyDescent="0.2">
      <c r="A185" s="39">
        <v>39420</v>
      </c>
      <c r="B185" s="40" t="s">
        <v>192</v>
      </c>
      <c r="C185" s="41" t="s">
        <v>3963</v>
      </c>
      <c r="D185" s="43">
        <v>2633</v>
      </c>
      <c r="E185" s="41" t="s">
        <v>3162</v>
      </c>
    </row>
    <row r="186" spans="1:7" x14ac:dyDescent="0.2">
      <c r="A186" s="39">
        <v>39421</v>
      </c>
      <c r="B186" s="40" t="s">
        <v>3053</v>
      </c>
      <c r="D186" s="43">
        <v>2635</v>
      </c>
      <c r="E186" s="41" t="s">
        <v>3482</v>
      </c>
    </row>
    <row r="187" spans="1:7" x14ac:dyDescent="0.2">
      <c r="A187" s="39">
        <v>39422</v>
      </c>
      <c r="B187" s="40" t="s">
        <v>921</v>
      </c>
      <c r="C187" s="41" t="s">
        <v>1841</v>
      </c>
      <c r="D187" s="43">
        <v>2636</v>
      </c>
      <c r="E187" s="41" t="s">
        <v>2504</v>
      </c>
    </row>
    <row r="188" spans="1:7" x14ac:dyDescent="0.2">
      <c r="A188" s="39">
        <v>39427</v>
      </c>
      <c r="B188" s="40" t="s">
        <v>2121</v>
      </c>
      <c r="D188" s="43">
        <v>2638</v>
      </c>
      <c r="E188" s="41" t="s">
        <v>3481</v>
      </c>
    </row>
    <row r="189" spans="1:7" x14ac:dyDescent="0.2">
      <c r="A189" s="39">
        <v>39427</v>
      </c>
      <c r="B189" s="40" t="s">
        <v>1615</v>
      </c>
      <c r="D189" s="43">
        <v>2639</v>
      </c>
      <c r="E189" s="41" t="s">
        <v>3478</v>
      </c>
    </row>
    <row r="190" spans="1:7" x14ac:dyDescent="0.2">
      <c r="A190" s="39">
        <v>39456</v>
      </c>
      <c r="B190" s="40" t="s">
        <v>2143</v>
      </c>
      <c r="C190" s="41" t="s">
        <v>1841</v>
      </c>
      <c r="D190" s="43">
        <v>2645</v>
      </c>
      <c r="E190" s="41" t="s">
        <v>3478</v>
      </c>
      <c r="G190" s="56">
        <v>39828</v>
      </c>
    </row>
    <row r="191" spans="1:7" x14ac:dyDescent="0.2">
      <c r="A191" s="39">
        <v>39456</v>
      </c>
      <c r="B191" s="40" t="s">
        <v>2896</v>
      </c>
      <c r="D191" s="43">
        <v>2647</v>
      </c>
      <c r="E191" s="41" t="s">
        <v>3480</v>
      </c>
    </row>
    <row r="192" spans="1:7" x14ac:dyDescent="0.2">
      <c r="A192" s="39">
        <v>39457</v>
      </c>
      <c r="B192" s="40" t="s">
        <v>1862</v>
      </c>
      <c r="C192" s="41" t="s">
        <v>2051</v>
      </c>
      <c r="D192" s="43">
        <v>2648</v>
      </c>
      <c r="E192" s="41" t="s">
        <v>2504</v>
      </c>
    </row>
    <row r="193" spans="1:7" x14ac:dyDescent="0.2">
      <c r="A193" s="39">
        <v>39463</v>
      </c>
      <c r="B193" s="40" t="s">
        <v>981</v>
      </c>
      <c r="C193" s="41" t="s">
        <v>3963</v>
      </c>
      <c r="D193" s="43">
        <v>2649</v>
      </c>
      <c r="E193" s="41" t="s">
        <v>3480</v>
      </c>
    </row>
    <row r="194" spans="1:7" x14ac:dyDescent="0.2">
      <c r="A194" s="39">
        <v>39468</v>
      </c>
      <c r="B194" s="40" t="s">
        <v>2456</v>
      </c>
      <c r="D194" s="43">
        <v>2650</v>
      </c>
      <c r="E194" s="41" t="s">
        <v>3162</v>
      </c>
    </row>
    <row r="195" spans="1:7" ht="24" x14ac:dyDescent="0.2">
      <c r="A195" s="39">
        <v>39468</v>
      </c>
      <c r="B195" s="40" t="s">
        <v>1120</v>
      </c>
      <c r="C195" s="41" t="s">
        <v>3963</v>
      </c>
      <c r="D195" s="43">
        <v>2651</v>
      </c>
      <c r="E195" s="41" t="s">
        <v>3479</v>
      </c>
      <c r="G195" s="56">
        <v>39828</v>
      </c>
    </row>
    <row r="196" spans="1:7" x14ac:dyDescent="0.2">
      <c r="A196" s="39">
        <v>39469</v>
      </c>
      <c r="B196" s="40" t="s">
        <v>3017</v>
      </c>
      <c r="C196" s="41" t="s">
        <v>2050</v>
      </c>
      <c r="D196" s="43">
        <v>2652</v>
      </c>
      <c r="E196" s="41" t="s">
        <v>3478</v>
      </c>
    </row>
    <row r="197" spans="1:7" x14ac:dyDescent="0.2">
      <c r="A197" s="39">
        <v>39469</v>
      </c>
      <c r="B197" s="40" t="s">
        <v>3089</v>
      </c>
      <c r="C197" s="41" t="s">
        <v>3963</v>
      </c>
      <c r="D197" s="43">
        <v>2655</v>
      </c>
      <c r="E197" s="41" t="s">
        <v>3478</v>
      </c>
      <c r="G197" s="56">
        <v>39769</v>
      </c>
    </row>
    <row r="198" spans="1:7" x14ac:dyDescent="0.2">
      <c r="A198" s="39">
        <v>39471</v>
      </c>
      <c r="B198" s="40" t="s">
        <v>1908</v>
      </c>
      <c r="C198" s="41" t="s">
        <v>3963</v>
      </c>
      <c r="D198" s="43">
        <v>2657</v>
      </c>
      <c r="E198" s="41" t="s">
        <v>3032</v>
      </c>
      <c r="G198" s="56">
        <v>39818</v>
      </c>
    </row>
    <row r="199" spans="1:7" x14ac:dyDescent="0.2">
      <c r="A199" s="39">
        <v>39475</v>
      </c>
      <c r="B199" s="40" t="s">
        <v>754</v>
      </c>
      <c r="C199" s="41" t="s">
        <v>2051</v>
      </c>
      <c r="D199" s="43">
        <v>2659</v>
      </c>
      <c r="E199" s="41" t="s">
        <v>3478</v>
      </c>
      <c r="G199" s="56">
        <v>39525</v>
      </c>
    </row>
    <row r="200" spans="1:7" x14ac:dyDescent="0.2">
      <c r="A200" s="39">
        <v>39475</v>
      </c>
      <c r="B200" s="40" t="s">
        <v>2854</v>
      </c>
      <c r="C200" s="41" t="s">
        <v>3963</v>
      </c>
      <c r="D200" s="43">
        <v>2660</v>
      </c>
      <c r="E200" s="41" t="s">
        <v>3478</v>
      </c>
    </row>
    <row r="201" spans="1:7" x14ac:dyDescent="0.2">
      <c r="A201" s="39">
        <v>39475</v>
      </c>
      <c r="B201" s="40" t="s">
        <v>69</v>
      </c>
      <c r="C201" s="41" t="s">
        <v>3963</v>
      </c>
      <c r="D201" s="43">
        <v>2661</v>
      </c>
      <c r="E201" s="41" t="s">
        <v>3482</v>
      </c>
    </row>
    <row r="202" spans="1:7" x14ac:dyDescent="0.2">
      <c r="A202" s="39">
        <v>39478</v>
      </c>
      <c r="B202" s="40" t="s">
        <v>1277</v>
      </c>
      <c r="C202" s="41" t="s">
        <v>3963</v>
      </c>
      <c r="D202" s="43">
        <v>2662</v>
      </c>
      <c r="E202" s="41" t="s">
        <v>3482</v>
      </c>
    </row>
    <row r="203" spans="1:7" x14ac:dyDescent="0.2">
      <c r="A203" s="39">
        <v>39483</v>
      </c>
      <c r="B203" s="40" t="s">
        <v>2183</v>
      </c>
      <c r="C203" s="41" t="s">
        <v>3963</v>
      </c>
      <c r="D203" s="43">
        <v>2664</v>
      </c>
      <c r="E203" s="41" t="s">
        <v>3483</v>
      </c>
    </row>
    <row r="204" spans="1:7" x14ac:dyDescent="0.2">
      <c r="A204" s="39">
        <v>39483</v>
      </c>
      <c r="B204" s="40" t="s">
        <v>428</v>
      </c>
      <c r="C204" s="41" t="s">
        <v>3963</v>
      </c>
      <c r="D204" s="43">
        <v>2665</v>
      </c>
      <c r="E204" s="41" t="s">
        <v>3482</v>
      </c>
      <c r="G204" s="56">
        <v>39566</v>
      </c>
    </row>
    <row r="205" spans="1:7" x14ac:dyDescent="0.2">
      <c r="A205" s="39">
        <v>39483</v>
      </c>
      <c r="B205" s="40" t="s">
        <v>3656</v>
      </c>
      <c r="C205" s="41" t="s">
        <v>2050</v>
      </c>
      <c r="D205" s="43">
        <v>2666</v>
      </c>
      <c r="E205" s="41" t="s">
        <v>3175</v>
      </c>
    </row>
    <row r="206" spans="1:7" x14ac:dyDescent="0.2">
      <c r="A206" s="39">
        <v>39483</v>
      </c>
      <c r="B206" s="40" t="s">
        <v>1897</v>
      </c>
      <c r="C206" s="41" t="s">
        <v>1841</v>
      </c>
      <c r="D206" s="43">
        <v>2667</v>
      </c>
    </row>
    <row r="207" spans="1:7" x14ac:dyDescent="0.2">
      <c r="A207" s="39">
        <v>39484</v>
      </c>
      <c r="B207" s="40" t="s">
        <v>2067</v>
      </c>
      <c r="C207" s="41" t="s">
        <v>3894</v>
      </c>
      <c r="D207" s="43">
        <v>2669</v>
      </c>
      <c r="E207" s="41" t="s">
        <v>1330</v>
      </c>
      <c r="G207" s="56">
        <v>39778</v>
      </c>
    </row>
    <row r="208" spans="1:7" x14ac:dyDescent="0.2">
      <c r="A208" s="39">
        <v>39484</v>
      </c>
      <c r="B208" s="40" t="s">
        <v>3056</v>
      </c>
      <c r="C208" s="41" t="s">
        <v>1841</v>
      </c>
      <c r="D208" s="43">
        <v>2670</v>
      </c>
      <c r="E208" s="41" t="s">
        <v>3480</v>
      </c>
    </row>
    <row r="209" spans="1:7" ht="24" x14ac:dyDescent="0.2">
      <c r="A209" s="39">
        <v>39497</v>
      </c>
      <c r="B209" s="40" t="s">
        <v>2417</v>
      </c>
      <c r="C209" s="41" t="s">
        <v>3963</v>
      </c>
      <c r="D209" s="43">
        <v>2672</v>
      </c>
      <c r="E209" s="41" t="s">
        <v>902</v>
      </c>
    </row>
    <row r="210" spans="1:7" x14ac:dyDescent="0.2">
      <c r="A210" s="39">
        <v>39497</v>
      </c>
      <c r="B210" s="40" t="s">
        <v>232</v>
      </c>
      <c r="C210" s="41" t="s">
        <v>3894</v>
      </c>
      <c r="D210" s="43">
        <v>2673</v>
      </c>
      <c r="E210" s="41" t="s">
        <v>3176</v>
      </c>
      <c r="G210" s="56">
        <v>39877</v>
      </c>
    </row>
    <row r="211" spans="1:7" x14ac:dyDescent="0.2">
      <c r="A211" s="39">
        <v>39497</v>
      </c>
      <c r="B211" s="40" t="s">
        <v>1563</v>
      </c>
      <c r="C211" s="41" t="s">
        <v>1841</v>
      </c>
      <c r="D211" s="43">
        <v>2676</v>
      </c>
      <c r="E211" s="41" t="s">
        <v>902</v>
      </c>
      <c r="G211" s="56">
        <v>39555</v>
      </c>
    </row>
    <row r="212" spans="1:7" x14ac:dyDescent="0.2">
      <c r="A212" s="39">
        <v>39497</v>
      </c>
      <c r="B212" s="40" t="s">
        <v>901</v>
      </c>
      <c r="C212" s="41" t="s">
        <v>2050</v>
      </c>
      <c r="D212" s="43">
        <v>2677</v>
      </c>
      <c r="E212" s="41" t="s">
        <v>902</v>
      </c>
      <c r="G212" s="56">
        <v>39555</v>
      </c>
    </row>
    <row r="213" spans="1:7" x14ac:dyDescent="0.2">
      <c r="A213" s="39">
        <v>39500</v>
      </c>
      <c r="B213" s="40" t="s">
        <v>3517</v>
      </c>
      <c r="C213" s="41" t="s">
        <v>3963</v>
      </c>
      <c r="D213" s="43">
        <v>2678</v>
      </c>
      <c r="E213" s="41" t="s">
        <v>3165</v>
      </c>
    </row>
    <row r="214" spans="1:7" x14ac:dyDescent="0.2">
      <c r="A214" s="39">
        <v>39510</v>
      </c>
      <c r="B214" s="40" t="s">
        <v>2562</v>
      </c>
      <c r="C214" s="41" t="s">
        <v>3963</v>
      </c>
      <c r="D214" s="43">
        <v>2680</v>
      </c>
      <c r="E214" s="41" t="s">
        <v>2504</v>
      </c>
    </row>
    <row r="215" spans="1:7" x14ac:dyDescent="0.2">
      <c r="A215" s="39">
        <v>39505</v>
      </c>
      <c r="B215" s="40" t="s">
        <v>2726</v>
      </c>
      <c r="C215" s="41" t="s">
        <v>3963</v>
      </c>
      <c r="D215" s="43">
        <v>2681</v>
      </c>
      <c r="E215" s="41" t="s">
        <v>3480</v>
      </c>
      <c r="G215" s="56">
        <v>39582</v>
      </c>
    </row>
    <row r="216" spans="1:7" x14ac:dyDescent="0.2">
      <c r="A216" s="39">
        <v>39513</v>
      </c>
      <c r="B216" s="40" t="s">
        <v>834</v>
      </c>
      <c r="C216" s="41" t="s">
        <v>1841</v>
      </c>
      <c r="D216" s="43">
        <v>2682</v>
      </c>
      <c r="E216" s="41" t="s">
        <v>3753</v>
      </c>
      <c r="G216" s="56">
        <v>39764</v>
      </c>
    </row>
    <row r="217" spans="1:7" x14ac:dyDescent="0.2">
      <c r="A217" s="39">
        <v>39524</v>
      </c>
      <c r="B217" s="40" t="s">
        <v>3381</v>
      </c>
      <c r="C217" s="41" t="s">
        <v>1841</v>
      </c>
      <c r="D217" s="43">
        <v>2683</v>
      </c>
      <c r="E217" s="41" t="s">
        <v>3482</v>
      </c>
      <c r="G217" s="56">
        <v>39639</v>
      </c>
    </row>
    <row r="218" spans="1:7" x14ac:dyDescent="0.2">
      <c r="A218" s="39">
        <v>39524</v>
      </c>
      <c r="B218" s="40" t="s">
        <v>3752</v>
      </c>
      <c r="C218" s="41" t="s">
        <v>3963</v>
      </c>
      <c r="D218" s="43">
        <v>2686</v>
      </c>
      <c r="E218" s="41" t="s">
        <v>3753</v>
      </c>
      <c r="G218" s="56">
        <v>39598</v>
      </c>
    </row>
    <row r="219" spans="1:7" x14ac:dyDescent="0.2">
      <c r="A219" s="39">
        <v>39524</v>
      </c>
      <c r="B219" s="40" t="s">
        <v>789</v>
      </c>
      <c r="C219" s="41" t="s">
        <v>3963</v>
      </c>
      <c r="D219" s="43">
        <v>2687</v>
      </c>
      <c r="E219" s="41" t="s">
        <v>3032</v>
      </c>
      <c r="G219" s="56">
        <v>39639</v>
      </c>
    </row>
    <row r="220" spans="1:7" x14ac:dyDescent="0.2">
      <c r="A220" s="39">
        <v>39524</v>
      </c>
      <c r="B220" s="40" t="s">
        <v>3126</v>
      </c>
      <c r="C220" s="41" t="s">
        <v>3963</v>
      </c>
      <c r="D220" s="43">
        <v>2688</v>
      </c>
      <c r="E220" s="41" t="s">
        <v>3478</v>
      </c>
      <c r="G220" s="56">
        <v>39639</v>
      </c>
    </row>
    <row r="221" spans="1:7" x14ac:dyDescent="0.2">
      <c r="A221" s="39">
        <v>39524</v>
      </c>
      <c r="B221" s="40" t="s">
        <v>166</v>
      </c>
      <c r="C221" s="41" t="s">
        <v>3963</v>
      </c>
      <c r="D221" s="43">
        <v>2689</v>
      </c>
      <c r="E221" s="41" t="s">
        <v>3478</v>
      </c>
      <c r="G221" s="56">
        <v>39639</v>
      </c>
    </row>
    <row r="222" spans="1:7" x14ac:dyDescent="0.2">
      <c r="A222" s="39">
        <v>39524</v>
      </c>
      <c r="B222" s="40" t="s">
        <v>2500</v>
      </c>
      <c r="C222" s="41" t="s">
        <v>3963</v>
      </c>
      <c r="D222" s="43">
        <v>2690</v>
      </c>
      <c r="E222" s="41" t="s">
        <v>3479</v>
      </c>
      <c r="G222" s="56">
        <v>39903</v>
      </c>
    </row>
    <row r="223" spans="1:7" x14ac:dyDescent="0.2">
      <c r="A223" s="39">
        <v>39524</v>
      </c>
      <c r="B223" s="40" t="s">
        <v>3468</v>
      </c>
      <c r="C223" s="41" t="s">
        <v>2050</v>
      </c>
      <c r="D223" s="43">
        <v>2691</v>
      </c>
      <c r="E223" s="41" t="s">
        <v>3175</v>
      </c>
    </row>
    <row r="224" spans="1:7" x14ac:dyDescent="0.2">
      <c r="A224" s="39">
        <v>39524</v>
      </c>
      <c r="B224" s="40" t="s">
        <v>1004</v>
      </c>
      <c r="C224" s="41" t="s">
        <v>2050</v>
      </c>
      <c r="D224" s="43">
        <v>2692</v>
      </c>
      <c r="E224" s="41" t="s">
        <v>3162</v>
      </c>
      <c r="G224" s="56">
        <v>39699</v>
      </c>
    </row>
    <row r="225" spans="1:7" x14ac:dyDescent="0.2">
      <c r="A225" s="39">
        <v>39479</v>
      </c>
      <c r="B225" s="40" t="s">
        <v>657</v>
      </c>
      <c r="C225" s="41" t="s">
        <v>1842</v>
      </c>
      <c r="D225" s="43">
        <v>2948</v>
      </c>
      <c r="E225" s="41" t="s">
        <v>3162</v>
      </c>
      <c r="G225" s="56">
        <v>39856</v>
      </c>
    </row>
    <row r="226" spans="1:7" x14ac:dyDescent="0.2">
      <c r="A226" s="39">
        <v>39525</v>
      </c>
      <c r="B226" s="40" t="s">
        <v>1475</v>
      </c>
      <c r="C226" s="41" t="s">
        <v>1841</v>
      </c>
      <c r="D226" s="43">
        <v>2980</v>
      </c>
      <c r="E226" s="41" t="s">
        <v>3479</v>
      </c>
    </row>
    <row r="227" spans="1:7" x14ac:dyDescent="0.2">
      <c r="A227" s="39">
        <v>39527</v>
      </c>
      <c r="B227" s="40" t="s">
        <v>1820</v>
      </c>
      <c r="C227" s="41" t="s">
        <v>3963</v>
      </c>
      <c r="D227" s="43">
        <v>2982</v>
      </c>
      <c r="E227" s="41" t="s">
        <v>3478</v>
      </c>
      <c r="G227" s="56">
        <v>39529</v>
      </c>
    </row>
    <row r="228" spans="1:7" x14ac:dyDescent="0.2">
      <c r="A228" s="39">
        <v>39534</v>
      </c>
      <c r="B228" s="40" t="s">
        <v>3351</v>
      </c>
      <c r="C228" s="41" t="s">
        <v>1841</v>
      </c>
      <c r="D228" s="43">
        <v>2984</v>
      </c>
      <c r="E228" s="41" t="s">
        <v>3175</v>
      </c>
      <c r="G228" s="56">
        <v>39664</v>
      </c>
    </row>
    <row r="229" spans="1:7" x14ac:dyDescent="0.2">
      <c r="A229" s="39">
        <v>39624</v>
      </c>
      <c r="B229" s="40" t="s">
        <v>2263</v>
      </c>
      <c r="C229" s="41" t="s">
        <v>3963</v>
      </c>
      <c r="D229" s="43">
        <v>3054</v>
      </c>
      <c r="E229" s="41" t="s">
        <v>3486</v>
      </c>
      <c r="G229" s="56">
        <v>39741</v>
      </c>
    </row>
    <row r="230" spans="1:7" x14ac:dyDescent="0.2">
      <c r="A230" s="39">
        <v>39625</v>
      </c>
      <c r="B230" s="40" t="s">
        <v>1715</v>
      </c>
      <c r="C230" s="41" t="s">
        <v>2050</v>
      </c>
      <c r="D230" s="43">
        <v>3060</v>
      </c>
      <c r="E230" s="41" t="s">
        <v>3175</v>
      </c>
      <c r="G230" s="56">
        <v>39664</v>
      </c>
    </row>
    <row r="231" spans="1:7" x14ac:dyDescent="0.2">
      <c r="A231" s="39">
        <v>39630</v>
      </c>
      <c r="B231" s="40" t="s">
        <v>1204</v>
      </c>
      <c r="C231" s="41" t="s">
        <v>3963</v>
      </c>
      <c r="D231" s="43">
        <v>3067</v>
      </c>
      <c r="E231" s="41" t="s">
        <v>3478</v>
      </c>
      <c r="G231" s="56">
        <v>39638</v>
      </c>
    </row>
    <row r="232" spans="1:7" x14ac:dyDescent="0.2">
      <c r="A232" s="39">
        <v>39625</v>
      </c>
      <c r="B232" s="40" t="s">
        <v>3006</v>
      </c>
      <c r="C232" s="41" t="s">
        <v>3963</v>
      </c>
      <c r="D232" s="43">
        <v>3068</v>
      </c>
      <c r="E232" s="41" t="s">
        <v>3007</v>
      </c>
      <c r="G232" s="56">
        <v>40010</v>
      </c>
    </row>
    <row r="233" spans="1:7" ht="24" x14ac:dyDescent="0.2">
      <c r="A233" s="39">
        <v>39548</v>
      </c>
      <c r="B233" s="40" t="s">
        <v>2238</v>
      </c>
      <c r="C233" s="41" t="s">
        <v>2051</v>
      </c>
      <c r="D233" s="43">
        <v>3090</v>
      </c>
      <c r="E233" s="41" t="s">
        <v>3175</v>
      </c>
      <c r="G233" s="56">
        <v>39581</v>
      </c>
    </row>
    <row r="234" spans="1:7" x14ac:dyDescent="0.2">
      <c r="A234" s="39">
        <v>39588</v>
      </c>
      <c r="B234" s="40" t="s">
        <v>3651</v>
      </c>
      <c r="C234" s="41" t="s">
        <v>3963</v>
      </c>
      <c r="D234" s="43">
        <v>3097</v>
      </c>
      <c r="E234" s="41" t="s">
        <v>2789</v>
      </c>
      <c r="G234" s="56">
        <v>39624</v>
      </c>
    </row>
    <row r="235" spans="1:7" x14ac:dyDescent="0.2">
      <c r="A235" s="39">
        <v>39587</v>
      </c>
      <c r="B235" s="40" t="s">
        <v>741</v>
      </c>
      <c r="C235" s="41" t="s">
        <v>3894</v>
      </c>
      <c r="D235" s="43">
        <v>3107</v>
      </c>
      <c r="E235" s="41" t="s">
        <v>2789</v>
      </c>
      <c r="G235" s="56">
        <v>39757</v>
      </c>
    </row>
    <row r="236" spans="1:7" x14ac:dyDescent="0.2">
      <c r="A236" s="39">
        <v>39587</v>
      </c>
      <c r="B236" s="40" t="s">
        <v>1763</v>
      </c>
      <c r="C236" s="41" t="s">
        <v>3963</v>
      </c>
      <c r="D236" s="43">
        <v>3110</v>
      </c>
      <c r="E236" s="41" t="s">
        <v>3479</v>
      </c>
      <c r="G236" s="56">
        <v>39769</v>
      </c>
    </row>
    <row r="237" spans="1:7" x14ac:dyDescent="0.2">
      <c r="A237" s="39">
        <v>39590</v>
      </c>
      <c r="B237" s="40" t="s">
        <v>3063</v>
      </c>
      <c r="C237" s="41" t="s">
        <v>3894</v>
      </c>
      <c r="D237" s="43">
        <v>3125</v>
      </c>
    </row>
    <row r="238" spans="1:7" x14ac:dyDescent="0.2">
      <c r="A238" s="39">
        <v>39611</v>
      </c>
      <c r="B238" s="40" t="s">
        <v>312</v>
      </c>
      <c r="C238" s="41" t="s">
        <v>4027</v>
      </c>
      <c r="D238" s="43">
        <v>3133</v>
      </c>
      <c r="E238" s="41" t="s">
        <v>3478</v>
      </c>
      <c r="G238" s="56">
        <v>39769</v>
      </c>
    </row>
    <row r="239" spans="1:7" x14ac:dyDescent="0.2">
      <c r="A239" s="39">
        <v>39623</v>
      </c>
      <c r="B239" s="40" t="s">
        <v>1642</v>
      </c>
      <c r="C239" s="41" t="s">
        <v>3963</v>
      </c>
      <c r="D239" s="43">
        <v>3178</v>
      </c>
      <c r="E239" s="41" t="s">
        <v>1643</v>
      </c>
      <c r="G239" s="56">
        <v>39778</v>
      </c>
    </row>
    <row r="240" spans="1:7" x14ac:dyDescent="0.2">
      <c r="A240" s="39">
        <v>39623</v>
      </c>
      <c r="B240" s="40" t="s">
        <v>3179</v>
      </c>
      <c r="C240" s="41" t="s">
        <v>1842</v>
      </c>
      <c r="D240" s="43">
        <v>3181</v>
      </c>
      <c r="E240" s="41" t="s">
        <v>342</v>
      </c>
      <c r="G240" s="56">
        <v>39987</v>
      </c>
    </row>
    <row r="241" spans="1:7" x14ac:dyDescent="0.2">
      <c r="A241" s="39">
        <v>39622</v>
      </c>
      <c r="B241" s="40" t="s">
        <v>3688</v>
      </c>
      <c r="C241" s="41" t="s">
        <v>3963</v>
      </c>
      <c r="D241" s="43">
        <v>3184</v>
      </c>
      <c r="E241" s="41" t="s">
        <v>3175</v>
      </c>
      <c r="G241" s="56">
        <v>39757</v>
      </c>
    </row>
    <row r="242" spans="1:7" x14ac:dyDescent="0.2">
      <c r="A242" s="39">
        <v>39622</v>
      </c>
      <c r="B242" s="40" t="s">
        <v>3493</v>
      </c>
      <c r="C242" s="41" t="s">
        <v>3894</v>
      </c>
      <c r="D242" s="43">
        <v>3187</v>
      </c>
      <c r="E242" s="41" t="s">
        <v>433</v>
      </c>
      <c r="G242" s="56">
        <v>39748</v>
      </c>
    </row>
    <row r="243" spans="1:7" x14ac:dyDescent="0.2">
      <c r="A243" s="39">
        <v>39658</v>
      </c>
      <c r="B243" s="40" t="s">
        <v>334</v>
      </c>
      <c r="C243" s="41" t="s">
        <v>3963</v>
      </c>
      <c r="D243" s="43">
        <v>3191</v>
      </c>
      <c r="E243" s="41" t="s">
        <v>3032</v>
      </c>
      <c r="G243" s="56">
        <v>39778</v>
      </c>
    </row>
    <row r="244" spans="1:7" x14ac:dyDescent="0.2">
      <c r="A244" s="39">
        <v>39597</v>
      </c>
      <c r="B244" s="40" t="s">
        <v>2039</v>
      </c>
      <c r="C244" s="41" t="s">
        <v>3963</v>
      </c>
      <c r="D244" s="43">
        <v>3192</v>
      </c>
      <c r="E244" s="41" t="s">
        <v>3175</v>
      </c>
      <c r="G244" s="56">
        <v>39769</v>
      </c>
    </row>
    <row r="245" spans="1:7" x14ac:dyDescent="0.2">
      <c r="A245" s="39">
        <v>39617</v>
      </c>
      <c r="B245" s="40" t="s">
        <v>110</v>
      </c>
      <c r="C245" s="41" t="s">
        <v>1841</v>
      </c>
      <c r="D245" s="43">
        <v>3202</v>
      </c>
      <c r="E245" s="41" t="s">
        <v>3483</v>
      </c>
      <c r="G245" s="56">
        <v>40010</v>
      </c>
    </row>
    <row r="246" spans="1:7" x14ac:dyDescent="0.2">
      <c r="A246" s="39">
        <v>39617</v>
      </c>
      <c r="B246" s="40" t="s">
        <v>1316</v>
      </c>
      <c r="C246" s="41" t="s">
        <v>3361</v>
      </c>
      <c r="D246" s="43">
        <v>3210</v>
      </c>
      <c r="E246" s="41" t="s">
        <v>3479</v>
      </c>
      <c r="G246" s="56">
        <v>39639</v>
      </c>
    </row>
    <row r="247" spans="1:7" x14ac:dyDescent="0.2">
      <c r="A247" s="39">
        <v>39617</v>
      </c>
      <c r="B247" s="40" t="s">
        <v>1227</v>
      </c>
      <c r="C247" s="41" t="s">
        <v>2050</v>
      </c>
      <c r="D247" s="43">
        <v>3211</v>
      </c>
      <c r="E247" s="41" t="s">
        <v>1643</v>
      </c>
      <c r="G247" s="56">
        <v>39994</v>
      </c>
    </row>
    <row r="248" spans="1:7" x14ac:dyDescent="0.2">
      <c r="A248" s="39">
        <v>39630</v>
      </c>
      <c r="B248" s="40" t="s">
        <v>59</v>
      </c>
      <c r="C248" s="41" t="s">
        <v>3963</v>
      </c>
      <c r="D248" s="43">
        <v>3217</v>
      </c>
      <c r="E248" s="41" t="s">
        <v>3478</v>
      </c>
      <c r="G248" s="56">
        <v>39638</v>
      </c>
    </row>
    <row r="249" spans="1:7" x14ac:dyDescent="0.2">
      <c r="A249" s="39">
        <v>39542</v>
      </c>
      <c r="B249" s="40" t="s">
        <v>3990</v>
      </c>
      <c r="C249" s="41" t="s">
        <v>3963</v>
      </c>
      <c r="D249" s="43">
        <v>3227</v>
      </c>
      <c r="E249" s="41" t="s">
        <v>3478</v>
      </c>
      <c r="G249" s="56">
        <v>39561</v>
      </c>
    </row>
    <row r="250" spans="1:7" x14ac:dyDescent="0.2">
      <c r="A250" s="39">
        <v>39622</v>
      </c>
      <c r="B250" s="40" t="s">
        <v>24</v>
      </c>
      <c r="C250" s="41" t="s">
        <v>2050</v>
      </c>
      <c r="D250" s="43">
        <v>3239</v>
      </c>
      <c r="E250" s="41" t="s">
        <v>1643</v>
      </c>
      <c r="G250" s="56">
        <v>39994</v>
      </c>
    </row>
    <row r="251" spans="1:7" x14ac:dyDescent="0.2">
      <c r="A251" s="39">
        <v>39542</v>
      </c>
      <c r="B251" s="40" t="s">
        <v>1336</v>
      </c>
      <c r="C251" s="41" t="s">
        <v>3963</v>
      </c>
      <c r="D251" s="43">
        <v>3240</v>
      </c>
      <c r="E251" s="41" t="s">
        <v>3482</v>
      </c>
      <c r="G251" s="56">
        <v>39582</v>
      </c>
    </row>
    <row r="252" spans="1:7" x14ac:dyDescent="0.2">
      <c r="A252" s="39">
        <v>39546</v>
      </c>
      <c r="B252" s="40" t="s">
        <v>1729</v>
      </c>
      <c r="C252" s="41" t="s">
        <v>3963</v>
      </c>
      <c r="D252" s="43">
        <v>3245</v>
      </c>
      <c r="E252" s="41" t="s">
        <v>3175</v>
      </c>
      <c r="G252" s="56">
        <v>39561</v>
      </c>
    </row>
    <row r="253" spans="1:7" x14ac:dyDescent="0.2">
      <c r="A253" s="39">
        <v>39546</v>
      </c>
      <c r="B253" s="40" t="s">
        <v>765</v>
      </c>
      <c r="C253" s="41" t="s">
        <v>3963</v>
      </c>
      <c r="D253" s="43">
        <v>3246</v>
      </c>
      <c r="E253" s="41" t="s">
        <v>3175</v>
      </c>
      <c r="G253" s="56">
        <v>39555</v>
      </c>
    </row>
    <row r="254" spans="1:7" x14ac:dyDescent="0.2">
      <c r="A254" s="39">
        <v>39546</v>
      </c>
      <c r="B254" s="40" t="s">
        <v>2605</v>
      </c>
      <c r="C254" s="41" t="s">
        <v>3963</v>
      </c>
      <c r="D254" s="43">
        <v>3247</v>
      </c>
      <c r="E254" s="41" t="s">
        <v>2504</v>
      </c>
      <c r="G254" s="56">
        <v>39555</v>
      </c>
    </row>
    <row r="255" spans="1:7" x14ac:dyDescent="0.2">
      <c r="A255" s="39">
        <v>39545</v>
      </c>
      <c r="B255" s="40" t="s">
        <v>136</v>
      </c>
      <c r="D255" s="43">
        <v>3254</v>
      </c>
      <c r="E255" s="41" t="s">
        <v>524</v>
      </c>
      <c r="G255" s="56">
        <v>39561</v>
      </c>
    </row>
    <row r="256" spans="1:7" x14ac:dyDescent="0.2">
      <c r="A256" s="39">
        <v>39622</v>
      </c>
      <c r="B256" s="40" t="s">
        <v>1761</v>
      </c>
      <c r="C256" s="41" t="s">
        <v>2050</v>
      </c>
      <c r="D256" s="43">
        <v>3256</v>
      </c>
      <c r="G256" s="56">
        <v>39764</v>
      </c>
    </row>
    <row r="257" spans="1:7" x14ac:dyDescent="0.2">
      <c r="A257" s="39">
        <v>39545</v>
      </c>
      <c r="B257" s="40" t="s">
        <v>157</v>
      </c>
      <c r="C257" s="41" t="s">
        <v>3963</v>
      </c>
      <c r="D257" s="43">
        <v>3259</v>
      </c>
      <c r="E257" s="41" t="s">
        <v>3837</v>
      </c>
      <c r="G257" s="56">
        <v>39583</v>
      </c>
    </row>
    <row r="258" spans="1:7" x14ac:dyDescent="0.2">
      <c r="A258" s="39">
        <v>39546</v>
      </c>
      <c r="B258" s="40" t="s">
        <v>3124</v>
      </c>
      <c r="C258" s="41" t="s">
        <v>1841</v>
      </c>
      <c r="D258" s="43">
        <v>3262</v>
      </c>
      <c r="E258" s="41" t="s">
        <v>3483</v>
      </c>
      <c r="G258" s="56">
        <v>39764</v>
      </c>
    </row>
    <row r="259" spans="1:7" x14ac:dyDescent="0.2">
      <c r="A259" s="39">
        <v>39545</v>
      </c>
      <c r="B259" s="40" t="s">
        <v>467</v>
      </c>
      <c r="C259" s="41" t="s">
        <v>3963</v>
      </c>
      <c r="D259" s="43">
        <v>3263</v>
      </c>
      <c r="E259" s="41" t="s">
        <v>3478</v>
      </c>
      <c r="G259" s="56">
        <v>39769</v>
      </c>
    </row>
    <row r="260" spans="1:7" x14ac:dyDescent="0.2">
      <c r="A260" s="39">
        <v>39555</v>
      </c>
      <c r="B260" s="40" t="s">
        <v>1357</v>
      </c>
      <c r="C260" s="41" t="s">
        <v>2180</v>
      </c>
      <c r="D260" s="43">
        <v>3265</v>
      </c>
      <c r="E260" s="41" t="s">
        <v>3482</v>
      </c>
      <c r="G260" s="56">
        <v>39828</v>
      </c>
    </row>
    <row r="261" spans="1:7" x14ac:dyDescent="0.2">
      <c r="A261" s="39">
        <v>39545</v>
      </c>
      <c r="B261" s="40" t="s">
        <v>337</v>
      </c>
      <c r="C261" s="41" t="s">
        <v>2050</v>
      </c>
      <c r="D261" s="43">
        <v>3266</v>
      </c>
      <c r="E261" s="41" t="s">
        <v>3162</v>
      </c>
      <c r="G261" s="56">
        <v>39699</v>
      </c>
    </row>
    <row r="262" spans="1:7" x14ac:dyDescent="0.2">
      <c r="A262" s="39">
        <v>39545</v>
      </c>
      <c r="B262" s="40" t="s">
        <v>497</v>
      </c>
      <c r="C262" s="41" t="s">
        <v>1842</v>
      </c>
      <c r="D262" s="43">
        <v>3267</v>
      </c>
      <c r="E262" s="41" t="s">
        <v>3483</v>
      </c>
      <c r="G262" s="56">
        <v>39555</v>
      </c>
    </row>
    <row r="263" spans="1:7" x14ac:dyDescent="0.2">
      <c r="A263" s="39">
        <v>39555</v>
      </c>
      <c r="B263" s="40" t="s">
        <v>3223</v>
      </c>
      <c r="C263" s="41" t="s">
        <v>2180</v>
      </c>
      <c r="D263" s="43">
        <v>3268</v>
      </c>
      <c r="E263" s="41" t="s">
        <v>3482</v>
      </c>
      <c r="G263" s="56">
        <v>39699</v>
      </c>
    </row>
    <row r="264" spans="1:7" x14ac:dyDescent="0.2">
      <c r="A264" s="39">
        <v>39545</v>
      </c>
      <c r="B264" s="40" t="s">
        <v>2305</v>
      </c>
      <c r="C264" s="41" t="s">
        <v>3963</v>
      </c>
      <c r="D264" s="43">
        <v>3269</v>
      </c>
      <c r="E264" s="41" t="s">
        <v>3163</v>
      </c>
      <c r="G264" s="56">
        <v>39639</v>
      </c>
    </row>
    <row r="265" spans="1:7" x14ac:dyDescent="0.2">
      <c r="A265" s="39">
        <v>39555</v>
      </c>
      <c r="B265" s="40" t="s">
        <v>3071</v>
      </c>
      <c r="C265" s="41" t="s">
        <v>3963</v>
      </c>
      <c r="D265" s="43">
        <v>3271</v>
      </c>
      <c r="E265" s="41" t="s">
        <v>3479</v>
      </c>
      <c r="G265" s="56">
        <v>39639</v>
      </c>
    </row>
    <row r="266" spans="1:7" x14ac:dyDescent="0.2">
      <c r="A266" s="39">
        <v>39545</v>
      </c>
      <c r="B266" s="40" t="s">
        <v>2267</v>
      </c>
      <c r="C266" s="41" t="s">
        <v>2050</v>
      </c>
      <c r="D266" s="43">
        <v>3272</v>
      </c>
      <c r="E266" s="41" t="s">
        <v>3162</v>
      </c>
      <c r="G266" s="56">
        <v>39699</v>
      </c>
    </row>
    <row r="267" spans="1:7" x14ac:dyDescent="0.2">
      <c r="A267" s="39">
        <v>39556</v>
      </c>
      <c r="B267" s="40" t="s">
        <v>2130</v>
      </c>
      <c r="C267" s="41" t="s">
        <v>3963</v>
      </c>
      <c r="D267" s="43">
        <v>3274</v>
      </c>
      <c r="E267" s="41" t="s">
        <v>3478</v>
      </c>
      <c r="G267" s="56">
        <v>39566</v>
      </c>
    </row>
    <row r="268" spans="1:7" x14ac:dyDescent="0.2">
      <c r="A268" s="39">
        <v>39574</v>
      </c>
      <c r="B268" s="40" t="s">
        <v>2179</v>
      </c>
      <c r="C268" s="41" t="s">
        <v>2180</v>
      </c>
      <c r="D268" s="43">
        <v>3275</v>
      </c>
      <c r="E268" s="41" t="s">
        <v>2187</v>
      </c>
      <c r="G268" s="56">
        <v>39778</v>
      </c>
    </row>
    <row r="269" spans="1:7" x14ac:dyDescent="0.2">
      <c r="A269" s="39">
        <v>39560</v>
      </c>
      <c r="B269" s="40" t="s">
        <v>1674</v>
      </c>
      <c r="C269" s="41" t="s">
        <v>3963</v>
      </c>
      <c r="D269" s="43">
        <v>3280</v>
      </c>
      <c r="E269" s="41" t="s">
        <v>3480</v>
      </c>
      <c r="G269" s="56">
        <v>39581</v>
      </c>
    </row>
    <row r="270" spans="1:7" x14ac:dyDescent="0.2">
      <c r="A270" s="39">
        <v>39574</v>
      </c>
      <c r="B270" s="40" t="s">
        <v>3649</v>
      </c>
      <c r="C270" s="41" t="s">
        <v>2051</v>
      </c>
      <c r="D270" s="43">
        <v>3281</v>
      </c>
      <c r="E270" s="41" t="s">
        <v>2789</v>
      </c>
      <c r="G270" s="56">
        <v>39597</v>
      </c>
    </row>
    <row r="271" spans="1:7" x14ac:dyDescent="0.2">
      <c r="A271" s="39">
        <v>39563</v>
      </c>
      <c r="B271" s="40" t="s">
        <v>1207</v>
      </c>
      <c r="C271" s="41" t="s">
        <v>3963</v>
      </c>
      <c r="D271" s="43">
        <v>3283</v>
      </c>
      <c r="E271" s="41" t="s">
        <v>3478</v>
      </c>
      <c r="G271" s="56">
        <v>39582</v>
      </c>
    </row>
    <row r="272" spans="1:7" x14ac:dyDescent="0.2">
      <c r="A272" s="39">
        <v>39563</v>
      </c>
      <c r="B272" s="40" t="s">
        <v>1675</v>
      </c>
      <c r="C272" s="41" t="s">
        <v>3963</v>
      </c>
      <c r="D272" s="43">
        <v>3286</v>
      </c>
      <c r="E272" s="41" t="s">
        <v>3162</v>
      </c>
      <c r="G272" s="56">
        <v>39639</v>
      </c>
    </row>
    <row r="273" spans="1:7" x14ac:dyDescent="0.2">
      <c r="A273" s="39">
        <v>39567</v>
      </c>
      <c r="B273" s="40" t="s">
        <v>3116</v>
      </c>
      <c r="C273" s="41" t="s">
        <v>3963</v>
      </c>
      <c r="D273" s="43">
        <v>3289</v>
      </c>
      <c r="E273" s="41" t="s">
        <v>3478</v>
      </c>
      <c r="G273" s="56">
        <v>39573</v>
      </c>
    </row>
    <row r="274" spans="1:7" x14ac:dyDescent="0.2">
      <c r="A274" s="39">
        <v>39567</v>
      </c>
      <c r="B274" s="40" t="s">
        <v>3795</v>
      </c>
      <c r="C274" s="41" t="s">
        <v>2050</v>
      </c>
      <c r="D274" s="43">
        <v>3292</v>
      </c>
      <c r="E274" s="41" t="s">
        <v>3175</v>
      </c>
      <c r="G274" s="56">
        <v>39581</v>
      </c>
    </row>
    <row r="275" spans="1:7" x14ac:dyDescent="0.2">
      <c r="A275" s="39">
        <v>39568</v>
      </c>
      <c r="B275" s="40" t="s">
        <v>801</v>
      </c>
      <c r="C275" s="41" t="s">
        <v>1841</v>
      </c>
      <c r="D275" s="43">
        <v>3295</v>
      </c>
      <c r="E275" s="41" t="s">
        <v>3478</v>
      </c>
      <c r="G275" s="56">
        <v>39581</v>
      </c>
    </row>
    <row r="276" spans="1:7" x14ac:dyDescent="0.2">
      <c r="A276" s="39">
        <v>39574</v>
      </c>
      <c r="B276" s="40" t="s">
        <v>3156</v>
      </c>
      <c r="C276" s="41" t="s">
        <v>3963</v>
      </c>
      <c r="D276" s="43">
        <v>3298</v>
      </c>
      <c r="E276" s="41" t="s">
        <v>3480</v>
      </c>
      <c r="G276" s="56">
        <v>39604</v>
      </c>
    </row>
    <row r="277" spans="1:7" x14ac:dyDescent="0.2">
      <c r="A277" s="39">
        <v>39639</v>
      </c>
      <c r="B277" s="40" t="s">
        <v>736</v>
      </c>
      <c r="C277" s="41" t="s">
        <v>1841</v>
      </c>
      <c r="D277" s="43">
        <v>4030</v>
      </c>
      <c r="E277" s="41" t="s">
        <v>3162</v>
      </c>
      <c r="G277" s="56">
        <v>39778</v>
      </c>
    </row>
    <row r="278" spans="1:7" x14ac:dyDescent="0.2">
      <c r="A278" s="39">
        <v>39639</v>
      </c>
      <c r="B278" s="40" t="s">
        <v>3294</v>
      </c>
      <c r="C278" s="41" t="s">
        <v>3963</v>
      </c>
      <c r="D278" s="43">
        <v>4033</v>
      </c>
      <c r="E278" s="41" t="s">
        <v>3479</v>
      </c>
      <c r="G278" s="56">
        <v>39741</v>
      </c>
    </row>
    <row r="279" spans="1:7" x14ac:dyDescent="0.2">
      <c r="A279" s="39">
        <v>39639</v>
      </c>
      <c r="B279" s="40" t="s">
        <v>1765</v>
      </c>
      <c r="C279" s="41" t="s">
        <v>1766</v>
      </c>
      <c r="D279" s="43">
        <v>4034</v>
      </c>
      <c r="G279" s="56">
        <v>39769</v>
      </c>
    </row>
    <row r="280" spans="1:7" x14ac:dyDescent="0.2">
      <c r="A280" s="39">
        <v>39644</v>
      </c>
      <c r="B280" s="40" t="s">
        <v>1049</v>
      </c>
      <c r="C280" s="41" t="s">
        <v>1842</v>
      </c>
      <c r="D280" s="43">
        <v>4035</v>
      </c>
      <c r="E280" s="41" t="s">
        <v>3162</v>
      </c>
      <c r="G280" s="56">
        <v>39841</v>
      </c>
    </row>
    <row r="281" spans="1:7" x14ac:dyDescent="0.2">
      <c r="A281" s="39">
        <v>39650</v>
      </c>
      <c r="B281" s="40" t="s">
        <v>1567</v>
      </c>
      <c r="C281" s="41" t="s">
        <v>1766</v>
      </c>
      <c r="D281" s="43">
        <v>4042</v>
      </c>
      <c r="G281" s="56">
        <v>39769</v>
      </c>
    </row>
    <row r="282" spans="1:7" x14ac:dyDescent="0.2">
      <c r="A282" s="39">
        <v>39657</v>
      </c>
      <c r="B282" s="40" t="s">
        <v>3293</v>
      </c>
      <c r="C282" s="41" t="s">
        <v>3963</v>
      </c>
      <c r="D282" s="43">
        <v>4048</v>
      </c>
      <c r="E282" s="41" t="s">
        <v>3162</v>
      </c>
      <c r="G282" s="56">
        <v>39877</v>
      </c>
    </row>
    <row r="283" spans="1:7" x14ac:dyDescent="0.2">
      <c r="A283" s="39">
        <v>39637</v>
      </c>
      <c r="B283" s="40" t="s">
        <v>3564</v>
      </c>
      <c r="C283" s="41" t="s">
        <v>3963</v>
      </c>
      <c r="D283" s="43">
        <v>4049</v>
      </c>
      <c r="E283" s="41" t="s">
        <v>758</v>
      </c>
      <c r="G283" s="56">
        <v>39764</v>
      </c>
    </row>
    <row r="284" spans="1:7" x14ac:dyDescent="0.2">
      <c r="A284" s="39">
        <v>39664</v>
      </c>
      <c r="B284" s="40" t="s">
        <v>960</v>
      </c>
      <c r="C284" s="41" t="s">
        <v>3963</v>
      </c>
      <c r="D284" s="43">
        <v>4054</v>
      </c>
      <c r="E284" s="41" t="s">
        <v>3162</v>
      </c>
      <c r="G284" s="56">
        <v>39741</v>
      </c>
    </row>
    <row r="285" spans="1:7" x14ac:dyDescent="0.2">
      <c r="A285" s="39">
        <v>39686</v>
      </c>
      <c r="B285" s="40" t="s">
        <v>1050</v>
      </c>
      <c r="C285" s="41" t="s">
        <v>1051</v>
      </c>
      <c r="D285" s="43">
        <v>4057</v>
      </c>
      <c r="E285" s="41" t="s">
        <v>3032</v>
      </c>
      <c r="G285" s="56">
        <v>39741</v>
      </c>
    </row>
    <row r="286" spans="1:7" x14ac:dyDescent="0.2">
      <c r="A286" s="39">
        <v>39663</v>
      </c>
      <c r="B286" s="40" t="s">
        <v>188</v>
      </c>
      <c r="C286" s="41" t="s">
        <v>3963</v>
      </c>
      <c r="D286" s="43">
        <v>4065</v>
      </c>
      <c r="E286" s="41" t="s">
        <v>1643</v>
      </c>
      <c r="G286" s="56">
        <v>39877</v>
      </c>
    </row>
    <row r="287" spans="1:7" x14ac:dyDescent="0.2">
      <c r="A287" s="39">
        <v>39706</v>
      </c>
      <c r="B287" s="40" t="s">
        <v>2040</v>
      </c>
      <c r="C287" s="41" t="s">
        <v>3963</v>
      </c>
      <c r="D287" s="43">
        <v>4068</v>
      </c>
      <c r="E287" s="41" t="s">
        <v>3478</v>
      </c>
      <c r="G287" s="56">
        <v>39741</v>
      </c>
    </row>
    <row r="288" spans="1:7" x14ac:dyDescent="0.2">
      <c r="A288" s="39">
        <v>39706</v>
      </c>
      <c r="B288" s="40" t="s">
        <v>2041</v>
      </c>
      <c r="C288" s="41" t="s">
        <v>3963</v>
      </c>
      <c r="D288" s="43">
        <v>4069</v>
      </c>
      <c r="E288" s="41" t="s">
        <v>3478</v>
      </c>
      <c r="G288" s="56">
        <v>39741</v>
      </c>
    </row>
    <row r="289" spans="1:7" x14ac:dyDescent="0.2">
      <c r="A289" s="39">
        <v>39713</v>
      </c>
      <c r="B289" s="40" t="s">
        <v>3173</v>
      </c>
      <c r="C289" s="41" t="s">
        <v>3963</v>
      </c>
      <c r="D289" s="43">
        <v>4070</v>
      </c>
      <c r="E289" s="41" t="s">
        <v>3478</v>
      </c>
      <c r="G289" s="56">
        <v>39757</v>
      </c>
    </row>
    <row r="290" spans="1:7" x14ac:dyDescent="0.2">
      <c r="A290" s="39">
        <v>39714</v>
      </c>
      <c r="B290" s="40" t="s">
        <v>822</v>
      </c>
      <c r="C290" s="41" t="s">
        <v>3894</v>
      </c>
      <c r="D290" s="43">
        <v>4072</v>
      </c>
      <c r="E290" s="41" t="s">
        <v>823</v>
      </c>
      <c r="G290" s="56">
        <v>39778</v>
      </c>
    </row>
    <row r="291" spans="1:7" x14ac:dyDescent="0.2">
      <c r="A291" s="39">
        <v>39727</v>
      </c>
      <c r="B291" s="40" t="s">
        <v>1865</v>
      </c>
      <c r="C291" s="41" t="s">
        <v>3894</v>
      </c>
      <c r="D291" s="43">
        <v>4073</v>
      </c>
      <c r="E291" s="41" t="s">
        <v>3478</v>
      </c>
      <c r="G291" s="56">
        <v>39748</v>
      </c>
    </row>
    <row r="292" spans="1:7" x14ac:dyDescent="0.2">
      <c r="A292" s="39">
        <v>39766</v>
      </c>
      <c r="B292" s="40" t="s">
        <v>1280</v>
      </c>
      <c r="C292" s="41" t="s">
        <v>3963</v>
      </c>
      <c r="D292" s="43">
        <v>4083</v>
      </c>
      <c r="E292" s="41" t="s">
        <v>3482</v>
      </c>
      <c r="G292" s="56">
        <v>39994</v>
      </c>
    </row>
    <row r="293" spans="1:7" x14ac:dyDescent="0.2">
      <c r="A293" s="39">
        <v>39766</v>
      </c>
      <c r="B293" s="40" t="s">
        <v>2532</v>
      </c>
      <c r="C293" s="41" t="s">
        <v>1841</v>
      </c>
      <c r="D293" s="43">
        <v>4085</v>
      </c>
      <c r="G293" s="56">
        <v>39778</v>
      </c>
    </row>
    <row r="294" spans="1:7" x14ac:dyDescent="0.2">
      <c r="A294" s="39">
        <v>39741</v>
      </c>
      <c r="B294" s="40" t="s">
        <v>882</v>
      </c>
      <c r="C294" s="41" t="s">
        <v>3963</v>
      </c>
      <c r="D294" s="43">
        <v>4086</v>
      </c>
      <c r="G294" s="56">
        <v>39764</v>
      </c>
    </row>
    <row r="295" spans="1:7" x14ac:dyDescent="0.2">
      <c r="A295" s="39">
        <v>39741</v>
      </c>
      <c r="B295" s="40" t="s">
        <v>775</v>
      </c>
      <c r="C295" s="41" t="s">
        <v>3963</v>
      </c>
      <c r="D295" s="43">
        <v>4087</v>
      </c>
      <c r="G295" s="56">
        <v>39757</v>
      </c>
    </row>
    <row r="296" spans="1:7" x14ac:dyDescent="0.2">
      <c r="A296" s="39">
        <v>39742</v>
      </c>
      <c r="B296" s="40" t="s">
        <v>2781</v>
      </c>
      <c r="C296" s="41" t="s">
        <v>3963</v>
      </c>
      <c r="D296" s="43">
        <v>4088</v>
      </c>
      <c r="E296" s="41" t="s">
        <v>3478</v>
      </c>
      <c r="G296" s="56">
        <v>39757</v>
      </c>
    </row>
    <row r="297" spans="1:7" x14ac:dyDescent="0.2">
      <c r="A297" s="39">
        <v>39787</v>
      </c>
      <c r="B297" s="40" t="s">
        <v>2173</v>
      </c>
      <c r="C297" s="41" t="s">
        <v>2050</v>
      </c>
      <c r="D297" s="43">
        <v>4214</v>
      </c>
      <c r="E297" s="41" t="s">
        <v>3479</v>
      </c>
      <c r="G297" s="56">
        <v>39881</v>
      </c>
    </row>
    <row r="298" spans="1:7" x14ac:dyDescent="0.2">
      <c r="A298" s="39">
        <v>39768</v>
      </c>
      <c r="B298" s="40" t="s">
        <v>667</v>
      </c>
      <c r="C298" s="41" t="s">
        <v>1841</v>
      </c>
      <c r="D298" s="43">
        <v>4215</v>
      </c>
      <c r="E298" s="41" t="s">
        <v>3162</v>
      </c>
      <c r="G298" s="56">
        <v>39806</v>
      </c>
    </row>
    <row r="299" spans="1:7" x14ac:dyDescent="0.2">
      <c r="A299" s="39">
        <v>39768</v>
      </c>
      <c r="B299" s="40" t="s">
        <v>1745</v>
      </c>
      <c r="C299" s="41" t="s">
        <v>2050</v>
      </c>
      <c r="D299" s="43">
        <v>4216</v>
      </c>
      <c r="E299" s="41" t="s">
        <v>3162</v>
      </c>
      <c r="G299" s="56">
        <v>40717</v>
      </c>
    </row>
    <row r="300" spans="1:7" x14ac:dyDescent="0.2">
      <c r="A300" s="39">
        <v>39798</v>
      </c>
      <c r="B300" s="40" t="s">
        <v>3219</v>
      </c>
      <c r="C300" s="41" t="s">
        <v>2050</v>
      </c>
      <c r="D300" s="43">
        <v>4220</v>
      </c>
      <c r="E300" s="41" t="s">
        <v>3175</v>
      </c>
      <c r="G300" s="56">
        <v>39919</v>
      </c>
    </row>
    <row r="301" spans="1:7" x14ac:dyDescent="0.2">
      <c r="A301" s="39">
        <v>39768</v>
      </c>
      <c r="B301" s="40" t="s">
        <v>2794</v>
      </c>
      <c r="C301" s="41" t="s">
        <v>3963</v>
      </c>
      <c r="D301" s="43">
        <v>4221</v>
      </c>
      <c r="E301" s="41" t="s">
        <v>3480</v>
      </c>
      <c r="G301" s="56">
        <v>39818</v>
      </c>
    </row>
    <row r="302" spans="1:7" x14ac:dyDescent="0.2">
      <c r="A302" s="39">
        <v>39768</v>
      </c>
      <c r="B302" s="40" t="s">
        <v>1232</v>
      </c>
      <c r="C302" s="41" t="s">
        <v>2050</v>
      </c>
      <c r="D302" s="43">
        <v>4223</v>
      </c>
      <c r="E302" s="41" t="s">
        <v>3162</v>
      </c>
      <c r="G302" s="56">
        <v>40717</v>
      </c>
    </row>
    <row r="303" spans="1:7" x14ac:dyDescent="0.2">
      <c r="A303" s="39">
        <v>39768</v>
      </c>
      <c r="B303" s="40" t="s">
        <v>1744</v>
      </c>
      <c r="C303" s="41" t="s">
        <v>3894</v>
      </c>
      <c r="D303" s="43">
        <v>4224</v>
      </c>
      <c r="E303" s="41" t="s">
        <v>3486</v>
      </c>
      <c r="G303" s="56">
        <v>40182</v>
      </c>
    </row>
    <row r="304" spans="1:7" x14ac:dyDescent="0.2">
      <c r="A304" s="39">
        <v>39765</v>
      </c>
      <c r="B304" s="40" t="s">
        <v>1350</v>
      </c>
      <c r="C304" s="41" t="s">
        <v>1351</v>
      </c>
      <c r="D304" s="43">
        <v>4236</v>
      </c>
      <c r="E304" s="41" t="s">
        <v>758</v>
      </c>
      <c r="G304" s="56">
        <v>39778</v>
      </c>
    </row>
    <row r="305" spans="1:7" x14ac:dyDescent="0.2">
      <c r="A305" s="39">
        <v>39777</v>
      </c>
      <c r="B305" s="40" t="s">
        <v>1721</v>
      </c>
      <c r="C305" s="41" t="s">
        <v>3894</v>
      </c>
      <c r="D305" s="43">
        <v>4240</v>
      </c>
      <c r="E305" s="41" t="s">
        <v>3478</v>
      </c>
      <c r="G305" s="56">
        <v>39792</v>
      </c>
    </row>
    <row r="306" spans="1:7" x14ac:dyDescent="0.2">
      <c r="A306" s="39">
        <v>39771</v>
      </c>
      <c r="B306" s="40" t="s">
        <v>1829</v>
      </c>
      <c r="C306" s="41" t="s">
        <v>1841</v>
      </c>
      <c r="D306" s="43">
        <v>4241</v>
      </c>
      <c r="E306" s="41" t="s">
        <v>3482</v>
      </c>
      <c r="G306" s="56">
        <v>39818</v>
      </c>
    </row>
    <row r="307" spans="1:7" x14ac:dyDescent="0.2">
      <c r="A307" s="39">
        <v>39770</v>
      </c>
      <c r="B307" s="40" t="s">
        <v>612</v>
      </c>
      <c r="C307" s="41" t="s">
        <v>2050</v>
      </c>
      <c r="D307" s="43">
        <v>4244</v>
      </c>
      <c r="E307" s="41" t="s">
        <v>3482</v>
      </c>
      <c r="G307" s="56">
        <v>39818</v>
      </c>
    </row>
    <row r="308" spans="1:7" x14ac:dyDescent="0.2">
      <c r="A308" s="39">
        <v>39769</v>
      </c>
      <c r="B308" s="40" t="s">
        <v>614</v>
      </c>
      <c r="C308" s="41" t="s">
        <v>1841</v>
      </c>
      <c r="D308" s="43">
        <v>4245</v>
      </c>
      <c r="E308" s="41" t="s">
        <v>3483</v>
      </c>
      <c r="G308" s="56">
        <v>39828</v>
      </c>
    </row>
    <row r="309" spans="1:7" x14ac:dyDescent="0.2">
      <c r="A309" s="39">
        <v>39778</v>
      </c>
      <c r="B309" s="40" t="s">
        <v>2131</v>
      </c>
      <c r="C309" s="41" t="s">
        <v>1841</v>
      </c>
      <c r="D309" s="43">
        <v>4246</v>
      </c>
      <c r="E309" s="41" t="s">
        <v>3478</v>
      </c>
      <c r="G309" s="56">
        <v>39792</v>
      </c>
    </row>
    <row r="310" spans="1:7" x14ac:dyDescent="0.2">
      <c r="A310" s="39">
        <v>39771</v>
      </c>
      <c r="B310" s="40" t="s">
        <v>2880</v>
      </c>
      <c r="C310" s="41" t="s">
        <v>1841</v>
      </c>
      <c r="D310" s="43">
        <v>4249</v>
      </c>
      <c r="E310" s="41" t="s">
        <v>3162</v>
      </c>
      <c r="G310" s="56">
        <v>39877</v>
      </c>
    </row>
    <row r="311" spans="1:7" x14ac:dyDescent="0.2">
      <c r="A311" s="39">
        <v>39769</v>
      </c>
      <c r="B311" s="40" t="s">
        <v>613</v>
      </c>
      <c r="C311" s="41" t="s">
        <v>3963</v>
      </c>
      <c r="D311" s="43">
        <v>4251</v>
      </c>
      <c r="E311" s="41" t="s">
        <v>3483</v>
      </c>
      <c r="G311" s="56">
        <v>39818</v>
      </c>
    </row>
    <row r="312" spans="1:7" x14ac:dyDescent="0.2">
      <c r="A312" s="39">
        <v>39764</v>
      </c>
      <c r="B312" s="40" t="s">
        <v>1649</v>
      </c>
      <c r="C312" s="41" t="s">
        <v>3894</v>
      </c>
      <c r="D312" s="43">
        <v>4252</v>
      </c>
      <c r="E312" s="41" t="s">
        <v>3753</v>
      </c>
      <c r="G312" s="56">
        <v>39764</v>
      </c>
    </row>
    <row r="313" spans="1:7" x14ac:dyDescent="0.2">
      <c r="A313" s="39">
        <v>39764</v>
      </c>
      <c r="B313" s="40" t="s">
        <v>1737</v>
      </c>
      <c r="C313" s="41" t="s">
        <v>3963</v>
      </c>
      <c r="D313" s="43">
        <v>4255</v>
      </c>
      <c r="E313" s="41" t="s">
        <v>3479</v>
      </c>
      <c r="G313" s="56">
        <v>39778</v>
      </c>
    </row>
    <row r="314" spans="1:7" x14ac:dyDescent="0.2">
      <c r="A314" s="39">
        <v>39765</v>
      </c>
      <c r="B314" s="40" t="s">
        <v>3587</v>
      </c>
      <c r="C314" s="41" t="s">
        <v>3963</v>
      </c>
      <c r="D314" s="43">
        <v>4256</v>
      </c>
      <c r="E314" s="41" t="s">
        <v>3837</v>
      </c>
      <c r="G314" s="56">
        <v>40717</v>
      </c>
    </row>
    <row r="315" spans="1:7" x14ac:dyDescent="0.2">
      <c r="A315" s="39">
        <v>39762</v>
      </c>
      <c r="B315" s="40" t="s">
        <v>3499</v>
      </c>
      <c r="C315" s="41" t="s">
        <v>2050</v>
      </c>
      <c r="D315" s="43">
        <v>4258</v>
      </c>
      <c r="E315" s="41" t="s">
        <v>3482</v>
      </c>
      <c r="G315" s="56">
        <v>40182</v>
      </c>
    </row>
    <row r="316" spans="1:7" x14ac:dyDescent="0.2">
      <c r="A316" s="39">
        <v>39840</v>
      </c>
      <c r="B316" s="40" t="s">
        <v>194</v>
      </c>
      <c r="C316" s="41" t="s">
        <v>3894</v>
      </c>
      <c r="D316" s="43">
        <v>4450</v>
      </c>
      <c r="E316" s="41" t="s">
        <v>524</v>
      </c>
      <c r="G316" s="56">
        <v>39846</v>
      </c>
    </row>
    <row r="317" spans="1:7" x14ac:dyDescent="0.2">
      <c r="A317" s="39">
        <v>39840</v>
      </c>
      <c r="B317" s="40" t="s">
        <v>585</v>
      </c>
      <c r="C317" s="41" t="s">
        <v>2050</v>
      </c>
      <c r="D317" s="43">
        <v>4451</v>
      </c>
      <c r="E317" s="41" t="s">
        <v>1562</v>
      </c>
      <c r="G317" s="56">
        <v>39944</v>
      </c>
    </row>
    <row r="318" spans="1:7" ht="24" x14ac:dyDescent="0.2">
      <c r="A318" s="39">
        <v>39840</v>
      </c>
      <c r="B318" s="40" t="s">
        <v>496</v>
      </c>
      <c r="C318" s="41" t="s">
        <v>3963</v>
      </c>
      <c r="D318" s="43">
        <v>4452</v>
      </c>
      <c r="E318" s="41" t="s">
        <v>3486</v>
      </c>
      <c r="G318" s="56">
        <v>40023</v>
      </c>
    </row>
    <row r="319" spans="1:7" x14ac:dyDescent="0.2">
      <c r="A319" s="39">
        <v>39840</v>
      </c>
      <c r="B319" s="40" t="s">
        <v>2111</v>
      </c>
      <c r="C319" s="41" t="s">
        <v>3963</v>
      </c>
      <c r="D319" s="43">
        <v>4453</v>
      </c>
      <c r="E319" s="41" t="s">
        <v>3478</v>
      </c>
      <c r="G319" s="56">
        <v>39877</v>
      </c>
    </row>
    <row r="320" spans="1:7" x14ac:dyDescent="0.2">
      <c r="A320" s="39">
        <v>39840</v>
      </c>
      <c r="B320" s="40" t="s">
        <v>3982</v>
      </c>
      <c r="C320" s="41" t="s">
        <v>3963</v>
      </c>
      <c r="D320" s="43">
        <v>4454</v>
      </c>
      <c r="E320" s="41" t="s">
        <v>3478</v>
      </c>
      <c r="G320" s="56">
        <v>39877</v>
      </c>
    </row>
    <row r="321" spans="1:7" ht="24" x14ac:dyDescent="0.2">
      <c r="A321" s="39">
        <v>39840</v>
      </c>
      <c r="B321" s="40" t="s">
        <v>2292</v>
      </c>
      <c r="C321" s="41" t="s">
        <v>3963</v>
      </c>
      <c r="D321" s="43">
        <v>4455</v>
      </c>
      <c r="E321" s="41" t="s">
        <v>3486</v>
      </c>
      <c r="G321" s="56">
        <v>40023</v>
      </c>
    </row>
    <row r="322" spans="1:7" x14ac:dyDescent="0.2">
      <c r="A322" s="39">
        <v>39840</v>
      </c>
      <c r="B322" s="40" t="s">
        <v>1731</v>
      </c>
      <c r="C322" s="41" t="s">
        <v>3963</v>
      </c>
      <c r="D322" s="43">
        <v>4456</v>
      </c>
      <c r="E322" s="41" t="s">
        <v>1732</v>
      </c>
      <c r="G322" s="56">
        <v>39846</v>
      </c>
    </row>
    <row r="323" spans="1:7" x14ac:dyDescent="0.2">
      <c r="A323" s="39">
        <v>39840</v>
      </c>
      <c r="B323" s="40" t="s">
        <v>1414</v>
      </c>
      <c r="C323" s="41" t="s">
        <v>1841</v>
      </c>
      <c r="D323" s="43">
        <v>4457</v>
      </c>
      <c r="E323" s="41" t="s">
        <v>3753</v>
      </c>
      <c r="G323" s="56">
        <v>39967</v>
      </c>
    </row>
    <row r="324" spans="1:7" x14ac:dyDescent="0.2">
      <c r="A324" s="39">
        <v>39840</v>
      </c>
      <c r="B324" s="40" t="s">
        <v>3014</v>
      </c>
      <c r="C324" s="41" t="s">
        <v>2050</v>
      </c>
      <c r="D324" s="43">
        <v>4458</v>
      </c>
      <c r="E324" s="41" t="s">
        <v>3837</v>
      </c>
      <c r="F324" s="41" t="s">
        <v>3015</v>
      </c>
      <c r="G324" s="56">
        <v>39860</v>
      </c>
    </row>
    <row r="325" spans="1:7" x14ac:dyDescent="0.2">
      <c r="A325" s="39">
        <v>39848</v>
      </c>
      <c r="B325" s="40" t="s">
        <v>644</v>
      </c>
      <c r="C325" s="41" t="s">
        <v>3963</v>
      </c>
      <c r="D325" s="43">
        <v>4459</v>
      </c>
      <c r="E325" s="41" t="s">
        <v>3165</v>
      </c>
      <c r="G325" s="56">
        <v>39855</v>
      </c>
    </row>
    <row r="326" spans="1:7" x14ac:dyDescent="0.2">
      <c r="A326" s="157">
        <v>39842</v>
      </c>
      <c r="B326" s="243" t="s">
        <v>1912</v>
      </c>
      <c r="C326" s="158" t="s">
        <v>1841</v>
      </c>
      <c r="D326" s="159">
        <v>4460</v>
      </c>
      <c r="E326" s="158" t="s">
        <v>3162</v>
      </c>
      <c r="F326" s="160"/>
      <c r="G326" s="56">
        <v>39846</v>
      </c>
    </row>
    <row r="327" spans="1:7" x14ac:dyDescent="0.2">
      <c r="A327" s="39">
        <v>39842</v>
      </c>
      <c r="B327" s="40" t="s">
        <v>3272</v>
      </c>
      <c r="C327" s="41" t="s">
        <v>1841</v>
      </c>
      <c r="D327" s="43">
        <v>4461</v>
      </c>
      <c r="E327" s="41" t="s">
        <v>3162</v>
      </c>
      <c r="G327" s="56">
        <v>39877</v>
      </c>
    </row>
    <row r="328" spans="1:7" x14ac:dyDescent="0.2">
      <c r="A328" s="39">
        <v>39848</v>
      </c>
      <c r="B328" s="40" t="s">
        <v>829</v>
      </c>
      <c r="C328" s="41" t="s">
        <v>3963</v>
      </c>
      <c r="D328" s="43">
        <v>4462</v>
      </c>
      <c r="E328" s="41" t="s">
        <v>3478</v>
      </c>
      <c r="G328" s="56">
        <v>40023</v>
      </c>
    </row>
    <row r="329" spans="1:7" x14ac:dyDescent="0.2">
      <c r="A329" s="39">
        <v>39849</v>
      </c>
      <c r="B329" s="40" t="s">
        <v>3799</v>
      </c>
      <c r="C329" s="41" t="s">
        <v>3963</v>
      </c>
      <c r="D329" s="43">
        <v>4463</v>
      </c>
      <c r="E329" s="41" t="s">
        <v>3480</v>
      </c>
      <c r="G329" s="56">
        <v>39860</v>
      </c>
    </row>
    <row r="330" spans="1:7" x14ac:dyDescent="0.2">
      <c r="A330" s="39">
        <v>39849</v>
      </c>
      <c r="B330" s="40" t="s">
        <v>2554</v>
      </c>
      <c r="C330" s="41" t="s">
        <v>1841</v>
      </c>
      <c r="D330" s="43">
        <v>4464</v>
      </c>
      <c r="E330" s="41" t="s">
        <v>3479</v>
      </c>
      <c r="G330" s="56">
        <v>39854</v>
      </c>
    </row>
    <row r="331" spans="1:7" x14ac:dyDescent="0.2">
      <c r="A331" s="39">
        <v>39889</v>
      </c>
      <c r="B331" s="40" t="s">
        <v>3166</v>
      </c>
      <c r="C331" s="41" t="s">
        <v>3963</v>
      </c>
      <c r="D331" s="43">
        <v>4543</v>
      </c>
      <c r="E331" s="41" t="s">
        <v>3175</v>
      </c>
      <c r="G331" s="56">
        <v>40023</v>
      </c>
    </row>
    <row r="332" spans="1:7" x14ac:dyDescent="0.2">
      <c r="A332" s="39">
        <v>39889</v>
      </c>
      <c r="B332" s="40" t="s">
        <v>1901</v>
      </c>
      <c r="C332" s="41" t="s">
        <v>3963</v>
      </c>
      <c r="D332" s="43">
        <v>4544</v>
      </c>
      <c r="E332" s="41" t="s">
        <v>3479</v>
      </c>
      <c r="G332" s="56">
        <v>39927</v>
      </c>
    </row>
    <row r="333" spans="1:7" ht="24" x14ac:dyDescent="0.2">
      <c r="A333" s="39">
        <v>39889</v>
      </c>
      <c r="B333" s="40" t="s">
        <v>423</v>
      </c>
      <c r="C333" s="41" t="s">
        <v>3963</v>
      </c>
      <c r="D333" s="43">
        <v>4546</v>
      </c>
      <c r="E333" s="41" t="s">
        <v>3478</v>
      </c>
      <c r="G333" s="56">
        <v>39927</v>
      </c>
    </row>
    <row r="334" spans="1:7" x14ac:dyDescent="0.2">
      <c r="A334" s="39">
        <v>39889</v>
      </c>
      <c r="B334" s="40" t="s">
        <v>1508</v>
      </c>
      <c r="C334" s="41" t="s">
        <v>3963</v>
      </c>
      <c r="D334" s="43">
        <v>4547</v>
      </c>
      <c r="E334" s="41" t="s">
        <v>3175</v>
      </c>
      <c r="G334" s="56">
        <v>40023</v>
      </c>
    </row>
    <row r="335" spans="1:7" x14ac:dyDescent="0.2">
      <c r="A335" s="39">
        <v>39889</v>
      </c>
      <c r="B335" s="40" t="s">
        <v>1319</v>
      </c>
      <c r="C335" s="41" t="s">
        <v>3963</v>
      </c>
      <c r="D335" s="43">
        <v>4548</v>
      </c>
      <c r="E335" s="41" t="s">
        <v>3175</v>
      </c>
      <c r="G335" s="56">
        <v>40023</v>
      </c>
    </row>
    <row r="336" spans="1:7" x14ac:dyDescent="0.2">
      <c r="A336" s="39">
        <v>39895</v>
      </c>
      <c r="B336" s="40" t="s">
        <v>1190</v>
      </c>
      <c r="C336" s="41" t="s">
        <v>932</v>
      </c>
      <c r="D336" s="43">
        <v>4549</v>
      </c>
      <c r="E336" s="41" t="s">
        <v>3486</v>
      </c>
      <c r="G336" s="56">
        <v>39959</v>
      </c>
    </row>
    <row r="337" spans="1:7" x14ac:dyDescent="0.2">
      <c r="A337" s="39">
        <v>39895</v>
      </c>
      <c r="B337" s="40" t="s">
        <v>430</v>
      </c>
      <c r="C337" s="41" t="s">
        <v>932</v>
      </c>
      <c r="D337" s="43">
        <v>4550</v>
      </c>
      <c r="E337" s="41" t="s">
        <v>3480</v>
      </c>
      <c r="G337" s="56">
        <v>39905</v>
      </c>
    </row>
    <row r="338" spans="1:7" x14ac:dyDescent="0.2">
      <c r="A338" s="39">
        <v>39895</v>
      </c>
      <c r="B338" s="40" t="s">
        <v>393</v>
      </c>
      <c r="C338" s="41" t="s">
        <v>1841</v>
      </c>
      <c r="D338" s="43">
        <v>4551</v>
      </c>
      <c r="E338" s="41" t="s">
        <v>3479</v>
      </c>
      <c r="G338" s="56">
        <v>40010</v>
      </c>
    </row>
    <row r="339" spans="1:7" x14ac:dyDescent="0.2">
      <c r="A339" s="39">
        <v>39895</v>
      </c>
      <c r="B339" s="40" t="s">
        <v>2579</v>
      </c>
      <c r="C339" s="41" t="s">
        <v>1841</v>
      </c>
      <c r="D339" s="43">
        <v>4553</v>
      </c>
      <c r="E339" s="41" t="s">
        <v>1347</v>
      </c>
      <c r="G339" s="56">
        <v>39994</v>
      </c>
    </row>
    <row r="340" spans="1:7" x14ac:dyDescent="0.2">
      <c r="A340" s="39">
        <v>39897</v>
      </c>
      <c r="B340" s="40" t="s">
        <v>212</v>
      </c>
      <c r="C340" s="41" t="s">
        <v>3963</v>
      </c>
      <c r="D340" s="43">
        <v>4562</v>
      </c>
      <c r="E340" s="41" t="s">
        <v>3486</v>
      </c>
      <c r="G340" s="56">
        <v>40023</v>
      </c>
    </row>
    <row r="341" spans="1:7" x14ac:dyDescent="0.2">
      <c r="A341" s="39">
        <v>39834</v>
      </c>
      <c r="B341" s="40" t="s">
        <v>1876</v>
      </c>
      <c r="C341" s="41" t="s">
        <v>3963</v>
      </c>
      <c r="D341" s="43">
        <v>4577</v>
      </c>
      <c r="E341" s="41" t="s">
        <v>1877</v>
      </c>
      <c r="G341" s="56">
        <v>39846</v>
      </c>
    </row>
    <row r="342" spans="1:7" x14ac:dyDescent="0.2">
      <c r="A342" s="39">
        <v>39882</v>
      </c>
      <c r="B342" s="40" t="s">
        <v>1226</v>
      </c>
      <c r="C342" s="41" t="s">
        <v>3963</v>
      </c>
      <c r="D342" s="43">
        <v>4614</v>
      </c>
      <c r="E342" s="41" t="s">
        <v>3482</v>
      </c>
      <c r="G342" s="56">
        <v>39927</v>
      </c>
    </row>
    <row r="343" spans="1:7" x14ac:dyDescent="0.2">
      <c r="A343" s="39">
        <v>39898</v>
      </c>
      <c r="B343" s="40" t="s">
        <v>578</v>
      </c>
      <c r="C343" s="41" t="s">
        <v>1842</v>
      </c>
      <c r="D343" s="43">
        <v>4615</v>
      </c>
      <c r="E343" s="41" t="s">
        <v>3478</v>
      </c>
      <c r="G343" s="56">
        <v>40717</v>
      </c>
    </row>
    <row r="344" spans="1:7" x14ac:dyDescent="0.2">
      <c r="A344" s="39">
        <v>39780</v>
      </c>
      <c r="B344" s="40" t="s">
        <v>984</v>
      </c>
      <c r="C344" s="41" t="s">
        <v>1842</v>
      </c>
      <c r="D344" s="43">
        <v>4773</v>
      </c>
      <c r="E344" s="41" t="s">
        <v>3478</v>
      </c>
      <c r="G344" s="56">
        <v>39860</v>
      </c>
    </row>
    <row r="345" spans="1:7" x14ac:dyDescent="0.2">
      <c r="A345" s="39">
        <v>39861</v>
      </c>
      <c r="B345" s="40" t="s">
        <v>1923</v>
      </c>
      <c r="C345" s="41" t="s">
        <v>2050</v>
      </c>
      <c r="D345" s="43">
        <v>4774</v>
      </c>
      <c r="E345" s="41" t="s">
        <v>3479</v>
      </c>
      <c r="G345" s="56">
        <v>39881</v>
      </c>
    </row>
    <row r="346" spans="1:7" x14ac:dyDescent="0.2">
      <c r="A346" s="39">
        <v>39861</v>
      </c>
      <c r="B346" s="40" t="s">
        <v>3340</v>
      </c>
      <c r="C346" s="41" t="s">
        <v>3963</v>
      </c>
      <c r="D346" s="43">
        <v>4775</v>
      </c>
      <c r="E346" s="41" t="s">
        <v>3478</v>
      </c>
      <c r="G346" s="56">
        <v>39874</v>
      </c>
    </row>
    <row r="347" spans="1:7" x14ac:dyDescent="0.2">
      <c r="A347" s="39">
        <v>39860</v>
      </c>
      <c r="B347" s="40" t="s">
        <v>1411</v>
      </c>
      <c r="C347" s="41" t="s">
        <v>1841</v>
      </c>
      <c r="D347" s="43">
        <v>4777</v>
      </c>
      <c r="E347" s="41" t="s">
        <v>2115</v>
      </c>
      <c r="G347" s="56">
        <v>39874</v>
      </c>
    </row>
    <row r="348" spans="1:7" x14ac:dyDescent="0.2">
      <c r="A348" s="39">
        <v>39889</v>
      </c>
      <c r="B348" s="40" t="s">
        <v>1352</v>
      </c>
      <c r="C348" s="41" t="s">
        <v>3963</v>
      </c>
      <c r="D348" s="43">
        <v>4779</v>
      </c>
      <c r="E348" s="41" t="s">
        <v>3486</v>
      </c>
      <c r="G348" s="56">
        <v>40023</v>
      </c>
    </row>
    <row r="349" spans="1:7" x14ac:dyDescent="0.2">
      <c r="A349" s="39">
        <v>39856</v>
      </c>
      <c r="B349" s="40" t="s">
        <v>2901</v>
      </c>
      <c r="C349" s="41" t="s">
        <v>3963</v>
      </c>
      <c r="D349" s="43">
        <v>4781</v>
      </c>
      <c r="E349" s="41" t="s">
        <v>2504</v>
      </c>
      <c r="G349" s="56">
        <v>39891</v>
      </c>
    </row>
    <row r="350" spans="1:7" x14ac:dyDescent="0.2">
      <c r="A350" s="39">
        <v>39856</v>
      </c>
      <c r="B350" s="40" t="s">
        <v>2112</v>
      </c>
      <c r="C350" s="41" t="s">
        <v>3963</v>
      </c>
      <c r="D350" s="43">
        <v>4783</v>
      </c>
      <c r="E350" s="41" t="s">
        <v>3478</v>
      </c>
      <c r="G350" s="56">
        <v>40071</v>
      </c>
    </row>
    <row r="351" spans="1:7" x14ac:dyDescent="0.2">
      <c r="A351" s="39">
        <v>39854</v>
      </c>
      <c r="B351" s="40" t="s">
        <v>3823</v>
      </c>
      <c r="C351" s="41" t="s">
        <v>1841</v>
      </c>
      <c r="D351" s="43">
        <v>4785</v>
      </c>
      <c r="E351" s="41" t="s">
        <v>3480</v>
      </c>
      <c r="F351" s="41" t="s">
        <v>747</v>
      </c>
      <c r="G351" s="56">
        <v>39927</v>
      </c>
    </row>
    <row r="352" spans="1:7" x14ac:dyDescent="0.2">
      <c r="A352" s="39">
        <v>39856</v>
      </c>
      <c r="B352" s="40" t="s">
        <v>3473</v>
      </c>
      <c r="C352" s="41" t="s">
        <v>1841</v>
      </c>
      <c r="D352" s="43">
        <v>4786</v>
      </c>
      <c r="E352" s="41" t="s">
        <v>3162</v>
      </c>
      <c r="G352" s="56">
        <v>39927</v>
      </c>
    </row>
    <row r="353" spans="1:7" x14ac:dyDescent="0.2">
      <c r="A353" s="39">
        <v>39856</v>
      </c>
      <c r="B353" s="40" t="s">
        <v>1011</v>
      </c>
      <c r="C353" s="41" t="s">
        <v>1841</v>
      </c>
      <c r="D353" s="43">
        <v>4788</v>
      </c>
      <c r="E353" s="41" t="s">
        <v>3175</v>
      </c>
      <c r="F353" s="41" t="s">
        <v>747</v>
      </c>
      <c r="G353" s="56">
        <v>39927</v>
      </c>
    </row>
    <row r="354" spans="1:7" x14ac:dyDescent="0.2">
      <c r="A354" s="39">
        <v>39854</v>
      </c>
      <c r="B354" s="40" t="s">
        <v>2747</v>
      </c>
      <c r="C354" s="41" t="s">
        <v>1842</v>
      </c>
      <c r="D354" s="43">
        <v>4789</v>
      </c>
      <c r="E354" s="41" t="s">
        <v>3162</v>
      </c>
      <c r="G354" s="56">
        <v>39860</v>
      </c>
    </row>
    <row r="355" spans="1:7" ht="24" x14ac:dyDescent="0.2">
      <c r="A355" s="39">
        <v>39849</v>
      </c>
      <c r="B355" s="40" t="s">
        <v>3849</v>
      </c>
      <c r="C355" s="41" t="s">
        <v>3963</v>
      </c>
      <c r="D355" s="43">
        <v>4794</v>
      </c>
      <c r="E355" s="41" t="s">
        <v>3480</v>
      </c>
      <c r="G355" s="56">
        <v>39875</v>
      </c>
    </row>
    <row r="356" spans="1:7" x14ac:dyDescent="0.2">
      <c r="A356" s="39">
        <v>39869</v>
      </c>
      <c r="B356" s="40" t="s">
        <v>1821</v>
      </c>
      <c r="C356" s="41" t="s">
        <v>3894</v>
      </c>
      <c r="D356" s="43">
        <v>4901</v>
      </c>
    </row>
    <row r="357" spans="1:7" x14ac:dyDescent="0.2">
      <c r="A357" s="39">
        <v>39869</v>
      </c>
      <c r="B357" s="40" t="s">
        <v>1186</v>
      </c>
      <c r="C357" s="41" t="s">
        <v>3894</v>
      </c>
      <c r="D357" s="43">
        <v>4902</v>
      </c>
    </row>
    <row r="358" spans="1:7" x14ac:dyDescent="0.2">
      <c r="A358" s="39">
        <v>39881</v>
      </c>
      <c r="B358" s="40" t="s">
        <v>1211</v>
      </c>
      <c r="C358" s="41" t="s">
        <v>3963</v>
      </c>
      <c r="D358" s="43">
        <v>4903</v>
      </c>
      <c r="E358" s="41" t="s">
        <v>3480</v>
      </c>
      <c r="F358" s="41" t="s">
        <v>1212</v>
      </c>
      <c r="G358" s="56">
        <v>39927</v>
      </c>
    </row>
    <row r="359" spans="1:7" x14ac:dyDescent="0.2">
      <c r="A359" s="39">
        <v>39881</v>
      </c>
      <c r="B359" s="40" t="s">
        <v>2563</v>
      </c>
      <c r="C359" s="41" t="s">
        <v>1841</v>
      </c>
      <c r="D359" s="43">
        <v>4904</v>
      </c>
      <c r="E359" s="41" t="s">
        <v>3162</v>
      </c>
      <c r="G359" s="56">
        <v>39903</v>
      </c>
    </row>
    <row r="360" spans="1:7" x14ac:dyDescent="0.2">
      <c r="A360" s="39">
        <v>39881</v>
      </c>
      <c r="B360" s="40" t="s">
        <v>5</v>
      </c>
      <c r="C360" s="41" t="s">
        <v>3963</v>
      </c>
      <c r="D360" s="43">
        <v>4905</v>
      </c>
      <c r="E360" s="41" t="s">
        <v>3482</v>
      </c>
      <c r="F360" s="41" t="s">
        <v>1212</v>
      </c>
      <c r="G360" s="56">
        <v>40023</v>
      </c>
    </row>
    <row r="361" spans="1:7" x14ac:dyDescent="0.2">
      <c r="A361" s="39">
        <v>39876</v>
      </c>
      <c r="B361" s="40" t="s">
        <v>3950</v>
      </c>
      <c r="C361" s="41" t="s">
        <v>2050</v>
      </c>
      <c r="D361" s="43">
        <v>4907</v>
      </c>
      <c r="E361" s="41" t="s">
        <v>3175</v>
      </c>
      <c r="G361" s="56">
        <v>39927</v>
      </c>
    </row>
    <row r="362" spans="1:7" x14ac:dyDescent="0.2">
      <c r="A362" s="39">
        <v>39882</v>
      </c>
      <c r="B362" s="40" t="s">
        <v>3247</v>
      </c>
      <c r="C362" s="41" t="s">
        <v>1841</v>
      </c>
      <c r="D362" s="43">
        <v>4909</v>
      </c>
      <c r="E362" s="41" t="s">
        <v>2504</v>
      </c>
      <c r="G362" s="56">
        <v>39927</v>
      </c>
    </row>
    <row r="363" spans="1:7" x14ac:dyDescent="0.2">
      <c r="A363" s="39">
        <v>39882</v>
      </c>
      <c r="B363" s="40" t="s">
        <v>3835</v>
      </c>
      <c r="C363" s="41" t="s">
        <v>1841</v>
      </c>
      <c r="D363" s="43">
        <v>4910</v>
      </c>
      <c r="E363" s="41" t="s">
        <v>3480</v>
      </c>
      <c r="G363" s="56">
        <v>39903</v>
      </c>
    </row>
    <row r="364" spans="1:7" ht="24" x14ac:dyDescent="0.2">
      <c r="A364" s="39">
        <v>40029</v>
      </c>
      <c r="B364" s="40" t="s">
        <v>2647</v>
      </c>
      <c r="C364" s="41" t="s">
        <v>3963</v>
      </c>
      <c r="D364" s="43">
        <v>5365</v>
      </c>
      <c r="E364" s="41" t="s">
        <v>3483</v>
      </c>
      <c r="G364" s="56">
        <v>40182</v>
      </c>
    </row>
    <row r="365" spans="1:7" x14ac:dyDescent="0.2">
      <c r="A365" s="39">
        <v>40023</v>
      </c>
      <c r="B365" s="40" t="s">
        <v>2803</v>
      </c>
      <c r="C365" s="41" t="s">
        <v>1841</v>
      </c>
      <c r="D365" s="43">
        <v>5371</v>
      </c>
      <c r="E365" s="41" t="s">
        <v>3175</v>
      </c>
      <c r="G365" s="56">
        <v>40077</v>
      </c>
    </row>
    <row r="366" spans="1:7" x14ac:dyDescent="0.2">
      <c r="A366" s="39">
        <v>40026</v>
      </c>
      <c r="B366" s="40" t="s">
        <v>2954</v>
      </c>
      <c r="C366" s="41" t="s">
        <v>1841</v>
      </c>
      <c r="D366" s="43">
        <v>5372</v>
      </c>
      <c r="E366" s="41" t="s">
        <v>3483</v>
      </c>
      <c r="G366" s="56">
        <v>40051</v>
      </c>
    </row>
    <row r="367" spans="1:7" x14ac:dyDescent="0.2">
      <c r="A367" s="39">
        <v>40026</v>
      </c>
      <c r="B367" s="40" t="s">
        <v>3943</v>
      </c>
      <c r="C367" s="41" t="s">
        <v>3963</v>
      </c>
      <c r="D367" s="43">
        <v>5373</v>
      </c>
      <c r="E367" s="41" t="s">
        <v>823</v>
      </c>
      <c r="G367" s="56">
        <v>40717</v>
      </c>
    </row>
    <row r="368" spans="1:7" x14ac:dyDescent="0.2">
      <c r="A368" s="39">
        <v>40022</v>
      </c>
      <c r="B368" s="40" t="s">
        <v>1278</v>
      </c>
      <c r="C368" s="41" t="s">
        <v>3963</v>
      </c>
      <c r="D368" s="43">
        <v>5376</v>
      </c>
      <c r="E368" s="41" t="s">
        <v>3483</v>
      </c>
      <c r="G368" s="56">
        <v>40717</v>
      </c>
    </row>
    <row r="369" spans="1:7" x14ac:dyDescent="0.2">
      <c r="A369" s="39">
        <v>40022</v>
      </c>
      <c r="B369" s="40" t="s">
        <v>3132</v>
      </c>
      <c r="C369" s="41" t="s">
        <v>3963</v>
      </c>
      <c r="D369" s="43">
        <v>5386</v>
      </c>
      <c r="E369" s="41" t="s">
        <v>3483</v>
      </c>
      <c r="G369" s="56">
        <v>40051</v>
      </c>
    </row>
    <row r="370" spans="1:7" x14ac:dyDescent="0.2">
      <c r="A370" s="39">
        <v>40010</v>
      </c>
      <c r="B370" s="40" t="s">
        <v>2211</v>
      </c>
      <c r="C370" s="41" t="s">
        <v>1841</v>
      </c>
      <c r="D370" s="43">
        <v>5389</v>
      </c>
      <c r="E370" s="41" t="s">
        <v>3480</v>
      </c>
      <c r="G370" s="56">
        <v>40015</v>
      </c>
    </row>
    <row r="371" spans="1:7" x14ac:dyDescent="0.2">
      <c r="A371" s="39">
        <v>40010</v>
      </c>
      <c r="B371" s="40" t="s">
        <v>1122</v>
      </c>
      <c r="C371" s="41" t="s">
        <v>3963</v>
      </c>
      <c r="D371" s="43">
        <v>5390</v>
      </c>
      <c r="E371" s="41" t="s">
        <v>3482</v>
      </c>
      <c r="G371" s="56">
        <v>40021</v>
      </c>
    </row>
    <row r="372" spans="1:7" x14ac:dyDescent="0.2">
      <c r="A372" s="39">
        <v>40011</v>
      </c>
      <c r="B372" s="40" t="s">
        <v>664</v>
      </c>
      <c r="C372" s="41" t="s">
        <v>3963</v>
      </c>
      <c r="D372" s="43">
        <v>5391</v>
      </c>
      <c r="E372" s="41" t="s">
        <v>3175</v>
      </c>
      <c r="G372" s="56">
        <v>40077</v>
      </c>
    </row>
    <row r="373" spans="1:7" x14ac:dyDescent="0.2">
      <c r="A373" s="39">
        <v>40000</v>
      </c>
      <c r="B373" s="40" t="s">
        <v>2607</v>
      </c>
      <c r="C373" s="41" t="s">
        <v>1841</v>
      </c>
      <c r="D373" s="43">
        <v>5392</v>
      </c>
      <c r="E373" s="41" t="s">
        <v>3482</v>
      </c>
      <c r="G373" s="56">
        <v>40051</v>
      </c>
    </row>
    <row r="374" spans="1:7" x14ac:dyDescent="0.2">
      <c r="A374" s="39">
        <v>40002</v>
      </c>
      <c r="B374" s="40" t="s">
        <v>2304</v>
      </c>
      <c r="C374" s="41" t="s">
        <v>3963</v>
      </c>
      <c r="D374" s="43">
        <v>5393</v>
      </c>
      <c r="E374" s="41" t="s">
        <v>3175</v>
      </c>
      <c r="G374" s="56">
        <v>40009</v>
      </c>
    </row>
    <row r="375" spans="1:7" x14ac:dyDescent="0.2">
      <c r="A375" s="39">
        <v>40002</v>
      </c>
      <c r="B375" s="40" t="s">
        <v>2661</v>
      </c>
      <c r="C375" s="41" t="s">
        <v>3963</v>
      </c>
      <c r="D375" s="43">
        <v>5394</v>
      </c>
      <c r="E375" s="41" t="s">
        <v>3175</v>
      </c>
      <c r="G375" s="56">
        <v>40009</v>
      </c>
    </row>
    <row r="376" spans="1:7" x14ac:dyDescent="0.2">
      <c r="A376" s="39">
        <v>39995</v>
      </c>
      <c r="B376" s="40" t="s">
        <v>2095</v>
      </c>
      <c r="C376" s="41" t="s">
        <v>3894</v>
      </c>
      <c r="D376" s="43">
        <v>5396</v>
      </c>
      <c r="E376" s="41" t="s">
        <v>3478</v>
      </c>
      <c r="G376" s="56">
        <v>39998</v>
      </c>
    </row>
    <row r="377" spans="1:7" x14ac:dyDescent="0.2">
      <c r="A377" s="39">
        <v>40000</v>
      </c>
      <c r="B377" s="40" t="s">
        <v>3324</v>
      </c>
      <c r="C377" s="41" t="s">
        <v>3963</v>
      </c>
      <c r="D377" s="43">
        <v>5397</v>
      </c>
      <c r="E377" s="41" t="s">
        <v>3478</v>
      </c>
      <c r="G377" s="56">
        <v>40009</v>
      </c>
    </row>
    <row r="378" spans="1:7" x14ac:dyDescent="0.2">
      <c r="A378" s="39">
        <v>39995</v>
      </c>
      <c r="B378" s="40" t="s">
        <v>2597</v>
      </c>
      <c r="C378" s="41" t="s">
        <v>3963</v>
      </c>
      <c r="D378" s="43">
        <v>5398</v>
      </c>
      <c r="E378" s="41" t="s">
        <v>3478</v>
      </c>
      <c r="G378" s="56">
        <v>40023</v>
      </c>
    </row>
    <row r="379" spans="1:7" x14ac:dyDescent="0.2">
      <c r="A379" s="39">
        <v>39995</v>
      </c>
      <c r="B379" s="40" t="s">
        <v>1113</v>
      </c>
      <c r="C379" s="41" t="s">
        <v>3963</v>
      </c>
      <c r="D379" s="43">
        <v>5399</v>
      </c>
      <c r="E379" s="41" t="s">
        <v>3478</v>
      </c>
      <c r="G379" s="56">
        <v>40071</v>
      </c>
    </row>
    <row r="380" spans="1:7" x14ac:dyDescent="0.2">
      <c r="A380" s="39">
        <v>39994</v>
      </c>
      <c r="B380" s="40" t="s">
        <v>2596</v>
      </c>
      <c r="C380" s="41" t="s">
        <v>1841</v>
      </c>
      <c r="D380" s="43">
        <v>5400</v>
      </c>
      <c r="E380" s="41" t="s">
        <v>3483</v>
      </c>
      <c r="G380" s="56">
        <v>40051</v>
      </c>
    </row>
    <row r="381" spans="1:7" x14ac:dyDescent="0.2">
      <c r="A381" s="39">
        <v>39987</v>
      </c>
      <c r="B381" s="40" t="s">
        <v>3541</v>
      </c>
      <c r="C381" s="41" t="s">
        <v>1841</v>
      </c>
      <c r="D381" s="43">
        <v>5402</v>
      </c>
      <c r="E381" s="41" t="s">
        <v>3478</v>
      </c>
      <c r="G381" s="56">
        <v>39994</v>
      </c>
    </row>
    <row r="382" spans="1:7" x14ac:dyDescent="0.2">
      <c r="A382" s="39">
        <v>39990</v>
      </c>
      <c r="B382" s="40" t="s">
        <v>1597</v>
      </c>
      <c r="C382" s="41" t="s">
        <v>3963</v>
      </c>
      <c r="D382" s="43">
        <v>5403</v>
      </c>
      <c r="E382" s="41" t="s">
        <v>3478</v>
      </c>
      <c r="G382" s="56">
        <v>40121</v>
      </c>
    </row>
    <row r="383" spans="1:7" x14ac:dyDescent="0.2">
      <c r="A383" s="39">
        <v>39986</v>
      </c>
      <c r="B383" s="40" t="s">
        <v>2883</v>
      </c>
      <c r="C383" s="41" t="s">
        <v>1841</v>
      </c>
      <c r="D383" s="43">
        <v>5404</v>
      </c>
      <c r="E383" s="41" t="s">
        <v>3486</v>
      </c>
      <c r="G383" s="56">
        <v>39996</v>
      </c>
    </row>
    <row r="384" spans="1:7" x14ac:dyDescent="0.2">
      <c r="A384" s="39">
        <v>39986</v>
      </c>
      <c r="B384" s="40" t="s">
        <v>3671</v>
      </c>
      <c r="C384" s="41" t="s">
        <v>3963</v>
      </c>
      <c r="D384" s="43">
        <v>5405</v>
      </c>
      <c r="E384" s="41" t="s">
        <v>3485</v>
      </c>
      <c r="G384" s="56">
        <v>40717</v>
      </c>
    </row>
    <row r="385" spans="1:7" x14ac:dyDescent="0.2">
      <c r="A385" s="39">
        <v>39986</v>
      </c>
      <c r="B385" s="40" t="s">
        <v>3734</v>
      </c>
      <c r="C385" s="41" t="s">
        <v>3963</v>
      </c>
      <c r="D385" s="43">
        <v>5406</v>
      </c>
      <c r="E385" s="41" t="s">
        <v>3485</v>
      </c>
      <c r="G385" s="56">
        <v>40717</v>
      </c>
    </row>
    <row r="386" spans="1:7" x14ac:dyDescent="0.2">
      <c r="A386" s="39">
        <v>39983</v>
      </c>
      <c r="B386" s="40" t="s">
        <v>2282</v>
      </c>
      <c r="C386" s="41" t="s">
        <v>1841</v>
      </c>
      <c r="D386" s="43">
        <v>5407</v>
      </c>
      <c r="E386" s="41" t="s">
        <v>3479</v>
      </c>
      <c r="G386" s="56">
        <v>40051</v>
      </c>
    </row>
    <row r="387" spans="1:7" x14ac:dyDescent="0.2">
      <c r="A387" s="39">
        <v>39983</v>
      </c>
      <c r="B387" s="40" t="s">
        <v>3105</v>
      </c>
      <c r="C387" s="41" t="s">
        <v>1841</v>
      </c>
      <c r="D387" s="43">
        <v>5408</v>
      </c>
      <c r="E387" s="41" t="s">
        <v>3032</v>
      </c>
      <c r="G387" s="56">
        <v>40182</v>
      </c>
    </row>
    <row r="388" spans="1:7" x14ac:dyDescent="0.2">
      <c r="A388" s="39">
        <v>39986</v>
      </c>
      <c r="B388" s="40" t="s">
        <v>1696</v>
      </c>
      <c r="C388" s="41" t="s">
        <v>1841</v>
      </c>
      <c r="D388" s="43">
        <v>5409</v>
      </c>
      <c r="E388" s="41" t="s">
        <v>3486</v>
      </c>
      <c r="G388" s="56">
        <v>39996</v>
      </c>
    </row>
    <row r="389" spans="1:7" x14ac:dyDescent="0.2">
      <c r="A389" s="39">
        <v>40060</v>
      </c>
      <c r="B389" s="40" t="s">
        <v>1639</v>
      </c>
      <c r="C389" s="41" t="s">
        <v>3963</v>
      </c>
      <c r="D389" s="43">
        <v>5498</v>
      </c>
      <c r="E389" s="41" t="s">
        <v>323</v>
      </c>
      <c r="G389" s="56">
        <v>40077</v>
      </c>
    </row>
    <row r="390" spans="1:7" x14ac:dyDescent="0.2">
      <c r="A390" s="39">
        <v>40064</v>
      </c>
      <c r="B390" s="40" t="s">
        <v>319</v>
      </c>
      <c r="C390" s="41" t="s">
        <v>3894</v>
      </c>
      <c r="D390" s="43">
        <v>5502</v>
      </c>
      <c r="E390" s="41" t="s">
        <v>2069</v>
      </c>
      <c r="G390" s="56">
        <v>40121</v>
      </c>
    </row>
    <row r="391" spans="1:7" x14ac:dyDescent="0.2">
      <c r="A391" s="39">
        <v>40064</v>
      </c>
      <c r="B391" s="40" t="s">
        <v>431</v>
      </c>
      <c r="C391" s="41" t="s">
        <v>3894</v>
      </c>
      <c r="D391" s="43">
        <v>5503</v>
      </c>
      <c r="E391" s="41" t="s">
        <v>1021</v>
      </c>
      <c r="G391" s="56">
        <v>40182</v>
      </c>
    </row>
    <row r="392" spans="1:7" x14ac:dyDescent="0.2">
      <c r="A392" s="39">
        <v>40066</v>
      </c>
      <c r="B392" s="40" t="s">
        <v>1405</v>
      </c>
      <c r="C392" s="41" t="s">
        <v>3963</v>
      </c>
      <c r="D392" s="43">
        <v>5504</v>
      </c>
      <c r="G392" s="56">
        <v>40077</v>
      </c>
    </row>
    <row r="393" spans="1:7" x14ac:dyDescent="0.2">
      <c r="A393" s="39">
        <v>40073</v>
      </c>
      <c r="B393" s="40" t="s">
        <v>3035</v>
      </c>
      <c r="C393" s="41" t="s">
        <v>3963</v>
      </c>
      <c r="D393" s="43">
        <v>5505</v>
      </c>
      <c r="E393" s="41" t="s">
        <v>3478</v>
      </c>
      <c r="G393" s="56">
        <v>40077</v>
      </c>
    </row>
    <row r="394" spans="1:7" x14ac:dyDescent="0.2">
      <c r="A394" s="39">
        <v>40073</v>
      </c>
      <c r="B394" s="40" t="s">
        <v>3034</v>
      </c>
      <c r="C394" s="41" t="s">
        <v>1841</v>
      </c>
      <c r="D394" s="43">
        <v>5506</v>
      </c>
      <c r="E394" s="41" t="s">
        <v>3175</v>
      </c>
      <c r="G394" s="56">
        <v>40182</v>
      </c>
    </row>
    <row r="395" spans="1:7" x14ac:dyDescent="0.2">
      <c r="A395" s="39">
        <v>40074</v>
      </c>
      <c r="B395" s="40" t="s">
        <v>1366</v>
      </c>
      <c r="C395" s="41" t="s">
        <v>3963</v>
      </c>
      <c r="D395" s="43">
        <v>5507</v>
      </c>
      <c r="E395" s="41" t="s">
        <v>3479</v>
      </c>
      <c r="G395" s="56">
        <v>40717</v>
      </c>
    </row>
    <row r="396" spans="1:7" x14ac:dyDescent="0.2">
      <c r="A396" s="39">
        <v>40119</v>
      </c>
      <c r="B396" s="40" t="s">
        <v>1237</v>
      </c>
      <c r="C396" s="41" t="s">
        <v>3963</v>
      </c>
      <c r="D396" s="43">
        <v>5509</v>
      </c>
      <c r="E396" s="41" t="s">
        <v>3479</v>
      </c>
      <c r="G396" s="56">
        <v>40717</v>
      </c>
    </row>
    <row r="397" spans="1:7" x14ac:dyDescent="0.2">
      <c r="A397" s="39">
        <v>40091</v>
      </c>
      <c r="B397" s="40" t="s">
        <v>2641</v>
      </c>
      <c r="C397" s="41" t="s">
        <v>3894</v>
      </c>
      <c r="D397" s="43">
        <v>5512</v>
      </c>
      <c r="E397" s="41" t="s">
        <v>3032</v>
      </c>
      <c r="G397" s="56">
        <v>40138</v>
      </c>
    </row>
    <row r="398" spans="1:7" x14ac:dyDescent="0.2">
      <c r="A398" s="39">
        <v>40096</v>
      </c>
      <c r="B398" s="40" t="s">
        <v>91</v>
      </c>
      <c r="C398" s="41" t="s">
        <v>3963</v>
      </c>
      <c r="D398" s="43">
        <v>5513</v>
      </c>
      <c r="E398" s="41" t="s">
        <v>3483</v>
      </c>
      <c r="G398" s="56">
        <v>40105</v>
      </c>
    </row>
    <row r="399" spans="1:7" x14ac:dyDescent="0.2">
      <c r="A399" s="39">
        <v>40093</v>
      </c>
      <c r="B399" s="40" t="s">
        <v>2510</v>
      </c>
      <c r="C399" s="41" t="s">
        <v>3963</v>
      </c>
      <c r="D399" s="43">
        <v>5514</v>
      </c>
      <c r="E399" s="41" t="s">
        <v>3175</v>
      </c>
      <c r="G399" s="56">
        <v>40717</v>
      </c>
    </row>
    <row r="400" spans="1:7" x14ac:dyDescent="0.2">
      <c r="A400" s="39">
        <v>40100</v>
      </c>
      <c r="B400" s="40" t="s">
        <v>2344</v>
      </c>
      <c r="C400" s="41" t="s">
        <v>1841</v>
      </c>
      <c r="D400" s="43">
        <v>5516</v>
      </c>
      <c r="E400" s="41" t="s">
        <v>3480</v>
      </c>
      <c r="G400" s="56">
        <v>40126</v>
      </c>
    </row>
    <row r="401" spans="1:7" x14ac:dyDescent="0.2">
      <c r="A401" s="39">
        <v>40100</v>
      </c>
      <c r="B401" s="40" t="s">
        <v>1545</v>
      </c>
      <c r="C401" s="41" t="s">
        <v>1841</v>
      </c>
      <c r="D401" s="43">
        <v>5517</v>
      </c>
      <c r="E401" s="41" t="s">
        <v>3483</v>
      </c>
      <c r="G401" s="56">
        <v>40182</v>
      </c>
    </row>
    <row r="402" spans="1:7" x14ac:dyDescent="0.2">
      <c r="A402" s="39">
        <v>40102</v>
      </c>
      <c r="B402" s="40" t="s">
        <v>227</v>
      </c>
      <c r="C402" s="41" t="s">
        <v>3963</v>
      </c>
      <c r="D402" s="43">
        <v>5520</v>
      </c>
      <c r="E402" s="41" t="s">
        <v>3483</v>
      </c>
      <c r="G402" s="56">
        <v>40182</v>
      </c>
    </row>
    <row r="403" spans="1:7" x14ac:dyDescent="0.2">
      <c r="A403" s="39">
        <v>40102</v>
      </c>
      <c r="B403" s="40" t="s">
        <v>2345</v>
      </c>
      <c r="C403" s="41" t="s">
        <v>1841</v>
      </c>
      <c r="D403" s="43">
        <v>5521</v>
      </c>
      <c r="E403" s="41" t="s">
        <v>3479</v>
      </c>
      <c r="G403" s="56">
        <v>40126</v>
      </c>
    </row>
    <row r="404" spans="1:7" x14ac:dyDescent="0.2">
      <c r="A404" s="39">
        <v>40102</v>
      </c>
      <c r="B404" s="40" t="s">
        <v>2705</v>
      </c>
      <c r="C404" s="41" t="s">
        <v>3963</v>
      </c>
      <c r="D404" s="43">
        <v>5522</v>
      </c>
      <c r="G404" s="56">
        <v>40717</v>
      </c>
    </row>
    <row r="405" spans="1:7" x14ac:dyDescent="0.2">
      <c r="A405" s="39">
        <v>40105</v>
      </c>
      <c r="B405" s="40" t="s">
        <v>1238</v>
      </c>
      <c r="C405" s="41" t="s">
        <v>3963</v>
      </c>
      <c r="D405" s="43">
        <v>5525</v>
      </c>
      <c r="E405" s="41" t="s">
        <v>3175</v>
      </c>
      <c r="G405" s="56">
        <v>40182</v>
      </c>
    </row>
    <row r="406" spans="1:7" x14ac:dyDescent="0.2">
      <c r="A406" s="39">
        <v>40105</v>
      </c>
      <c r="B406" s="40" t="s">
        <v>3577</v>
      </c>
      <c r="C406" s="41" t="s">
        <v>3963</v>
      </c>
      <c r="D406" s="43">
        <v>5526</v>
      </c>
      <c r="E406" s="41" t="s">
        <v>3482</v>
      </c>
      <c r="G406" s="56">
        <v>40717</v>
      </c>
    </row>
    <row r="407" spans="1:7" x14ac:dyDescent="0.2">
      <c r="A407" s="39">
        <v>40107</v>
      </c>
      <c r="B407" s="40" t="s">
        <v>1304</v>
      </c>
      <c r="C407" s="41" t="s">
        <v>1842</v>
      </c>
      <c r="D407" s="43">
        <v>5527</v>
      </c>
      <c r="E407" s="41" t="s">
        <v>3837</v>
      </c>
      <c r="G407" s="56">
        <v>40138</v>
      </c>
    </row>
    <row r="408" spans="1:7" x14ac:dyDescent="0.2">
      <c r="A408" s="39">
        <v>40107</v>
      </c>
      <c r="B408" s="40" t="s">
        <v>1989</v>
      </c>
      <c r="C408" s="41" t="s">
        <v>3894</v>
      </c>
      <c r="D408" s="43">
        <v>5528</v>
      </c>
      <c r="E408" s="41" t="s">
        <v>524</v>
      </c>
      <c r="G408" s="56">
        <v>40126</v>
      </c>
    </row>
    <row r="409" spans="1:7" x14ac:dyDescent="0.2">
      <c r="A409" s="39">
        <v>40120</v>
      </c>
      <c r="B409" s="40" t="s">
        <v>913</v>
      </c>
      <c r="C409" s="41" t="s">
        <v>1841</v>
      </c>
      <c r="D409" s="43">
        <v>5529</v>
      </c>
      <c r="E409" s="41" t="s">
        <v>1562</v>
      </c>
      <c r="G409" s="56">
        <v>40126</v>
      </c>
    </row>
    <row r="410" spans="1:7" x14ac:dyDescent="0.2">
      <c r="A410" s="39">
        <v>40113</v>
      </c>
      <c r="B410" s="40" t="s">
        <v>3804</v>
      </c>
      <c r="C410" s="41" t="s">
        <v>3963</v>
      </c>
      <c r="D410" s="43">
        <v>5530</v>
      </c>
      <c r="E410" s="41" t="s">
        <v>328</v>
      </c>
      <c r="G410" s="56">
        <v>40717</v>
      </c>
    </row>
    <row r="411" spans="1:7" x14ac:dyDescent="0.2">
      <c r="A411" s="39">
        <v>40119</v>
      </c>
      <c r="B411" s="40" t="s">
        <v>3860</v>
      </c>
      <c r="C411" s="41" t="s">
        <v>3894</v>
      </c>
      <c r="D411" s="43">
        <v>5532</v>
      </c>
      <c r="E411" s="41" t="s">
        <v>3162</v>
      </c>
      <c r="G411" s="56">
        <v>40182</v>
      </c>
    </row>
    <row r="412" spans="1:7" x14ac:dyDescent="0.2">
      <c r="A412" s="39">
        <v>40121</v>
      </c>
      <c r="B412" s="40" t="s">
        <v>373</v>
      </c>
      <c r="C412" s="41" t="s">
        <v>1842</v>
      </c>
      <c r="D412" s="43">
        <v>5538</v>
      </c>
      <c r="E412" s="41" t="s">
        <v>3480</v>
      </c>
      <c r="G412" s="56">
        <v>40182</v>
      </c>
    </row>
    <row r="413" spans="1:7" x14ac:dyDescent="0.2">
      <c r="A413" s="39">
        <v>40126</v>
      </c>
      <c r="B413" s="40" t="s">
        <v>3137</v>
      </c>
      <c r="C413" s="41" t="s">
        <v>1841</v>
      </c>
      <c r="D413" s="43">
        <v>5541</v>
      </c>
      <c r="E413" s="41" t="s">
        <v>3486</v>
      </c>
      <c r="G413" s="56">
        <v>40182</v>
      </c>
    </row>
    <row r="414" spans="1:7" x14ac:dyDescent="0.2">
      <c r="A414" s="39">
        <v>40129</v>
      </c>
      <c r="B414" s="40" t="s">
        <v>2570</v>
      </c>
      <c r="C414" s="41" t="s">
        <v>1841</v>
      </c>
      <c r="D414" s="43">
        <v>5642</v>
      </c>
      <c r="E414" s="41" t="s">
        <v>3483</v>
      </c>
      <c r="G414" s="56">
        <v>40717</v>
      </c>
    </row>
    <row r="415" spans="1:7" x14ac:dyDescent="0.2">
      <c r="A415" s="39">
        <v>40137</v>
      </c>
      <c r="B415" s="40" t="s">
        <v>2708</v>
      </c>
      <c r="C415" s="41">
        <v>40137</v>
      </c>
      <c r="D415" s="43">
        <v>5644</v>
      </c>
      <c r="E415" s="41" t="s">
        <v>3032</v>
      </c>
      <c r="G415" s="56">
        <v>40717</v>
      </c>
    </row>
    <row r="416" spans="1:7" x14ac:dyDescent="0.2">
      <c r="A416" s="39">
        <v>40147</v>
      </c>
      <c r="B416" s="40" t="s">
        <v>2020</v>
      </c>
      <c r="C416" s="41" t="s">
        <v>3963</v>
      </c>
      <c r="D416" s="43">
        <v>5647</v>
      </c>
      <c r="E416" s="41" t="s">
        <v>3032</v>
      </c>
      <c r="G416" s="56">
        <v>40717</v>
      </c>
    </row>
    <row r="417" spans="1:7" ht="24" x14ac:dyDescent="0.2">
      <c r="A417" s="39">
        <v>40147</v>
      </c>
      <c r="B417" s="40" t="s">
        <v>636</v>
      </c>
      <c r="C417" s="41" t="s">
        <v>3894</v>
      </c>
      <c r="D417" s="43">
        <v>5648</v>
      </c>
      <c r="E417" s="41" t="s">
        <v>3032</v>
      </c>
      <c r="G417" s="56">
        <v>40717</v>
      </c>
    </row>
    <row r="418" spans="1:7" x14ac:dyDescent="0.2">
      <c r="A418" s="39">
        <v>40147</v>
      </c>
      <c r="B418" s="40" t="s">
        <v>637</v>
      </c>
      <c r="C418" s="41" t="s">
        <v>3894</v>
      </c>
      <c r="D418" s="43">
        <v>5649</v>
      </c>
      <c r="E418" s="41" t="s">
        <v>3032</v>
      </c>
      <c r="G418" s="56">
        <v>40717</v>
      </c>
    </row>
    <row r="419" spans="1:7" x14ac:dyDescent="0.2">
      <c r="A419" s="39">
        <v>40155</v>
      </c>
      <c r="B419" s="40" t="s">
        <v>333</v>
      </c>
      <c r="C419" s="41" t="s">
        <v>2051</v>
      </c>
      <c r="D419" s="43">
        <v>5653</v>
      </c>
      <c r="E419" s="41" t="s">
        <v>3165</v>
      </c>
      <c r="G419" s="56">
        <v>40169</v>
      </c>
    </row>
    <row r="420" spans="1:7" x14ac:dyDescent="0.2">
      <c r="A420" s="39">
        <v>40155</v>
      </c>
      <c r="B420" s="40" t="s">
        <v>1454</v>
      </c>
      <c r="C420" s="41" t="s">
        <v>3963</v>
      </c>
      <c r="D420" s="43">
        <v>5655</v>
      </c>
      <c r="E420" s="41" t="s">
        <v>3482</v>
      </c>
      <c r="G420" s="56">
        <v>40182</v>
      </c>
    </row>
    <row r="421" spans="1:7" x14ac:dyDescent="0.2">
      <c r="A421" s="39">
        <v>40161</v>
      </c>
      <c r="B421" s="40" t="s">
        <v>4006</v>
      </c>
      <c r="C421" s="41" t="s">
        <v>3963</v>
      </c>
      <c r="D421" s="43">
        <v>5657</v>
      </c>
      <c r="E421" s="41" t="s">
        <v>3482</v>
      </c>
      <c r="G421" s="56">
        <v>40182</v>
      </c>
    </row>
    <row r="422" spans="1:7" ht="24" x14ac:dyDescent="0.2">
      <c r="A422" s="39">
        <v>40161</v>
      </c>
      <c r="B422" s="40" t="s">
        <v>1283</v>
      </c>
      <c r="C422" s="41" t="s">
        <v>3963</v>
      </c>
      <c r="D422" s="43">
        <v>5658</v>
      </c>
      <c r="E422" s="41" t="s">
        <v>3482</v>
      </c>
      <c r="G422" s="56">
        <v>40182</v>
      </c>
    </row>
    <row r="423" spans="1:7" x14ac:dyDescent="0.2">
      <c r="A423" s="39">
        <v>40161</v>
      </c>
      <c r="B423" s="40" t="s">
        <v>1225</v>
      </c>
      <c r="C423" s="41" t="s">
        <v>3963</v>
      </c>
      <c r="D423" s="43">
        <v>5659</v>
      </c>
      <c r="E423" s="41" t="s">
        <v>3482</v>
      </c>
      <c r="G423" s="56">
        <v>40182</v>
      </c>
    </row>
    <row r="424" spans="1:7" x14ac:dyDescent="0.2">
      <c r="A424" s="39">
        <v>40161</v>
      </c>
      <c r="B424" s="40" t="s">
        <v>399</v>
      </c>
      <c r="C424" s="41" t="s">
        <v>3963</v>
      </c>
      <c r="D424" s="43">
        <v>5660</v>
      </c>
      <c r="E424" s="41" t="s">
        <v>3482</v>
      </c>
      <c r="G424" s="56">
        <v>40182</v>
      </c>
    </row>
    <row r="425" spans="1:7" x14ac:dyDescent="0.2">
      <c r="A425" s="39">
        <v>40161</v>
      </c>
      <c r="B425" s="40" t="s">
        <v>3960</v>
      </c>
      <c r="C425" s="41" t="s">
        <v>3963</v>
      </c>
      <c r="D425" s="43">
        <v>5661</v>
      </c>
      <c r="E425" s="41" t="s">
        <v>3482</v>
      </c>
      <c r="G425" s="56">
        <v>40182</v>
      </c>
    </row>
    <row r="426" spans="1:7" x14ac:dyDescent="0.2">
      <c r="A426" s="39">
        <v>40164</v>
      </c>
      <c r="B426" s="40" t="s">
        <v>464</v>
      </c>
      <c r="C426" s="41" t="s">
        <v>3963</v>
      </c>
      <c r="D426" s="43">
        <v>5663</v>
      </c>
      <c r="E426" s="41" t="s">
        <v>3483</v>
      </c>
      <c r="G426" s="56">
        <v>40182</v>
      </c>
    </row>
    <row r="427" spans="1:7" x14ac:dyDescent="0.2">
      <c r="A427" s="39">
        <v>40164</v>
      </c>
      <c r="B427" s="40" t="s">
        <v>1531</v>
      </c>
      <c r="C427" s="41" t="s">
        <v>3894</v>
      </c>
      <c r="D427" s="43">
        <v>5664</v>
      </c>
      <c r="E427" s="41" t="s">
        <v>3483</v>
      </c>
      <c r="G427" s="56">
        <v>40182</v>
      </c>
    </row>
    <row r="428" spans="1:7" ht="24" x14ac:dyDescent="0.2">
      <c r="A428" s="39">
        <v>40189</v>
      </c>
      <c r="B428" s="40" t="s">
        <v>1636</v>
      </c>
      <c r="C428" s="41" t="s">
        <v>932</v>
      </c>
      <c r="D428" s="43">
        <v>5667</v>
      </c>
      <c r="G428" s="56">
        <v>40717</v>
      </c>
    </row>
    <row r="429" spans="1:7" x14ac:dyDescent="0.2">
      <c r="A429" s="39">
        <v>40207</v>
      </c>
      <c r="B429" s="40" t="s">
        <v>3530</v>
      </c>
      <c r="C429" s="41" t="s">
        <v>1841</v>
      </c>
      <c r="D429" s="43">
        <v>5681</v>
      </c>
      <c r="E429" s="41" t="s">
        <v>3162</v>
      </c>
      <c r="G429" s="56">
        <v>40210</v>
      </c>
    </row>
    <row r="430" spans="1:7" x14ac:dyDescent="0.2">
      <c r="A430" s="39">
        <v>40316</v>
      </c>
      <c r="B430" s="40" t="s">
        <v>34</v>
      </c>
      <c r="C430" s="41" t="s">
        <v>1507</v>
      </c>
      <c r="D430" s="43">
        <v>5782</v>
      </c>
      <c r="G430" s="56">
        <v>40436</v>
      </c>
    </row>
    <row r="431" spans="1:7" x14ac:dyDescent="0.2">
      <c r="A431" s="39">
        <v>40316</v>
      </c>
      <c r="B431" s="40" t="s">
        <v>2378</v>
      </c>
      <c r="C431" s="41" t="s">
        <v>2051</v>
      </c>
      <c r="D431" s="43">
        <v>5822</v>
      </c>
      <c r="G431" s="56">
        <v>40436</v>
      </c>
    </row>
    <row r="432" spans="1:7" x14ac:dyDescent="0.2">
      <c r="A432" s="39">
        <v>40329</v>
      </c>
      <c r="B432" s="40" t="s">
        <v>3949</v>
      </c>
      <c r="C432" s="41" t="s">
        <v>1841</v>
      </c>
      <c r="D432" s="43">
        <v>5828</v>
      </c>
      <c r="G432" s="56">
        <v>40717</v>
      </c>
    </row>
    <row r="433" spans="1:7" x14ac:dyDescent="0.2">
      <c r="A433" s="39">
        <v>40330</v>
      </c>
      <c r="B433" s="40" t="s">
        <v>2418</v>
      </c>
      <c r="C433" s="41" t="s">
        <v>1608</v>
      </c>
      <c r="D433" s="43">
        <v>5829</v>
      </c>
      <c r="G433" s="56">
        <v>40436</v>
      </c>
    </row>
    <row r="434" spans="1:7" ht="24" x14ac:dyDescent="0.2">
      <c r="A434" s="39">
        <v>40340</v>
      </c>
      <c r="B434" s="40" t="s">
        <v>2695</v>
      </c>
      <c r="C434" s="41" t="s">
        <v>2696</v>
      </c>
      <c r="D434" s="43">
        <v>5830</v>
      </c>
      <c r="G434" s="56">
        <v>40436</v>
      </c>
    </row>
    <row r="435" spans="1:7" x14ac:dyDescent="0.2">
      <c r="A435" s="39">
        <v>40360</v>
      </c>
      <c r="B435" s="40" t="s">
        <v>3271</v>
      </c>
      <c r="C435" s="41" t="s">
        <v>138</v>
      </c>
      <c r="D435" s="43">
        <v>5831</v>
      </c>
      <c r="G435" s="56">
        <v>40436</v>
      </c>
    </row>
    <row r="436" spans="1:7" x14ac:dyDescent="0.2">
      <c r="A436" s="39">
        <v>40358</v>
      </c>
      <c r="B436" s="40" t="s">
        <v>517</v>
      </c>
      <c r="C436" s="41" t="s">
        <v>3963</v>
      </c>
      <c r="D436" s="43">
        <v>5834</v>
      </c>
      <c r="G436" s="56">
        <v>40535</v>
      </c>
    </row>
    <row r="437" spans="1:7" ht="24" x14ac:dyDescent="0.2">
      <c r="A437" s="39">
        <v>40366</v>
      </c>
      <c r="B437" s="40" t="s">
        <v>2772</v>
      </c>
      <c r="C437" s="41" t="s">
        <v>3963</v>
      </c>
      <c r="D437" s="43">
        <v>5841</v>
      </c>
      <c r="G437" s="56">
        <v>40717</v>
      </c>
    </row>
    <row r="438" spans="1:7" x14ac:dyDescent="0.2">
      <c r="A438" s="39">
        <v>40366</v>
      </c>
      <c r="B438" s="40" t="s">
        <v>2773</v>
      </c>
      <c r="C438" s="41" t="s">
        <v>3963</v>
      </c>
      <c r="D438" s="43">
        <v>5843</v>
      </c>
      <c r="G438" s="56">
        <v>40535</v>
      </c>
    </row>
    <row r="439" spans="1:7" x14ac:dyDescent="0.2">
      <c r="A439" s="39">
        <v>40366</v>
      </c>
      <c r="B439" s="40" t="s">
        <v>60</v>
      </c>
      <c r="C439" s="41" t="s">
        <v>61</v>
      </c>
      <c r="D439" s="43">
        <v>5844</v>
      </c>
      <c r="G439" s="56">
        <v>40436</v>
      </c>
    </row>
    <row r="440" spans="1:7" x14ac:dyDescent="0.2">
      <c r="A440" s="39">
        <v>40371</v>
      </c>
      <c r="B440" s="40" t="s">
        <v>828</v>
      </c>
      <c r="C440" s="41" t="s">
        <v>1608</v>
      </c>
      <c r="D440" s="43">
        <v>5845</v>
      </c>
      <c r="G440" s="56">
        <v>40436</v>
      </c>
    </row>
    <row r="441" spans="1:7" x14ac:dyDescent="0.2">
      <c r="A441" s="39">
        <v>40369</v>
      </c>
      <c r="B441" s="40" t="s">
        <v>3695</v>
      </c>
      <c r="C441" s="41" t="s">
        <v>3894</v>
      </c>
      <c r="D441" s="43">
        <v>5846</v>
      </c>
      <c r="G441" s="56">
        <v>40535</v>
      </c>
    </row>
    <row r="442" spans="1:7" x14ac:dyDescent="0.2">
      <c r="A442" s="39">
        <v>40371</v>
      </c>
      <c r="B442" s="40" t="s">
        <v>2454</v>
      </c>
      <c r="C442" s="41" t="s">
        <v>1766</v>
      </c>
      <c r="D442" s="43">
        <v>5847</v>
      </c>
      <c r="G442" s="56">
        <v>40436</v>
      </c>
    </row>
    <row r="443" spans="1:7" x14ac:dyDescent="0.2">
      <c r="A443" s="39">
        <v>40241</v>
      </c>
      <c r="B443" s="40" t="s">
        <v>3939</v>
      </c>
      <c r="C443" s="41" t="s">
        <v>1841</v>
      </c>
      <c r="D443" s="43">
        <v>5871</v>
      </c>
      <c r="G443" s="56">
        <v>40721</v>
      </c>
    </row>
    <row r="444" spans="1:7" x14ac:dyDescent="0.2">
      <c r="A444" s="39">
        <v>40241</v>
      </c>
      <c r="B444" s="40" t="s">
        <v>2977</v>
      </c>
      <c r="C444" s="41" t="s">
        <v>3894</v>
      </c>
      <c r="D444" s="43">
        <v>5873</v>
      </c>
      <c r="G444" s="56">
        <v>40717</v>
      </c>
    </row>
    <row r="445" spans="1:7" x14ac:dyDescent="0.2">
      <c r="A445" s="39">
        <v>40255</v>
      </c>
      <c r="B445" s="40" t="s">
        <v>590</v>
      </c>
      <c r="C445" s="41" t="s">
        <v>3963</v>
      </c>
      <c r="D445" s="43">
        <v>5881</v>
      </c>
      <c r="E445" s="41" t="s">
        <v>3482</v>
      </c>
      <c r="G445" s="56">
        <v>40717</v>
      </c>
    </row>
    <row r="446" spans="1:7" ht="24" x14ac:dyDescent="0.2">
      <c r="A446" s="39">
        <v>40330</v>
      </c>
      <c r="B446" s="40" t="s">
        <v>1109</v>
      </c>
      <c r="C446" s="41" t="s">
        <v>1110</v>
      </c>
      <c r="D446" s="43">
        <v>5883</v>
      </c>
      <c r="G446" s="56">
        <v>40436</v>
      </c>
    </row>
    <row r="447" spans="1:7" x14ac:dyDescent="0.2">
      <c r="A447" s="39">
        <v>40272</v>
      </c>
      <c r="B447" s="40" t="s">
        <v>1040</v>
      </c>
      <c r="C447" s="41" t="s">
        <v>1841</v>
      </c>
      <c r="D447" s="43">
        <v>5887</v>
      </c>
      <c r="G447" s="56">
        <v>40710</v>
      </c>
    </row>
    <row r="448" spans="1:7" x14ac:dyDescent="0.2">
      <c r="A448" s="39">
        <v>40291</v>
      </c>
      <c r="B448" s="40" t="s">
        <v>1132</v>
      </c>
      <c r="C448" s="41" t="s">
        <v>1133</v>
      </c>
      <c r="D448" s="43">
        <v>5892</v>
      </c>
      <c r="G448" s="56">
        <v>40436</v>
      </c>
    </row>
    <row r="449" spans="1:7" x14ac:dyDescent="0.2">
      <c r="A449" s="39">
        <v>40296</v>
      </c>
      <c r="B449" s="40" t="s">
        <v>1135</v>
      </c>
      <c r="C449" s="41" t="s">
        <v>1134</v>
      </c>
      <c r="D449" s="43">
        <v>5898</v>
      </c>
      <c r="G449" s="56">
        <v>40436</v>
      </c>
    </row>
    <row r="450" spans="1:7" x14ac:dyDescent="0.2">
      <c r="A450" s="39">
        <v>40296</v>
      </c>
      <c r="B450" s="40" t="s">
        <v>1798</v>
      </c>
      <c r="C450" s="41" t="s">
        <v>3963</v>
      </c>
      <c r="D450" s="43">
        <v>5899</v>
      </c>
      <c r="G450" s="56">
        <v>40717</v>
      </c>
    </row>
    <row r="451" spans="1:7" x14ac:dyDescent="0.2">
      <c r="A451" s="39">
        <v>40301</v>
      </c>
      <c r="B451" s="40" t="s">
        <v>1607</v>
      </c>
      <c r="C451" s="41" t="s">
        <v>1608</v>
      </c>
      <c r="D451" s="43">
        <v>5901</v>
      </c>
      <c r="G451" s="56">
        <v>40436</v>
      </c>
    </row>
    <row r="452" spans="1:7" x14ac:dyDescent="0.2">
      <c r="A452" s="39">
        <v>40442</v>
      </c>
      <c r="B452" s="40" t="s">
        <v>13</v>
      </c>
      <c r="C452" s="41" t="s">
        <v>1842</v>
      </c>
      <c r="D452" s="43">
        <v>6450</v>
      </c>
      <c r="G452" s="56">
        <v>40717</v>
      </c>
    </row>
    <row r="453" spans="1:7" x14ac:dyDescent="0.2">
      <c r="A453" s="39">
        <v>40379</v>
      </c>
      <c r="B453" s="40" t="s">
        <v>2091</v>
      </c>
      <c r="C453" s="41" t="s">
        <v>1766</v>
      </c>
      <c r="D453" s="43">
        <v>6496</v>
      </c>
      <c r="G453" s="56">
        <v>40436</v>
      </c>
    </row>
    <row r="454" spans="1:7" x14ac:dyDescent="0.2">
      <c r="A454" s="39">
        <v>40382</v>
      </c>
      <c r="B454" s="40" t="s">
        <v>940</v>
      </c>
      <c r="C454" s="41" t="s">
        <v>3963</v>
      </c>
      <c r="D454" s="43">
        <v>6497</v>
      </c>
      <c r="G454" s="56">
        <v>40436</v>
      </c>
    </row>
    <row r="455" spans="1:7" x14ac:dyDescent="0.2">
      <c r="A455" s="39">
        <v>40385</v>
      </c>
      <c r="B455" s="40" t="s">
        <v>3273</v>
      </c>
      <c r="C455" s="41" t="s">
        <v>1841</v>
      </c>
      <c r="D455" s="43">
        <v>6499</v>
      </c>
      <c r="G455" s="56">
        <v>40717</v>
      </c>
    </row>
    <row r="456" spans="1:7" x14ac:dyDescent="0.2">
      <c r="A456" s="39">
        <v>40385</v>
      </c>
      <c r="B456" s="40" t="s">
        <v>137</v>
      </c>
      <c r="C456" s="41" t="s">
        <v>138</v>
      </c>
      <c r="D456" s="43">
        <v>6500</v>
      </c>
      <c r="G456" s="56">
        <v>40436</v>
      </c>
    </row>
    <row r="457" spans="1:7" x14ac:dyDescent="0.2">
      <c r="A457" s="39">
        <v>40385</v>
      </c>
      <c r="B457" s="40" t="s">
        <v>3274</v>
      </c>
      <c r="C457" s="41" t="s">
        <v>1841</v>
      </c>
      <c r="D457" s="43">
        <v>6501</v>
      </c>
      <c r="G457" s="56">
        <v>40717</v>
      </c>
    </row>
    <row r="458" spans="1:7" ht="24" x14ac:dyDescent="0.2">
      <c r="A458" s="39">
        <v>40385</v>
      </c>
      <c r="B458" s="40" t="s">
        <v>494</v>
      </c>
      <c r="C458" s="41" t="s">
        <v>1841</v>
      </c>
      <c r="D458" s="43">
        <v>6503</v>
      </c>
      <c r="G458" s="56">
        <v>40717</v>
      </c>
    </row>
    <row r="459" spans="1:7" x14ac:dyDescent="0.2">
      <c r="A459" s="39">
        <v>40385</v>
      </c>
      <c r="B459" s="40" t="s">
        <v>2675</v>
      </c>
      <c r="C459" s="41" t="s">
        <v>3963</v>
      </c>
      <c r="D459" s="43">
        <v>6506</v>
      </c>
      <c r="G459" s="56">
        <v>40535</v>
      </c>
    </row>
    <row r="460" spans="1:7" x14ac:dyDescent="0.2">
      <c r="A460" s="39">
        <v>40386</v>
      </c>
      <c r="B460" s="40" t="s">
        <v>266</v>
      </c>
      <c r="C460" s="41" t="s">
        <v>1766</v>
      </c>
      <c r="D460" s="43">
        <v>6513</v>
      </c>
      <c r="G460" s="56">
        <v>40436</v>
      </c>
    </row>
    <row r="461" spans="1:7" x14ac:dyDescent="0.2">
      <c r="A461" s="39">
        <v>40386</v>
      </c>
      <c r="B461" s="40" t="s">
        <v>3330</v>
      </c>
      <c r="C461" s="41" t="s">
        <v>3963</v>
      </c>
      <c r="D461" s="43">
        <v>6514</v>
      </c>
      <c r="G461" s="56">
        <v>40497</v>
      </c>
    </row>
    <row r="462" spans="1:7" x14ac:dyDescent="0.2">
      <c r="A462" s="39">
        <v>40386</v>
      </c>
      <c r="B462" s="40" t="s">
        <v>62</v>
      </c>
      <c r="C462" s="41" t="s">
        <v>1766</v>
      </c>
      <c r="D462" s="43">
        <v>6517</v>
      </c>
      <c r="G462" s="56">
        <v>40436</v>
      </c>
    </row>
    <row r="463" spans="1:7" x14ac:dyDescent="0.2">
      <c r="A463" s="39">
        <v>40386</v>
      </c>
      <c r="B463" s="40" t="s">
        <v>3769</v>
      </c>
      <c r="C463" s="41" t="s">
        <v>3770</v>
      </c>
      <c r="D463" s="43">
        <v>6520</v>
      </c>
      <c r="G463" s="56">
        <v>40436</v>
      </c>
    </row>
    <row r="464" spans="1:7" x14ac:dyDescent="0.2">
      <c r="A464" s="39">
        <v>40386</v>
      </c>
      <c r="B464" s="40" t="s">
        <v>2197</v>
      </c>
      <c r="C464" s="41" t="s">
        <v>2198</v>
      </c>
      <c r="D464" s="43">
        <v>6521</v>
      </c>
      <c r="G464" s="56">
        <v>40436</v>
      </c>
    </row>
    <row r="465" spans="1:7" x14ac:dyDescent="0.2">
      <c r="A465" s="39">
        <v>40387</v>
      </c>
      <c r="B465" s="40" t="s">
        <v>2196</v>
      </c>
      <c r="C465" s="41" t="s">
        <v>3963</v>
      </c>
      <c r="D465" s="43">
        <v>6523</v>
      </c>
      <c r="G465" s="56">
        <v>40436</v>
      </c>
    </row>
    <row r="466" spans="1:7" x14ac:dyDescent="0.2">
      <c r="A466" s="39">
        <v>40392</v>
      </c>
      <c r="B466" s="40" t="s">
        <v>1826</v>
      </c>
      <c r="C466" s="41" t="s">
        <v>2050</v>
      </c>
      <c r="D466" s="43">
        <v>6525</v>
      </c>
      <c r="E466" s="41" t="s">
        <v>1827</v>
      </c>
      <c r="G466" s="56">
        <v>40535</v>
      </c>
    </row>
    <row r="467" spans="1:7" x14ac:dyDescent="0.2">
      <c r="A467" s="39">
        <v>40392</v>
      </c>
      <c r="B467" s="40" t="s">
        <v>3606</v>
      </c>
      <c r="C467" s="41" t="s">
        <v>932</v>
      </c>
      <c r="D467" s="43">
        <v>6526</v>
      </c>
      <c r="G467" s="56">
        <v>40437</v>
      </c>
    </row>
    <row r="468" spans="1:7" x14ac:dyDescent="0.2">
      <c r="A468" s="39">
        <v>40442</v>
      </c>
      <c r="B468" s="40" t="s">
        <v>3470</v>
      </c>
      <c r="D468" s="43">
        <v>6537</v>
      </c>
      <c r="G468" s="56">
        <v>40535</v>
      </c>
    </row>
    <row r="469" spans="1:7" x14ac:dyDescent="0.2">
      <c r="A469" s="39">
        <v>40442</v>
      </c>
      <c r="B469" s="40" t="s">
        <v>4001</v>
      </c>
      <c r="C469" s="41" t="s">
        <v>1841</v>
      </c>
      <c r="D469" s="43">
        <v>6538</v>
      </c>
      <c r="G469" s="56">
        <v>40497</v>
      </c>
    </row>
    <row r="470" spans="1:7" x14ac:dyDescent="0.2">
      <c r="A470" s="39">
        <v>40463</v>
      </c>
      <c r="B470" s="40" t="s">
        <v>1999</v>
      </c>
      <c r="D470" s="43">
        <v>6544</v>
      </c>
      <c r="G470" s="56">
        <v>40535</v>
      </c>
    </row>
    <row r="471" spans="1:7" x14ac:dyDescent="0.2">
      <c r="A471" s="39">
        <v>40473</v>
      </c>
      <c r="B471" s="40" t="s">
        <v>510</v>
      </c>
      <c r="C471" s="41" t="s">
        <v>2050</v>
      </c>
      <c r="D471" s="43">
        <v>6551</v>
      </c>
      <c r="E471" s="41" t="s">
        <v>3482</v>
      </c>
      <c r="G471" s="56">
        <v>40497</v>
      </c>
    </row>
    <row r="472" spans="1:7" x14ac:dyDescent="0.2">
      <c r="A472" s="39">
        <v>40473</v>
      </c>
      <c r="B472" s="40" t="s">
        <v>23</v>
      </c>
      <c r="C472" s="41" t="s">
        <v>2050</v>
      </c>
      <c r="D472" s="43">
        <v>6553</v>
      </c>
      <c r="E472" s="41" t="s">
        <v>3837</v>
      </c>
      <c r="G472" s="56">
        <v>40717</v>
      </c>
    </row>
    <row r="473" spans="1:7" x14ac:dyDescent="0.2">
      <c r="A473" s="39">
        <v>40473</v>
      </c>
      <c r="B473" s="40" t="s">
        <v>1580</v>
      </c>
      <c r="C473" s="41" t="s">
        <v>2050</v>
      </c>
      <c r="D473" s="43">
        <v>6554</v>
      </c>
      <c r="E473" s="41" t="s">
        <v>3162</v>
      </c>
      <c r="G473" s="56">
        <v>40717</v>
      </c>
    </row>
    <row r="474" spans="1:7" x14ac:dyDescent="0.2">
      <c r="A474" s="39">
        <v>40477</v>
      </c>
      <c r="B474" s="40" t="s">
        <v>1905</v>
      </c>
      <c r="C474" s="41" t="s">
        <v>2050</v>
      </c>
      <c r="D474" s="43">
        <v>6555</v>
      </c>
      <c r="E474" s="41" t="s">
        <v>3482</v>
      </c>
      <c r="G474" s="56">
        <v>40497</v>
      </c>
    </row>
    <row r="475" spans="1:7" x14ac:dyDescent="0.2">
      <c r="A475" s="39">
        <v>40646</v>
      </c>
      <c r="B475" s="40" t="s">
        <v>895</v>
      </c>
      <c r="C475" s="41" t="s">
        <v>896</v>
      </c>
      <c r="D475" s="43">
        <v>7218</v>
      </c>
      <c r="E475" s="41" t="s">
        <v>2494</v>
      </c>
      <c r="F475" s="41">
        <v>1</v>
      </c>
      <c r="G475" s="56">
        <v>40676</v>
      </c>
    </row>
    <row r="476" spans="1:7" x14ac:dyDescent="0.2">
      <c r="A476" s="39">
        <v>40711</v>
      </c>
      <c r="B476" s="40" t="s">
        <v>2541</v>
      </c>
      <c r="C476" s="41" t="s">
        <v>3894</v>
      </c>
      <c r="D476" s="43">
        <v>7663</v>
      </c>
      <c r="E476" s="41" t="s">
        <v>3837</v>
      </c>
      <c r="G476" s="56">
        <v>40717</v>
      </c>
    </row>
    <row r="477" spans="1:7" x14ac:dyDescent="0.2">
      <c r="A477" s="39">
        <v>40700</v>
      </c>
      <c r="B477" s="40" t="s">
        <v>3449</v>
      </c>
      <c r="C477" s="41" t="s">
        <v>2050</v>
      </c>
      <c r="D477" s="43">
        <v>7685</v>
      </c>
      <c r="E477" s="41" t="s">
        <v>2494</v>
      </c>
      <c r="F477" s="41" t="s">
        <v>3942</v>
      </c>
      <c r="G477" s="56">
        <v>40717</v>
      </c>
    </row>
    <row r="478" spans="1:7" x14ac:dyDescent="0.2">
      <c r="A478" s="39">
        <v>40711</v>
      </c>
      <c r="B478" s="40" t="s">
        <v>2540</v>
      </c>
      <c r="C478" s="41" t="s">
        <v>2050</v>
      </c>
      <c r="D478" s="43">
        <v>7687</v>
      </c>
      <c r="E478" s="41" t="s">
        <v>2494</v>
      </c>
      <c r="G478" s="56">
        <v>40717</v>
      </c>
    </row>
    <row r="479" spans="1:7" x14ac:dyDescent="0.2">
      <c r="A479" s="39">
        <v>40591</v>
      </c>
      <c r="B479" s="40" t="s">
        <v>171</v>
      </c>
      <c r="C479" s="41" t="s">
        <v>2180</v>
      </c>
      <c r="D479" s="43">
        <v>7707</v>
      </c>
      <c r="E479" s="41" t="s">
        <v>2494</v>
      </c>
      <c r="G479" s="56">
        <v>40717</v>
      </c>
    </row>
    <row r="480" spans="1:7" x14ac:dyDescent="0.2">
      <c r="A480" s="39">
        <v>40588</v>
      </c>
      <c r="B480" s="40" t="s">
        <v>3996</v>
      </c>
      <c r="C480" s="41" t="s">
        <v>3963</v>
      </c>
      <c r="D480" s="43">
        <v>7709</v>
      </c>
      <c r="E480" s="41" t="s">
        <v>3482</v>
      </c>
      <c r="G480" s="56">
        <v>40717</v>
      </c>
    </row>
    <row r="481" spans="1:7" x14ac:dyDescent="0.2">
      <c r="A481" s="39">
        <v>40620</v>
      </c>
      <c r="B481" s="40" t="s">
        <v>619</v>
      </c>
      <c r="C481" s="41" t="s">
        <v>2696</v>
      </c>
      <c r="D481" s="43">
        <v>7713</v>
      </c>
      <c r="E481" s="41" t="s">
        <v>3483</v>
      </c>
      <c r="F481" s="41">
        <v>1</v>
      </c>
      <c r="G481" s="56">
        <v>40721</v>
      </c>
    </row>
    <row r="482" spans="1:7" x14ac:dyDescent="0.2">
      <c r="A482" s="39">
        <v>40610</v>
      </c>
      <c r="B482" s="40" t="s">
        <v>3995</v>
      </c>
      <c r="C482" s="41" t="s">
        <v>1841</v>
      </c>
      <c r="D482" s="43">
        <v>7715</v>
      </c>
      <c r="E482" s="41" t="s">
        <v>2494</v>
      </c>
      <c r="G482" s="56">
        <v>40625</v>
      </c>
    </row>
    <row r="483" spans="1:7" x14ac:dyDescent="0.2">
      <c r="A483" s="39">
        <v>40620</v>
      </c>
      <c r="B483" s="40" t="s">
        <v>211</v>
      </c>
      <c r="C483" s="41" t="s">
        <v>1766</v>
      </c>
      <c r="D483" s="43">
        <v>7716</v>
      </c>
      <c r="E483" s="41" t="s">
        <v>3483</v>
      </c>
      <c r="G483" s="56">
        <v>40717</v>
      </c>
    </row>
    <row r="484" spans="1:7" x14ac:dyDescent="0.2">
      <c r="A484" s="39">
        <v>40620</v>
      </c>
      <c r="B484" s="40" t="s">
        <v>1182</v>
      </c>
      <c r="C484" s="41" t="s">
        <v>1183</v>
      </c>
      <c r="D484" s="43">
        <v>7719</v>
      </c>
      <c r="E484" s="41" t="s">
        <v>3175</v>
      </c>
      <c r="F484" s="41">
        <v>1</v>
      </c>
      <c r="G484" s="56">
        <v>40717</v>
      </c>
    </row>
    <row r="485" spans="1:7" x14ac:dyDescent="0.2">
      <c r="A485" s="39">
        <v>40638</v>
      </c>
      <c r="B485" s="40" t="s">
        <v>2253</v>
      </c>
      <c r="C485" s="41" t="s">
        <v>3963</v>
      </c>
      <c r="D485" s="43">
        <v>7721</v>
      </c>
      <c r="E485" s="41" t="s">
        <v>3482</v>
      </c>
      <c r="G485" s="56">
        <v>40689</v>
      </c>
    </row>
    <row r="486" spans="1:7" x14ac:dyDescent="0.2">
      <c r="A486" s="39">
        <v>40645</v>
      </c>
      <c r="B486" s="40" t="s">
        <v>2025</v>
      </c>
      <c r="C486" s="41" t="s">
        <v>1841</v>
      </c>
      <c r="D486" s="43">
        <v>7725</v>
      </c>
      <c r="E486" s="41" t="s">
        <v>3482</v>
      </c>
      <c r="G486" s="56">
        <v>40717</v>
      </c>
    </row>
    <row r="487" spans="1:7" ht="24" x14ac:dyDescent="0.2">
      <c r="A487" s="39">
        <v>40648</v>
      </c>
      <c r="B487" s="40" t="s">
        <v>2557</v>
      </c>
      <c r="C487" s="41" t="s">
        <v>1766</v>
      </c>
      <c r="D487" s="43">
        <v>7738</v>
      </c>
      <c r="E487" s="41" t="s">
        <v>3837</v>
      </c>
      <c r="F487" s="41">
        <v>1</v>
      </c>
      <c r="G487" s="56">
        <v>40717</v>
      </c>
    </row>
    <row r="488" spans="1:7" ht="24" x14ac:dyDescent="0.2">
      <c r="A488" s="39">
        <v>40700</v>
      </c>
      <c r="B488" s="40" t="s">
        <v>3448</v>
      </c>
      <c r="C488" s="41" t="s">
        <v>2050</v>
      </c>
      <c r="D488" s="43">
        <v>7746</v>
      </c>
      <c r="E488" s="41" t="s">
        <v>2494</v>
      </c>
      <c r="F488" s="41" t="s">
        <v>3942</v>
      </c>
      <c r="G488" s="56">
        <v>40717</v>
      </c>
    </row>
    <row r="489" spans="1:7" x14ac:dyDescent="0.2">
      <c r="A489" s="39">
        <v>40700</v>
      </c>
      <c r="B489" s="40" t="s">
        <v>3442</v>
      </c>
      <c r="C489" s="41" t="s">
        <v>2050</v>
      </c>
      <c r="D489" s="43">
        <v>7749</v>
      </c>
      <c r="E489" s="41" t="s">
        <v>2494</v>
      </c>
      <c r="F489" s="41" t="s">
        <v>3942</v>
      </c>
      <c r="G489" s="56">
        <v>40717</v>
      </c>
    </row>
    <row r="490" spans="1:7" x14ac:dyDescent="0.2">
      <c r="A490" s="39">
        <v>40688</v>
      </c>
      <c r="B490" s="40" t="s">
        <v>516</v>
      </c>
      <c r="C490" s="41" t="s">
        <v>3254</v>
      </c>
      <c r="D490" s="43">
        <v>7861</v>
      </c>
      <c r="E490" s="41" t="s">
        <v>2494</v>
      </c>
      <c r="G490" s="56">
        <v>40717</v>
      </c>
    </row>
    <row r="491" spans="1:7" x14ac:dyDescent="0.2">
      <c r="A491" s="39">
        <v>39132</v>
      </c>
      <c r="B491" s="40" t="s">
        <v>3779</v>
      </c>
      <c r="D491" s="43" t="s">
        <v>3145</v>
      </c>
      <c r="E491" s="41" t="s">
        <v>3175</v>
      </c>
    </row>
    <row r="492" spans="1:7" x14ac:dyDescent="0.2">
      <c r="A492" s="39">
        <v>40749</v>
      </c>
      <c r="B492" s="40" t="s">
        <v>1255</v>
      </c>
      <c r="C492" s="41" t="s">
        <v>3963</v>
      </c>
      <c r="D492" s="43">
        <v>7665</v>
      </c>
      <c r="E492" s="41" t="s">
        <v>3175</v>
      </c>
      <c r="G492" s="56">
        <v>40821</v>
      </c>
    </row>
    <row r="493" spans="1:7" x14ac:dyDescent="0.2">
      <c r="A493" s="39">
        <v>40746</v>
      </c>
      <c r="B493" s="40" t="s">
        <v>3680</v>
      </c>
      <c r="C493" s="41" t="s">
        <v>932</v>
      </c>
      <c r="D493" s="43">
        <v>7689</v>
      </c>
      <c r="F493" s="41">
        <v>1</v>
      </c>
      <c r="G493" s="56">
        <v>40821</v>
      </c>
    </row>
    <row r="494" spans="1:7" x14ac:dyDescent="0.2">
      <c r="A494" s="39">
        <v>40724</v>
      </c>
      <c r="B494" s="40" t="s">
        <v>4014</v>
      </c>
      <c r="C494" s="41" t="s">
        <v>3894</v>
      </c>
      <c r="D494" s="43">
        <v>7664</v>
      </c>
      <c r="E494" s="41" t="s">
        <v>3032</v>
      </c>
      <c r="G494" s="56">
        <v>40821</v>
      </c>
    </row>
    <row r="495" spans="1:7" x14ac:dyDescent="0.2">
      <c r="A495" s="39">
        <v>40620</v>
      </c>
      <c r="B495" s="40" t="s">
        <v>620</v>
      </c>
      <c r="C495" s="41" t="s">
        <v>1608</v>
      </c>
      <c r="D495" s="43">
        <v>7726</v>
      </c>
      <c r="E495" s="41" t="s">
        <v>774</v>
      </c>
      <c r="F495" s="41">
        <v>1</v>
      </c>
      <c r="G495" s="56">
        <v>40827</v>
      </c>
    </row>
    <row r="496" spans="1:7" x14ac:dyDescent="0.2">
      <c r="A496" s="39">
        <v>40646</v>
      </c>
      <c r="B496" s="40" t="s">
        <v>1302</v>
      </c>
      <c r="C496" s="41" t="s">
        <v>3963</v>
      </c>
      <c r="D496" s="43">
        <v>7737</v>
      </c>
      <c r="E496" s="41" t="s">
        <v>3162</v>
      </c>
      <c r="F496" s="41" t="s">
        <v>584</v>
      </c>
      <c r="G496" s="56">
        <v>40827</v>
      </c>
    </row>
    <row r="497" spans="1:7" x14ac:dyDescent="0.2">
      <c r="A497" s="39">
        <v>40710</v>
      </c>
      <c r="B497" s="40" t="s">
        <v>3681</v>
      </c>
      <c r="C497" s="41" t="s">
        <v>3963</v>
      </c>
      <c r="D497" s="43">
        <v>7688</v>
      </c>
      <c r="E497" s="41" t="s">
        <v>3482</v>
      </c>
      <c r="F497" s="41">
        <v>1</v>
      </c>
      <c r="G497" s="56">
        <v>40827</v>
      </c>
    </row>
    <row r="498" spans="1:7" x14ac:dyDescent="0.2">
      <c r="A498" s="39">
        <v>40799</v>
      </c>
      <c r="B498" s="40" t="s">
        <v>603</v>
      </c>
      <c r="C498" s="41" t="s">
        <v>607</v>
      </c>
      <c r="D498" s="43">
        <v>7760</v>
      </c>
      <c r="E498" s="41" t="s">
        <v>196</v>
      </c>
      <c r="F498" s="41">
        <v>1</v>
      </c>
      <c r="G498" s="56">
        <v>40827</v>
      </c>
    </row>
    <row r="499" spans="1:7" x14ac:dyDescent="0.2">
      <c r="A499" s="39">
        <v>40799</v>
      </c>
      <c r="B499" s="40" t="s">
        <v>221</v>
      </c>
      <c r="C499" s="41" t="s">
        <v>604</v>
      </c>
      <c r="D499" s="43">
        <v>7582</v>
      </c>
      <c r="E499" s="41" t="s">
        <v>196</v>
      </c>
      <c r="F499" s="41">
        <v>1</v>
      </c>
      <c r="G499" s="56">
        <v>40827</v>
      </c>
    </row>
    <row r="500" spans="1:7" x14ac:dyDescent="0.2">
      <c r="A500" s="39">
        <v>40799</v>
      </c>
      <c r="B500" s="40" t="s">
        <v>2664</v>
      </c>
      <c r="C500" s="41" t="s">
        <v>604</v>
      </c>
      <c r="D500" s="43">
        <v>7560</v>
      </c>
      <c r="E500" s="41" t="s">
        <v>2177</v>
      </c>
      <c r="F500" s="41">
        <v>1</v>
      </c>
      <c r="G500" s="56">
        <v>40827</v>
      </c>
    </row>
    <row r="501" spans="1:7" x14ac:dyDescent="0.2">
      <c r="A501" s="39">
        <v>40386</v>
      </c>
      <c r="B501" s="40" t="s">
        <v>4000</v>
      </c>
      <c r="C501" s="41" t="s">
        <v>1842</v>
      </c>
      <c r="D501" s="43">
        <v>6522</v>
      </c>
      <c r="F501" s="41">
        <v>5</v>
      </c>
      <c r="G501" s="56">
        <v>40830</v>
      </c>
    </row>
    <row r="502" spans="1:7" x14ac:dyDescent="0.2">
      <c r="A502" s="39">
        <v>40827</v>
      </c>
      <c r="B502" s="40" t="s">
        <v>1101</v>
      </c>
      <c r="C502" s="41" t="s">
        <v>896</v>
      </c>
      <c r="D502" s="43">
        <v>7675</v>
      </c>
      <c r="F502" s="41">
        <v>1</v>
      </c>
      <c r="G502" s="56">
        <v>40842</v>
      </c>
    </row>
    <row r="503" spans="1:7" x14ac:dyDescent="0.2">
      <c r="A503" s="39">
        <v>40060</v>
      </c>
      <c r="B503" s="40" t="s">
        <v>1931</v>
      </c>
      <c r="C503" s="41" t="s">
        <v>3894</v>
      </c>
      <c r="D503" s="43">
        <v>5499</v>
      </c>
      <c r="E503" s="41" t="s">
        <v>1021</v>
      </c>
      <c r="F503" s="41">
        <v>2</v>
      </c>
      <c r="G503" s="56">
        <v>40842</v>
      </c>
    </row>
    <row r="504" spans="1:7" ht="24" x14ac:dyDescent="0.2">
      <c r="A504" s="39">
        <v>40442</v>
      </c>
      <c r="B504" s="40" t="s">
        <v>849</v>
      </c>
      <c r="C504" s="41" t="s">
        <v>1841</v>
      </c>
      <c r="D504" s="43">
        <v>6541</v>
      </c>
      <c r="E504" s="41" t="s">
        <v>850</v>
      </c>
      <c r="F504" s="41">
        <v>5</v>
      </c>
      <c r="G504" s="56">
        <v>40842</v>
      </c>
    </row>
    <row r="505" spans="1:7" x14ac:dyDescent="0.2">
      <c r="A505" s="39">
        <v>40690</v>
      </c>
      <c r="B505" s="40" t="s">
        <v>3438</v>
      </c>
      <c r="C505" s="41" t="s">
        <v>1841</v>
      </c>
      <c r="D505" s="43">
        <v>7747</v>
      </c>
      <c r="E505" s="41" t="s">
        <v>850</v>
      </c>
      <c r="F505" s="41">
        <v>1</v>
      </c>
      <c r="G505" s="56">
        <v>40842</v>
      </c>
    </row>
    <row r="506" spans="1:7" x14ac:dyDescent="0.2">
      <c r="A506" s="39">
        <v>40799</v>
      </c>
      <c r="B506" s="40" t="s">
        <v>606</v>
      </c>
      <c r="C506" s="41" t="s">
        <v>607</v>
      </c>
      <c r="D506" s="43">
        <v>7762</v>
      </c>
      <c r="E506" s="41" t="s">
        <v>196</v>
      </c>
      <c r="F506" s="41">
        <v>1</v>
      </c>
      <c r="G506" s="56">
        <v>40854</v>
      </c>
    </row>
    <row r="507" spans="1:7" x14ac:dyDescent="0.2">
      <c r="A507" s="39">
        <v>40799</v>
      </c>
      <c r="B507" s="40" t="s">
        <v>608</v>
      </c>
      <c r="C507" s="41" t="s">
        <v>604</v>
      </c>
      <c r="D507" s="43">
        <v>7584</v>
      </c>
      <c r="E507" s="41" t="s">
        <v>196</v>
      </c>
      <c r="F507" s="41">
        <v>1</v>
      </c>
      <c r="G507" s="56">
        <v>40854</v>
      </c>
    </row>
    <row r="508" spans="1:7" ht="24" x14ac:dyDescent="0.2">
      <c r="A508" s="39">
        <v>40799</v>
      </c>
      <c r="B508" s="40" t="s">
        <v>3078</v>
      </c>
      <c r="C508" s="41" t="s">
        <v>604</v>
      </c>
      <c r="D508" s="43">
        <v>7583</v>
      </c>
      <c r="E508" s="41" t="s">
        <v>196</v>
      </c>
      <c r="F508" s="41">
        <v>1</v>
      </c>
      <c r="G508" s="56">
        <v>40854</v>
      </c>
    </row>
    <row r="509" spans="1:7" x14ac:dyDescent="0.2">
      <c r="A509" s="39">
        <v>40385</v>
      </c>
      <c r="B509" s="40" t="s">
        <v>3444</v>
      </c>
      <c r="C509" s="41" t="s">
        <v>3963</v>
      </c>
      <c r="D509" s="43">
        <v>6507</v>
      </c>
      <c r="F509" s="41">
        <v>4</v>
      </c>
      <c r="G509" s="56">
        <v>40861</v>
      </c>
    </row>
    <row r="510" spans="1:7" x14ac:dyDescent="0.2">
      <c r="A510" s="39">
        <v>40799</v>
      </c>
      <c r="B510" s="40" t="s">
        <v>2176</v>
      </c>
      <c r="C510" s="41" t="s">
        <v>932</v>
      </c>
      <c r="D510" s="43">
        <v>7669</v>
      </c>
      <c r="F510" s="41">
        <v>1</v>
      </c>
      <c r="G510" s="56">
        <v>40861</v>
      </c>
    </row>
    <row r="511" spans="1:7" ht="24" x14ac:dyDescent="0.2">
      <c r="A511" s="39">
        <v>40820</v>
      </c>
      <c r="B511" s="40" t="s">
        <v>2029</v>
      </c>
      <c r="C511" s="41" t="s">
        <v>932</v>
      </c>
      <c r="D511" s="43">
        <v>7671</v>
      </c>
      <c r="G511" s="56">
        <v>40868</v>
      </c>
    </row>
    <row r="512" spans="1:7" x14ac:dyDescent="0.2">
      <c r="A512" s="39">
        <v>40779</v>
      </c>
      <c r="B512" s="40" t="s">
        <v>257</v>
      </c>
      <c r="C512" s="41" t="s">
        <v>258</v>
      </c>
      <c r="D512" s="43">
        <v>7326</v>
      </c>
      <c r="F512" s="41">
        <v>1</v>
      </c>
      <c r="G512" s="56">
        <v>40868</v>
      </c>
    </row>
    <row r="513" spans="1:7" x14ac:dyDescent="0.2">
      <c r="A513" s="39">
        <v>40385</v>
      </c>
      <c r="B513" s="40" t="s">
        <v>16</v>
      </c>
      <c r="C513" s="41" t="s">
        <v>1841</v>
      </c>
      <c r="D513" s="43">
        <v>6505</v>
      </c>
      <c r="E513" s="41" t="s">
        <v>17</v>
      </c>
      <c r="F513" s="41">
        <v>3</v>
      </c>
      <c r="G513" s="56">
        <v>40868</v>
      </c>
    </row>
    <row r="514" spans="1:7" x14ac:dyDescent="0.2">
      <c r="A514" s="39">
        <v>40805</v>
      </c>
      <c r="B514" s="40" t="s">
        <v>1062</v>
      </c>
      <c r="C514" s="41" t="s">
        <v>2364</v>
      </c>
      <c r="D514" s="43">
        <v>7666</v>
      </c>
      <c r="F514" s="41">
        <v>1</v>
      </c>
      <c r="G514" s="56">
        <v>40868</v>
      </c>
    </row>
    <row r="515" spans="1:7" ht="24" x14ac:dyDescent="0.2">
      <c r="A515" s="39">
        <v>40861</v>
      </c>
      <c r="B515" s="40" t="s">
        <v>1418</v>
      </c>
      <c r="C515" s="41" t="s">
        <v>2696</v>
      </c>
      <c r="D515" s="43">
        <v>7676</v>
      </c>
      <c r="E515" s="41" t="s">
        <v>3613</v>
      </c>
      <c r="G515" s="56">
        <v>40868</v>
      </c>
    </row>
    <row r="516" spans="1:7" x14ac:dyDescent="0.2">
      <c r="A516" s="39">
        <v>40241</v>
      </c>
      <c r="B516" s="40" t="s">
        <v>2976</v>
      </c>
      <c r="C516" s="41" t="s">
        <v>1841</v>
      </c>
      <c r="D516" s="43">
        <v>5870</v>
      </c>
      <c r="G516" s="56">
        <v>40868</v>
      </c>
    </row>
    <row r="517" spans="1:7" x14ac:dyDescent="0.2">
      <c r="A517" s="39">
        <v>40799</v>
      </c>
      <c r="B517" s="40" t="s">
        <v>220</v>
      </c>
      <c r="C517" s="41" t="s">
        <v>604</v>
      </c>
      <c r="D517" s="43">
        <v>7566</v>
      </c>
      <c r="E517" s="41" t="s">
        <v>196</v>
      </c>
      <c r="F517" s="41">
        <v>1</v>
      </c>
      <c r="G517" s="56">
        <v>40876</v>
      </c>
    </row>
    <row r="518" spans="1:7" x14ac:dyDescent="0.2">
      <c r="A518" s="39">
        <v>40700</v>
      </c>
      <c r="B518" s="40" t="s">
        <v>344</v>
      </c>
      <c r="C518" s="41" t="s">
        <v>3963</v>
      </c>
      <c r="D518" s="43">
        <v>7686</v>
      </c>
      <c r="E518" s="41" t="s">
        <v>3482</v>
      </c>
      <c r="F518" s="41">
        <v>2</v>
      </c>
      <c r="G518" s="56">
        <v>40882</v>
      </c>
    </row>
    <row r="519" spans="1:7" x14ac:dyDescent="0.2">
      <c r="A519" s="39">
        <v>40870</v>
      </c>
      <c r="B519" s="40" t="s">
        <v>68</v>
      </c>
      <c r="C519" s="41" t="s">
        <v>3722</v>
      </c>
      <c r="D519" s="43">
        <v>7658</v>
      </c>
      <c r="G519" s="56">
        <v>40882</v>
      </c>
    </row>
    <row r="520" spans="1:7" x14ac:dyDescent="0.2">
      <c r="A520" s="39">
        <v>40588</v>
      </c>
      <c r="B520" s="40" t="s">
        <v>3377</v>
      </c>
      <c r="C520" s="41" t="s">
        <v>3894</v>
      </c>
      <c r="D520" s="43">
        <v>5863</v>
      </c>
      <c r="F520" s="41">
        <v>5</v>
      </c>
      <c r="G520" s="56">
        <v>40882</v>
      </c>
    </row>
    <row r="521" spans="1:7" ht="24" x14ac:dyDescent="0.2">
      <c r="A521" s="39">
        <v>40870</v>
      </c>
      <c r="B521" s="40" t="s">
        <v>3227</v>
      </c>
      <c r="C521" s="41" t="s">
        <v>3722</v>
      </c>
      <c r="D521" s="43">
        <v>7657</v>
      </c>
      <c r="G521" s="56">
        <v>40882</v>
      </c>
    </row>
    <row r="522" spans="1:7" x14ac:dyDescent="0.2">
      <c r="A522" s="39">
        <v>40186</v>
      </c>
      <c r="B522" s="40" t="s">
        <v>891</v>
      </c>
      <c r="C522" s="41" t="s">
        <v>932</v>
      </c>
      <c r="D522" s="43">
        <v>5665</v>
      </c>
      <c r="E522" s="41" t="s">
        <v>3479</v>
      </c>
      <c r="F522" s="41" t="s">
        <v>2398</v>
      </c>
      <c r="G522" s="56">
        <v>40918</v>
      </c>
    </row>
    <row r="523" spans="1:7" x14ac:dyDescent="0.2">
      <c r="A523" s="39">
        <v>40861</v>
      </c>
      <c r="B523" s="40" t="s">
        <v>377</v>
      </c>
      <c r="C523" s="41" t="s">
        <v>932</v>
      </c>
      <c r="D523" s="43">
        <v>7673</v>
      </c>
      <c r="F523" s="41">
        <v>1</v>
      </c>
      <c r="G523" s="56">
        <v>40932</v>
      </c>
    </row>
    <row r="524" spans="1:7" x14ac:dyDescent="0.2">
      <c r="A524" s="39">
        <v>40868</v>
      </c>
      <c r="B524" s="40" t="s">
        <v>865</v>
      </c>
      <c r="C524" s="41" t="s">
        <v>1841</v>
      </c>
      <c r="D524" s="43">
        <v>7677</v>
      </c>
      <c r="E524" s="41" t="s">
        <v>864</v>
      </c>
      <c r="F524" s="41">
        <v>1</v>
      </c>
      <c r="G524" s="56">
        <v>40960</v>
      </c>
    </row>
    <row r="525" spans="1:7" x14ac:dyDescent="0.2">
      <c r="A525" s="39">
        <v>40805</v>
      </c>
      <c r="B525" s="40" t="s">
        <v>2363</v>
      </c>
      <c r="C525" s="41" t="s">
        <v>258</v>
      </c>
      <c r="D525" s="43">
        <v>7670</v>
      </c>
      <c r="F525" s="41">
        <v>1</v>
      </c>
      <c r="G525" s="56">
        <v>40960</v>
      </c>
    </row>
    <row r="526" spans="1:7" x14ac:dyDescent="0.2">
      <c r="A526" s="39">
        <v>40890</v>
      </c>
      <c r="B526" s="40" t="s">
        <v>1810</v>
      </c>
      <c r="C526" s="41" t="s">
        <v>2696</v>
      </c>
      <c r="D526" s="43">
        <v>7659</v>
      </c>
      <c r="G526" s="56">
        <v>40960</v>
      </c>
    </row>
    <row r="527" spans="1:7" x14ac:dyDescent="0.2">
      <c r="A527" s="39">
        <v>40787</v>
      </c>
      <c r="B527" s="40" t="s">
        <v>3966</v>
      </c>
      <c r="C527" s="41" t="s">
        <v>258</v>
      </c>
      <c r="D527" s="43">
        <v>7329</v>
      </c>
      <c r="F527" s="41">
        <v>2</v>
      </c>
      <c r="G527" s="56">
        <v>40960</v>
      </c>
    </row>
    <row r="528" spans="1:7" x14ac:dyDescent="0.2">
      <c r="A528" s="39">
        <v>40513</v>
      </c>
      <c r="B528" s="40" t="s">
        <v>2799</v>
      </c>
      <c r="C528" s="41" t="s">
        <v>2050</v>
      </c>
      <c r="D528" s="43">
        <v>6565</v>
      </c>
      <c r="E528" s="41" t="s">
        <v>3597</v>
      </c>
      <c r="F528" s="41">
        <v>4</v>
      </c>
      <c r="G528" s="56">
        <v>40960</v>
      </c>
    </row>
    <row r="529" spans="1:7" x14ac:dyDescent="0.2">
      <c r="A529" s="39">
        <v>40463</v>
      </c>
      <c r="B529" s="40" t="s">
        <v>346</v>
      </c>
      <c r="C529" s="41" t="s">
        <v>3894</v>
      </c>
      <c r="D529" s="43">
        <v>6546</v>
      </c>
      <c r="E529" s="41" t="s">
        <v>3597</v>
      </c>
      <c r="F529" s="41">
        <v>4</v>
      </c>
      <c r="G529" s="56">
        <v>40960</v>
      </c>
    </row>
    <row r="530" spans="1:7" x14ac:dyDescent="0.2">
      <c r="A530" s="39">
        <v>40462</v>
      </c>
      <c r="B530" s="40" t="s">
        <v>345</v>
      </c>
      <c r="C530" s="41" t="s">
        <v>3894</v>
      </c>
      <c r="D530" s="43">
        <v>6545</v>
      </c>
      <c r="F530" s="41">
        <v>4</v>
      </c>
      <c r="G530" s="56">
        <v>40960</v>
      </c>
    </row>
    <row r="531" spans="1:7" x14ac:dyDescent="0.2">
      <c r="A531" s="39">
        <v>40450</v>
      </c>
      <c r="B531" s="40" t="s">
        <v>2462</v>
      </c>
      <c r="C531" s="41" t="s">
        <v>3963</v>
      </c>
      <c r="D531" s="43">
        <v>6542</v>
      </c>
      <c r="E531" s="41" t="s">
        <v>3597</v>
      </c>
      <c r="F531" s="41">
        <v>3</v>
      </c>
      <c r="G531" s="56">
        <v>40960</v>
      </c>
    </row>
    <row r="532" spans="1:7" ht="24" x14ac:dyDescent="0.2">
      <c r="A532" s="39">
        <v>40960</v>
      </c>
      <c r="B532" s="40" t="s">
        <v>3687</v>
      </c>
      <c r="C532" s="41" t="s">
        <v>932</v>
      </c>
      <c r="D532" s="43">
        <v>7655</v>
      </c>
      <c r="F532" s="41">
        <v>1</v>
      </c>
      <c r="G532" s="56">
        <v>41017</v>
      </c>
    </row>
    <row r="533" spans="1:7" x14ac:dyDescent="0.2">
      <c r="A533" s="39">
        <v>40974</v>
      </c>
      <c r="B533" s="40" t="s">
        <v>1839</v>
      </c>
      <c r="C533" s="41" t="s">
        <v>2364</v>
      </c>
      <c r="D533" s="43">
        <v>7637</v>
      </c>
      <c r="F533" s="41">
        <v>1</v>
      </c>
      <c r="G533" s="56">
        <v>41017</v>
      </c>
    </row>
    <row r="534" spans="1:7" ht="24" x14ac:dyDescent="0.2">
      <c r="A534" s="39">
        <v>40815</v>
      </c>
      <c r="B534" s="40" t="s">
        <v>2399</v>
      </c>
      <c r="D534" s="43">
        <v>7671</v>
      </c>
      <c r="F534" s="41">
        <v>1</v>
      </c>
      <c r="G534" s="56">
        <v>41022</v>
      </c>
    </row>
    <row r="535" spans="1:7" x14ac:dyDescent="0.2">
      <c r="A535" s="39">
        <v>40779</v>
      </c>
      <c r="B535" s="40" t="s">
        <v>833</v>
      </c>
      <c r="C535" s="41" t="s">
        <v>930</v>
      </c>
      <c r="D535" s="43">
        <v>7563</v>
      </c>
      <c r="E535" s="41" t="s">
        <v>931</v>
      </c>
      <c r="F535" s="41">
        <v>1</v>
      </c>
      <c r="G535" s="56">
        <v>41022</v>
      </c>
    </row>
    <row r="536" spans="1:7" x14ac:dyDescent="0.2">
      <c r="A536" s="39">
        <v>41018</v>
      </c>
      <c r="B536" s="40" t="s">
        <v>2946</v>
      </c>
      <c r="C536" s="41" t="s">
        <v>896</v>
      </c>
      <c r="D536" s="43">
        <v>8982</v>
      </c>
      <c r="F536" s="41">
        <v>1</v>
      </c>
      <c r="G536" s="56">
        <v>41023</v>
      </c>
    </row>
    <row r="537" spans="1:7" ht="36" x14ac:dyDescent="0.2">
      <c r="A537" s="39">
        <v>40932</v>
      </c>
      <c r="B537" s="40" t="s">
        <v>2598</v>
      </c>
      <c r="C537" s="41" t="s">
        <v>932</v>
      </c>
      <c r="D537" s="43">
        <v>7656</v>
      </c>
      <c r="F537" s="41">
        <v>1</v>
      </c>
      <c r="G537" s="56">
        <v>41032</v>
      </c>
    </row>
    <row r="538" spans="1:7" x14ac:dyDescent="0.2">
      <c r="A538" s="39">
        <v>40386</v>
      </c>
      <c r="B538" s="40" t="s">
        <v>3329</v>
      </c>
      <c r="C538" s="41" t="s">
        <v>1766</v>
      </c>
      <c r="D538" s="43">
        <v>6512</v>
      </c>
      <c r="E538" s="41" t="s">
        <v>3551</v>
      </c>
      <c r="F538" s="41">
        <v>3</v>
      </c>
      <c r="G538" s="56">
        <v>41033</v>
      </c>
    </row>
    <row r="539" spans="1:7" x14ac:dyDescent="0.2">
      <c r="A539" s="39">
        <v>40400</v>
      </c>
      <c r="B539" s="40" t="s">
        <v>1314</v>
      </c>
      <c r="C539" s="41" t="s">
        <v>1842</v>
      </c>
      <c r="D539" s="43">
        <v>6535</v>
      </c>
      <c r="E539" s="41" t="s">
        <v>3837</v>
      </c>
      <c r="F539" s="41">
        <v>2</v>
      </c>
      <c r="G539" s="56">
        <v>41033</v>
      </c>
    </row>
    <row r="540" spans="1:7" x14ac:dyDescent="0.2">
      <c r="A540" s="39">
        <v>40960</v>
      </c>
      <c r="B540" s="40" t="s">
        <v>250</v>
      </c>
      <c r="C540" s="41" t="s">
        <v>258</v>
      </c>
      <c r="D540" s="43">
        <v>7630</v>
      </c>
      <c r="F540" s="41">
        <v>1</v>
      </c>
      <c r="G540" s="56">
        <v>41033</v>
      </c>
    </row>
    <row r="541" spans="1:7" x14ac:dyDescent="0.2">
      <c r="A541" s="39">
        <v>40956</v>
      </c>
      <c r="B541" s="40" t="s">
        <v>1951</v>
      </c>
      <c r="C541" s="41" t="s">
        <v>2696</v>
      </c>
      <c r="D541" s="43">
        <v>7654</v>
      </c>
      <c r="F541" s="41">
        <v>1</v>
      </c>
      <c r="G541" s="56">
        <v>41033</v>
      </c>
    </row>
    <row r="542" spans="1:7" x14ac:dyDescent="0.2">
      <c r="A542" s="39">
        <v>40868</v>
      </c>
      <c r="B542" s="40" t="s">
        <v>863</v>
      </c>
      <c r="C542" s="41" t="s">
        <v>3894</v>
      </c>
      <c r="D542" s="43">
        <v>7674</v>
      </c>
      <c r="E542" s="41" t="s">
        <v>864</v>
      </c>
      <c r="F542" s="41">
        <v>1</v>
      </c>
      <c r="G542" s="56">
        <v>41033</v>
      </c>
    </row>
    <row r="543" spans="1:7" x14ac:dyDescent="0.2">
      <c r="A543" s="39">
        <v>40660</v>
      </c>
      <c r="B543" s="40" t="s">
        <v>1440</v>
      </c>
      <c r="C543" s="41" t="s">
        <v>3963</v>
      </c>
      <c r="D543" s="43">
        <v>7743</v>
      </c>
      <c r="E543" s="41" t="s">
        <v>3162</v>
      </c>
      <c r="F543" s="41">
        <v>2</v>
      </c>
      <c r="G543" s="56">
        <v>41033</v>
      </c>
    </row>
    <row r="544" spans="1:7" x14ac:dyDescent="0.2">
      <c r="A544" s="39">
        <v>40604</v>
      </c>
      <c r="B544" s="40" t="s">
        <v>358</v>
      </c>
      <c r="C544" s="41" t="s">
        <v>932</v>
      </c>
      <c r="D544" s="43">
        <v>7712</v>
      </c>
      <c r="E544" s="41" t="s">
        <v>3483</v>
      </c>
      <c r="F544" s="41">
        <v>1</v>
      </c>
      <c r="G544" s="56">
        <v>41033</v>
      </c>
    </row>
    <row r="545" spans="1:7" ht="24" x14ac:dyDescent="0.2">
      <c r="A545" s="39">
        <v>40385</v>
      </c>
      <c r="B545" s="40" t="s">
        <v>200</v>
      </c>
      <c r="C545" s="41" t="s">
        <v>3963</v>
      </c>
      <c r="D545" s="43">
        <v>6510</v>
      </c>
      <c r="E545" s="41" t="s">
        <v>3482</v>
      </c>
      <c r="F545" s="41">
        <v>2</v>
      </c>
      <c r="G545" s="56">
        <v>41033</v>
      </c>
    </row>
    <row r="546" spans="1:7" x14ac:dyDescent="0.2">
      <c r="A546" s="39">
        <v>40386</v>
      </c>
      <c r="B546" s="40" t="s">
        <v>3766</v>
      </c>
      <c r="C546" s="41" t="s">
        <v>3894</v>
      </c>
      <c r="D546" s="43">
        <v>5813</v>
      </c>
      <c r="F546" s="41">
        <v>4</v>
      </c>
      <c r="G546" s="56">
        <v>41033</v>
      </c>
    </row>
    <row r="547" spans="1:7" ht="24" x14ac:dyDescent="0.2">
      <c r="A547" s="39">
        <v>41033</v>
      </c>
      <c r="B547" s="40" t="s">
        <v>1928</v>
      </c>
      <c r="C547" s="41" t="s">
        <v>1929</v>
      </c>
      <c r="D547" s="43">
        <v>8966</v>
      </c>
      <c r="F547" s="41">
        <v>1</v>
      </c>
      <c r="G547" s="56">
        <v>41036</v>
      </c>
    </row>
    <row r="548" spans="1:7" x14ac:dyDescent="0.2">
      <c r="A548" s="39">
        <v>40525</v>
      </c>
      <c r="B548" s="40" t="s">
        <v>1061</v>
      </c>
      <c r="C548" s="41" t="s">
        <v>2050</v>
      </c>
      <c r="D548" s="43">
        <v>7679</v>
      </c>
      <c r="E548" s="41" t="s">
        <v>3482</v>
      </c>
      <c r="F548" s="41">
        <v>3</v>
      </c>
      <c r="G548" s="56">
        <v>41044</v>
      </c>
    </row>
    <row r="549" spans="1:7" ht="24" x14ac:dyDescent="0.2">
      <c r="A549" s="39">
        <v>41033</v>
      </c>
      <c r="B549" s="40" t="s">
        <v>871</v>
      </c>
      <c r="C549" s="41" t="s">
        <v>932</v>
      </c>
      <c r="D549" s="43">
        <v>8972</v>
      </c>
      <c r="F549" s="41">
        <v>1</v>
      </c>
      <c r="G549" s="56">
        <v>41044</v>
      </c>
    </row>
    <row r="550" spans="1:7" x14ac:dyDescent="0.2">
      <c r="A550" s="39">
        <v>41040</v>
      </c>
      <c r="B550" s="40" t="s">
        <v>3786</v>
      </c>
      <c r="C550" s="41" t="s">
        <v>932</v>
      </c>
      <c r="D550" s="43">
        <v>8667</v>
      </c>
      <c r="G550" s="56">
        <v>41058</v>
      </c>
    </row>
    <row r="551" spans="1:7" x14ac:dyDescent="0.2">
      <c r="A551" s="39">
        <v>41043</v>
      </c>
      <c r="B551" s="40" t="s">
        <v>2833</v>
      </c>
      <c r="C551" s="41" t="s">
        <v>2696</v>
      </c>
      <c r="D551" s="43">
        <v>8973</v>
      </c>
      <c r="G551" s="56">
        <v>41058</v>
      </c>
    </row>
    <row r="552" spans="1:7" x14ac:dyDescent="0.2">
      <c r="A552" s="39">
        <v>40799</v>
      </c>
      <c r="B552" s="40" t="s">
        <v>219</v>
      </c>
      <c r="C552" s="41" t="s">
        <v>607</v>
      </c>
      <c r="D552" s="43">
        <v>7559</v>
      </c>
      <c r="E552" s="41" t="s">
        <v>196</v>
      </c>
      <c r="F552" s="41">
        <v>1</v>
      </c>
      <c r="G552" s="56">
        <v>41058</v>
      </c>
    </row>
    <row r="553" spans="1:7" x14ac:dyDescent="0.2">
      <c r="A553" s="39">
        <v>40974</v>
      </c>
      <c r="B553" s="40" t="s">
        <v>1838</v>
      </c>
      <c r="C553" s="41" t="s">
        <v>896</v>
      </c>
      <c r="D553" s="43">
        <v>7640</v>
      </c>
      <c r="F553" s="41">
        <v>1</v>
      </c>
      <c r="G553" s="56">
        <v>41060</v>
      </c>
    </row>
    <row r="554" spans="1:7" x14ac:dyDescent="0.2">
      <c r="A554" s="39">
        <v>40990</v>
      </c>
      <c r="B554" s="40" t="s">
        <v>1146</v>
      </c>
      <c r="C554" s="41" t="s">
        <v>2364</v>
      </c>
      <c r="D554" s="43">
        <v>8996</v>
      </c>
      <c r="F554" s="41">
        <v>1</v>
      </c>
      <c r="G554" s="56">
        <v>41060</v>
      </c>
    </row>
    <row r="555" spans="1:7" x14ac:dyDescent="0.2">
      <c r="A555" s="39">
        <v>41043</v>
      </c>
      <c r="B555" s="40" t="s">
        <v>2832</v>
      </c>
      <c r="C555" s="41" t="s">
        <v>2364</v>
      </c>
      <c r="D555" s="43">
        <v>8970</v>
      </c>
      <c r="F555" s="41">
        <v>1</v>
      </c>
      <c r="G555" s="56">
        <v>41064</v>
      </c>
    </row>
    <row r="556" spans="1:7" x14ac:dyDescent="0.2">
      <c r="A556" s="39">
        <v>41043</v>
      </c>
      <c r="B556" s="40" t="s">
        <v>2834</v>
      </c>
      <c r="C556" s="41" t="s">
        <v>258</v>
      </c>
      <c r="D556" s="43">
        <v>8652</v>
      </c>
      <c r="F556" s="41">
        <v>1</v>
      </c>
      <c r="G556" s="56">
        <v>41064</v>
      </c>
    </row>
    <row r="557" spans="1:7" x14ac:dyDescent="0.2">
      <c r="A557" s="39">
        <v>41071</v>
      </c>
      <c r="B557" s="40" t="s">
        <v>3768</v>
      </c>
      <c r="C557" s="41" t="s">
        <v>932</v>
      </c>
      <c r="D557" s="43">
        <v>8645</v>
      </c>
      <c r="G557" s="56">
        <v>41073</v>
      </c>
    </row>
    <row r="558" spans="1:7" x14ac:dyDescent="0.2">
      <c r="A558" s="39">
        <v>41071</v>
      </c>
      <c r="B558" s="40" t="s">
        <v>777</v>
      </c>
      <c r="C558" s="41" t="s">
        <v>932</v>
      </c>
      <c r="D558" s="43">
        <v>8644</v>
      </c>
      <c r="G558" s="56">
        <v>41073</v>
      </c>
    </row>
    <row r="559" spans="1:7" x14ac:dyDescent="0.2">
      <c r="A559" s="39">
        <v>41059</v>
      </c>
      <c r="B559" s="40" t="s">
        <v>1610</v>
      </c>
      <c r="C559" s="41" t="s">
        <v>932</v>
      </c>
      <c r="D559" s="43">
        <v>8663</v>
      </c>
      <c r="G559" s="56">
        <v>41075</v>
      </c>
    </row>
    <row r="560" spans="1:7" x14ac:dyDescent="0.2">
      <c r="A560" s="39">
        <v>38683</v>
      </c>
      <c r="B560" s="40" t="s">
        <v>347</v>
      </c>
      <c r="C560" s="41" t="s">
        <v>3894</v>
      </c>
      <c r="D560" s="43">
        <v>7740</v>
      </c>
      <c r="F560" s="41">
        <v>5</v>
      </c>
      <c r="G560" s="56">
        <v>41079</v>
      </c>
    </row>
    <row r="561" spans="1:7" ht="24" x14ac:dyDescent="0.2">
      <c r="A561" s="39">
        <v>41079</v>
      </c>
      <c r="B561" s="40" t="s">
        <v>3921</v>
      </c>
      <c r="C561" s="41" t="s">
        <v>258</v>
      </c>
      <c r="D561" s="43">
        <v>8636</v>
      </c>
      <c r="G561" s="56">
        <v>41088</v>
      </c>
    </row>
    <row r="562" spans="1:7" ht="24" x14ac:dyDescent="0.2">
      <c r="A562" s="39">
        <v>40956</v>
      </c>
      <c r="B562" s="40" t="s">
        <v>501</v>
      </c>
      <c r="C562" s="41" t="s">
        <v>3963</v>
      </c>
      <c r="D562" s="43">
        <v>7633</v>
      </c>
      <c r="F562" s="41">
        <v>2</v>
      </c>
      <c r="G562" s="56">
        <v>41089</v>
      </c>
    </row>
    <row r="563" spans="1:7" x14ac:dyDescent="0.2">
      <c r="A563" s="39">
        <v>40956</v>
      </c>
      <c r="B563" s="40" t="s">
        <v>1705</v>
      </c>
      <c r="C563" s="41" t="s">
        <v>932</v>
      </c>
      <c r="D563" s="43">
        <v>7651</v>
      </c>
      <c r="F563" s="41">
        <v>1</v>
      </c>
      <c r="G563" s="56">
        <v>41089</v>
      </c>
    </row>
    <row r="564" spans="1:7" x14ac:dyDescent="0.2">
      <c r="A564" s="39">
        <v>40105</v>
      </c>
      <c r="B564" s="40" t="s">
        <v>3954</v>
      </c>
      <c r="C564" s="41" t="s">
        <v>3894</v>
      </c>
      <c r="D564" s="43">
        <v>5523</v>
      </c>
      <c r="E564" s="41" t="s">
        <v>3482</v>
      </c>
      <c r="F564" s="41">
        <v>4</v>
      </c>
      <c r="G564" s="56">
        <v>41092</v>
      </c>
    </row>
    <row r="565" spans="1:7" x14ac:dyDescent="0.2">
      <c r="A565" s="39">
        <v>40477</v>
      </c>
      <c r="B565" s="40" t="s">
        <v>1849</v>
      </c>
      <c r="C565" s="41" t="s">
        <v>3963</v>
      </c>
      <c r="D565" s="43">
        <v>6561</v>
      </c>
      <c r="E565" s="41" t="s">
        <v>952</v>
      </c>
      <c r="F565" s="41">
        <v>2</v>
      </c>
      <c r="G565" s="56">
        <v>41101</v>
      </c>
    </row>
    <row r="566" spans="1:7" x14ac:dyDescent="0.2">
      <c r="A566" s="39">
        <v>40448</v>
      </c>
      <c r="B566" s="40" t="s">
        <v>12</v>
      </c>
      <c r="C566" s="41" t="s">
        <v>3963</v>
      </c>
      <c r="D566" s="43">
        <v>6540</v>
      </c>
      <c r="F566" s="41">
        <v>3</v>
      </c>
      <c r="G566" s="56">
        <v>41101</v>
      </c>
    </row>
    <row r="567" spans="1:7" x14ac:dyDescent="0.2">
      <c r="A567" s="39">
        <v>39898</v>
      </c>
      <c r="B567" s="40" t="s">
        <v>203</v>
      </c>
      <c r="C567" s="41" t="s">
        <v>1842</v>
      </c>
      <c r="D567" s="43">
        <v>4554</v>
      </c>
      <c r="E567" s="41" t="s">
        <v>2494</v>
      </c>
      <c r="F567" s="41">
        <v>2</v>
      </c>
      <c r="G567" s="56">
        <v>41101</v>
      </c>
    </row>
    <row r="568" spans="1:7" x14ac:dyDescent="0.2">
      <c r="A568" s="39">
        <v>40974</v>
      </c>
      <c r="B568" s="40" t="s">
        <v>247</v>
      </c>
      <c r="C568" s="41" t="s">
        <v>2364</v>
      </c>
      <c r="D568" s="43">
        <v>7639</v>
      </c>
      <c r="F568" s="41">
        <v>2</v>
      </c>
      <c r="G568" s="56">
        <v>41101</v>
      </c>
    </row>
    <row r="569" spans="1:7" x14ac:dyDescent="0.2">
      <c r="A569" s="39">
        <v>41059</v>
      </c>
      <c r="B569" s="40" t="s">
        <v>1611</v>
      </c>
      <c r="C569" s="41" t="s">
        <v>258</v>
      </c>
      <c r="D569" s="43">
        <v>9189</v>
      </c>
      <c r="F569" s="41">
        <v>1</v>
      </c>
      <c r="G569" s="56">
        <v>41102</v>
      </c>
    </row>
    <row r="570" spans="1:7" x14ac:dyDescent="0.2">
      <c r="A570" s="39">
        <v>41071</v>
      </c>
      <c r="B570" s="40" t="s">
        <v>778</v>
      </c>
      <c r="C570" s="41" t="s">
        <v>932</v>
      </c>
      <c r="D570" s="43">
        <v>8649</v>
      </c>
      <c r="G570" s="56">
        <v>41102</v>
      </c>
    </row>
    <row r="571" spans="1:7" x14ac:dyDescent="0.2">
      <c r="A571" s="39">
        <v>41071</v>
      </c>
      <c r="B571" s="40" t="s">
        <v>3368</v>
      </c>
      <c r="C571" s="41" t="s">
        <v>2696</v>
      </c>
      <c r="D571" s="43">
        <v>8641</v>
      </c>
      <c r="G571" s="56">
        <v>41114</v>
      </c>
    </row>
    <row r="572" spans="1:7" ht="24" x14ac:dyDescent="0.2">
      <c r="A572" s="39">
        <v>41079</v>
      </c>
      <c r="B572" s="40" t="s">
        <v>3918</v>
      </c>
      <c r="C572" s="41" t="s">
        <v>2696</v>
      </c>
      <c r="D572" s="43">
        <v>8639</v>
      </c>
      <c r="G572" s="56">
        <v>41114</v>
      </c>
    </row>
    <row r="573" spans="1:7" ht="24" x14ac:dyDescent="0.2">
      <c r="A573" s="39">
        <v>41099</v>
      </c>
      <c r="B573" s="40" t="s">
        <v>1807</v>
      </c>
      <c r="C573" s="41" t="s">
        <v>2696</v>
      </c>
      <c r="D573" s="43">
        <v>8629</v>
      </c>
      <c r="G573" s="56">
        <v>41114</v>
      </c>
    </row>
    <row r="574" spans="1:7" x14ac:dyDescent="0.2">
      <c r="A574" s="39">
        <v>41082</v>
      </c>
      <c r="B574" s="40" t="s">
        <v>3412</v>
      </c>
      <c r="C574" s="41" t="s">
        <v>932</v>
      </c>
      <c r="D574" s="43">
        <v>8632</v>
      </c>
      <c r="G574" s="56">
        <v>41128</v>
      </c>
    </row>
    <row r="575" spans="1:7" ht="24" x14ac:dyDescent="0.2">
      <c r="A575" s="39">
        <v>41036</v>
      </c>
      <c r="B575" s="40" t="s">
        <v>1323</v>
      </c>
      <c r="C575" s="41" t="s">
        <v>932</v>
      </c>
      <c r="D575" s="43">
        <v>8965</v>
      </c>
      <c r="G575" s="56">
        <v>41128</v>
      </c>
    </row>
    <row r="576" spans="1:7" x14ac:dyDescent="0.2">
      <c r="A576" s="39">
        <v>40561</v>
      </c>
      <c r="B576" s="40" t="s">
        <v>1184</v>
      </c>
      <c r="C576" s="41" t="s">
        <v>1841</v>
      </c>
      <c r="D576" s="43">
        <v>7706</v>
      </c>
      <c r="F576" s="41">
        <v>2</v>
      </c>
      <c r="G576" s="56">
        <v>41128</v>
      </c>
    </row>
    <row r="577" spans="1:7" x14ac:dyDescent="0.2">
      <c r="A577" s="39">
        <v>41015</v>
      </c>
      <c r="B577" s="40" t="s">
        <v>3328</v>
      </c>
      <c r="C577" s="41" t="s">
        <v>2696</v>
      </c>
      <c r="D577" s="43">
        <v>8976</v>
      </c>
      <c r="F577" s="41">
        <v>3</v>
      </c>
      <c r="G577" s="56">
        <v>41128</v>
      </c>
    </row>
    <row r="578" spans="1:7" x14ac:dyDescent="0.2">
      <c r="A578" s="39">
        <v>41075</v>
      </c>
      <c r="B578" s="40" t="s">
        <v>3916</v>
      </c>
      <c r="C578" s="41" t="s">
        <v>932</v>
      </c>
      <c r="D578" s="43">
        <v>9176</v>
      </c>
      <c r="G578" s="56">
        <v>41128</v>
      </c>
    </row>
    <row r="579" spans="1:7" x14ac:dyDescent="0.2">
      <c r="A579" s="39">
        <v>40799</v>
      </c>
      <c r="B579" s="40" t="s">
        <v>2800</v>
      </c>
      <c r="C579" s="41" t="s">
        <v>3963</v>
      </c>
      <c r="D579" s="43">
        <v>7759</v>
      </c>
      <c r="E579" s="41" t="s">
        <v>196</v>
      </c>
      <c r="F579" s="41">
        <v>1</v>
      </c>
      <c r="G579" s="56">
        <v>41128</v>
      </c>
    </row>
    <row r="580" spans="1:7" x14ac:dyDescent="0.2">
      <c r="A580" s="39">
        <v>40973</v>
      </c>
      <c r="B580" s="40" t="s">
        <v>180</v>
      </c>
      <c r="C580" s="41" t="s">
        <v>2696</v>
      </c>
      <c r="D580" s="43">
        <v>7627</v>
      </c>
      <c r="F580" s="41">
        <v>1</v>
      </c>
      <c r="G580" s="56">
        <v>41158</v>
      </c>
    </row>
    <row r="581" spans="1:7" x14ac:dyDescent="0.2">
      <c r="A581" s="39">
        <v>41079</v>
      </c>
      <c r="B581" s="40" t="s">
        <v>3922</v>
      </c>
      <c r="C581" s="41" t="s">
        <v>932</v>
      </c>
      <c r="D581" s="43">
        <v>8637</v>
      </c>
      <c r="G581" s="56">
        <v>41159</v>
      </c>
    </row>
    <row r="582" spans="1:7" ht="24" x14ac:dyDescent="0.2">
      <c r="A582" s="39">
        <v>40386</v>
      </c>
      <c r="B582" s="40" t="s">
        <v>54</v>
      </c>
      <c r="C582" s="41" t="s">
        <v>3963</v>
      </c>
      <c r="D582" s="43">
        <v>6516</v>
      </c>
      <c r="E582" s="41" t="s">
        <v>3162</v>
      </c>
      <c r="F582" s="41">
        <v>3</v>
      </c>
      <c r="G582" s="56">
        <v>41177</v>
      </c>
    </row>
    <row r="583" spans="1:7" x14ac:dyDescent="0.2">
      <c r="A583" s="39">
        <v>41127</v>
      </c>
      <c r="B583" s="40" t="s">
        <v>3693</v>
      </c>
      <c r="C583" s="41" t="s">
        <v>2696</v>
      </c>
      <c r="D583" s="43">
        <v>9169</v>
      </c>
      <c r="F583" s="41">
        <v>1</v>
      </c>
      <c r="G583" s="56">
        <v>41177</v>
      </c>
    </row>
    <row r="584" spans="1:7" x14ac:dyDescent="0.2">
      <c r="A584" s="39">
        <v>40827</v>
      </c>
      <c r="B584" s="40" t="s">
        <v>2639</v>
      </c>
      <c r="C584" s="41" t="s">
        <v>2696</v>
      </c>
      <c r="D584" s="43">
        <v>7672</v>
      </c>
      <c r="E584" s="41" t="s">
        <v>3482</v>
      </c>
      <c r="F584" s="41">
        <v>2</v>
      </c>
      <c r="G584" s="56">
        <v>41177</v>
      </c>
    </row>
    <row r="585" spans="1:7" ht="24" x14ac:dyDescent="0.2">
      <c r="A585" s="39">
        <v>41079</v>
      </c>
      <c r="B585" s="40" t="s">
        <v>3917</v>
      </c>
      <c r="C585" s="41" t="s">
        <v>2364</v>
      </c>
      <c r="D585" s="43">
        <v>8642</v>
      </c>
      <c r="F585" s="41">
        <v>2</v>
      </c>
      <c r="G585" s="56">
        <v>41212</v>
      </c>
    </row>
    <row r="586" spans="1:7" ht="24" x14ac:dyDescent="0.2">
      <c r="A586" s="39">
        <v>41079</v>
      </c>
      <c r="B586" s="40" t="s">
        <v>3920</v>
      </c>
      <c r="C586" s="41" t="s">
        <v>932</v>
      </c>
      <c r="D586" s="43">
        <v>8640</v>
      </c>
      <c r="E586" s="41" t="s">
        <v>1075</v>
      </c>
      <c r="F586" s="41">
        <v>2</v>
      </c>
      <c r="G586" s="56">
        <v>41230</v>
      </c>
    </row>
    <row r="587" spans="1:7" x14ac:dyDescent="0.2">
      <c r="A587" s="39">
        <v>41227</v>
      </c>
      <c r="B587" s="40" t="s">
        <v>621</v>
      </c>
      <c r="C587" s="41" t="s">
        <v>932</v>
      </c>
      <c r="D587" s="43">
        <v>8880</v>
      </c>
      <c r="E587" s="41" t="s">
        <v>2054</v>
      </c>
      <c r="F587" s="41">
        <v>2</v>
      </c>
      <c r="G587" s="56">
        <v>41230</v>
      </c>
    </row>
    <row r="588" spans="1:7" x14ac:dyDescent="0.2">
      <c r="A588" s="39">
        <v>41157</v>
      </c>
      <c r="B588" s="40" t="s">
        <v>2817</v>
      </c>
      <c r="C588" s="41" t="s">
        <v>3254</v>
      </c>
      <c r="D588" s="43">
        <v>9166</v>
      </c>
      <c r="G588" s="56">
        <v>41241</v>
      </c>
    </row>
    <row r="589" spans="1:7" x14ac:dyDescent="0.2">
      <c r="A589" s="39">
        <v>41157</v>
      </c>
      <c r="B589" s="40" t="s">
        <v>2816</v>
      </c>
      <c r="C589" s="41" t="s">
        <v>3254</v>
      </c>
      <c r="D589" s="43">
        <v>9167</v>
      </c>
      <c r="G589" s="56">
        <v>41241</v>
      </c>
    </row>
    <row r="590" spans="1:7" x14ac:dyDescent="0.2">
      <c r="A590" s="39">
        <v>41159</v>
      </c>
      <c r="B590" s="40" t="s">
        <v>2265</v>
      </c>
      <c r="C590" s="41" t="s">
        <v>2266</v>
      </c>
      <c r="D590" s="43">
        <v>9164</v>
      </c>
      <c r="G590" s="56">
        <v>41297</v>
      </c>
    </row>
    <row r="591" spans="1:7" x14ac:dyDescent="0.2">
      <c r="A591" s="39">
        <v>40119</v>
      </c>
      <c r="B591" s="40" t="s">
        <v>1307</v>
      </c>
      <c r="C591" s="41" t="s">
        <v>3894</v>
      </c>
      <c r="D591" s="43">
        <v>5534</v>
      </c>
      <c r="E591" s="41" t="s">
        <v>3482</v>
      </c>
      <c r="F591" s="41">
        <v>4</v>
      </c>
      <c r="G591" s="56">
        <v>41297</v>
      </c>
    </row>
    <row r="592" spans="1:7" x14ac:dyDescent="0.2">
      <c r="A592" s="39">
        <v>40119</v>
      </c>
      <c r="B592" s="40" t="s">
        <v>1306</v>
      </c>
      <c r="C592" s="41" t="s">
        <v>3894</v>
      </c>
      <c r="D592" s="43">
        <v>5535</v>
      </c>
      <c r="E592" s="41" t="s">
        <v>3482</v>
      </c>
      <c r="F592" s="41">
        <v>4</v>
      </c>
      <c r="G592" s="56">
        <v>41297</v>
      </c>
    </row>
    <row r="593" spans="1:7" x14ac:dyDescent="0.2">
      <c r="A593" s="39">
        <v>40525</v>
      </c>
      <c r="B593" s="40" t="s">
        <v>2225</v>
      </c>
      <c r="C593" s="41" t="s">
        <v>1841</v>
      </c>
      <c r="D593" s="43">
        <v>7698</v>
      </c>
      <c r="E593" s="41" t="s">
        <v>850</v>
      </c>
      <c r="F593" s="41">
        <v>4</v>
      </c>
      <c r="G593" s="56">
        <v>41299</v>
      </c>
    </row>
    <row r="594" spans="1:7" x14ac:dyDescent="0.2">
      <c r="A594" s="39">
        <v>41297</v>
      </c>
      <c r="B594" s="40" t="s">
        <v>3977</v>
      </c>
      <c r="C594" s="41" t="s">
        <v>2696</v>
      </c>
      <c r="D594" s="43">
        <v>9294</v>
      </c>
      <c r="E594" s="41" t="s">
        <v>711</v>
      </c>
      <c r="F594" s="41">
        <v>1</v>
      </c>
      <c r="G594" s="56">
        <v>41326</v>
      </c>
    </row>
  </sheetData>
  <autoFilter ref="A1:G547"/>
  <phoneticPr fontId="0" type="noConversion"/>
  <pageMargins left="0.39370078740157483" right="0.39370078740157483" top="0.98425196850393704" bottom="0.98425196850393704" header="0.51181102362204722" footer="0.51181102362204722"/>
  <pageSetup paperSize="9" orientation="landscape" horizontalDpi="4294967293" r:id="rId1"/>
  <headerFooter alignWithMargins="0">
    <oddHeader>&amp;Lsuivi des travaux de maintenance&amp;C&amp;"Arial,Gras"&amp;12&amp;Erefente 
fait&amp;R&amp;D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>
    <tabColor indexed="27"/>
    <pageSetUpPr fitToPage="1"/>
  </sheetPr>
  <dimension ref="A1:K60"/>
  <sheetViews>
    <sheetView zoomScale="85" zoomScaleNormal="85" zoomScaleSheetLayoutView="70" workbookViewId="0">
      <pane ySplit="1" topLeftCell="A2" activePane="bottomLeft" state="frozen"/>
      <selection activeCell="A63" sqref="A63:IV63"/>
      <selection pane="bottomLeft" activeCell="B37" sqref="B37"/>
    </sheetView>
  </sheetViews>
  <sheetFormatPr baseColWidth="10" defaultRowHeight="12.75" x14ac:dyDescent="0.2"/>
  <cols>
    <col min="1" max="1" width="10.28515625" style="44" customWidth="1"/>
    <col min="2" max="2" width="88.42578125" style="45" customWidth="1"/>
    <col min="3" max="3" width="10.42578125" style="46" bestFit="1" customWidth="1"/>
    <col min="4" max="4" width="7.7109375" style="47" customWidth="1"/>
    <col min="5" max="5" width="13.140625" style="46" bestFit="1" customWidth="1"/>
    <col min="6" max="6" width="8.85546875" style="46" customWidth="1"/>
    <col min="7" max="7" width="13.42578125" style="169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</cols>
  <sheetData>
    <row r="1" spans="1:11" s="1" customFormat="1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1" x14ac:dyDescent="0.2">
      <c r="A2" s="44">
        <v>40369</v>
      </c>
      <c r="B2" s="194" t="s">
        <v>504</v>
      </c>
      <c r="C2" s="46" t="s">
        <v>3772</v>
      </c>
      <c r="D2" s="47">
        <v>6438</v>
      </c>
      <c r="F2" s="46">
        <v>2</v>
      </c>
      <c r="G2" s="169" t="s">
        <v>3406</v>
      </c>
      <c r="I2" s="168" t="s">
        <v>1046</v>
      </c>
      <c r="J2" s="168" t="s">
        <v>3398</v>
      </c>
    </row>
    <row r="3" spans="1:11" x14ac:dyDescent="0.2">
      <c r="A3" s="44">
        <v>40798</v>
      </c>
      <c r="B3" s="45" t="s">
        <v>57</v>
      </c>
      <c r="C3" s="46" t="s">
        <v>58</v>
      </c>
      <c r="D3" s="47">
        <v>7572</v>
      </c>
      <c r="E3" s="46" t="s">
        <v>931</v>
      </c>
      <c r="F3" s="46">
        <v>1</v>
      </c>
      <c r="G3" s="169" t="s">
        <v>3406</v>
      </c>
      <c r="H3" s="168" t="s">
        <v>1164</v>
      </c>
      <c r="I3" s="168" t="s">
        <v>1046</v>
      </c>
    </row>
    <row r="4" spans="1:11" x14ac:dyDescent="0.2">
      <c r="A4" s="185">
        <v>39958</v>
      </c>
      <c r="B4" s="186" t="s">
        <v>3365</v>
      </c>
      <c r="C4" s="187" t="s">
        <v>3409</v>
      </c>
      <c r="D4" s="63">
        <v>1536</v>
      </c>
      <c r="E4" s="187" t="s">
        <v>3478</v>
      </c>
      <c r="F4" s="46">
        <v>4</v>
      </c>
      <c r="G4" s="169" t="s">
        <v>3406</v>
      </c>
    </row>
    <row r="5" spans="1:11" x14ac:dyDescent="0.2">
      <c r="A5" s="44">
        <v>40254</v>
      </c>
      <c r="B5" s="45" t="s">
        <v>2473</v>
      </c>
      <c r="C5" s="46" t="s">
        <v>1859</v>
      </c>
      <c r="D5" s="47">
        <v>6132</v>
      </c>
      <c r="E5" s="46" t="s">
        <v>1669</v>
      </c>
      <c r="F5" s="46">
        <v>4</v>
      </c>
      <c r="G5" s="169" t="s">
        <v>3406</v>
      </c>
    </row>
    <row r="6" spans="1:11" x14ac:dyDescent="0.2">
      <c r="A6" s="44">
        <v>40385</v>
      </c>
      <c r="B6" s="45" t="s">
        <v>3903</v>
      </c>
      <c r="C6" s="46" t="s">
        <v>1859</v>
      </c>
      <c r="D6" s="47">
        <v>6594</v>
      </c>
      <c r="F6" s="46">
        <v>5</v>
      </c>
      <c r="G6" s="169" t="s">
        <v>3406</v>
      </c>
    </row>
    <row r="7" spans="1:11" s="175" customFormat="1" x14ac:dyDescent="0.2">
      <c r="A7" s="44">
        <v>40395</v>
      </c>
      <c r="B7" s="45" t="s">
        <v>3111</v>
      </c>
      <c r="C7" s="46" t="s">
        <v>3772</v>
      </c>
      <c r="D7" s="47">
        <v>6674</v>
      </c>
      <c r="E7" s="46"/>
      <c r="F7" s="46">
        <v>2</v>
      </c>
      <c r="G7" s="169" t="s">
        <v>3406</v>
      </c>
      <c r="H7" s="168"/>
      <c r="I7" s="168"/>
      <c r="J7" s="168"/>
      <c r="K7" s="168"/>
    </row>
    <row r="8" spans="1:11" x14ac:dyDescent="0.2">
      <c r="A8" s="44">
        <v>40396</v>
      </c>
      <c r="B8" s="45" t="s">
        <v>3110</v>
      </c>
      <c r="C8" s="46" t="s">
        <v>3772</v>
      </c>
      <c r="D8" s="47">
        <v>6680</v>
      </c>
      <c r="F8" s="46">
        <v>5</v>
      </c>
      <c r="G8" s="169" t="s">
        <v>3406</v>
      </c>
    </row>
    <row r="9" spans="1:11" x14ac:dyDescent="0.2">
      <c r="A9" s="172">
        <v>40421</v>
      </c>
      <c r="B9" s="173" t="s">
        <v>152</v>
      </c>
      <c r="C9" s="174" t="s">
        <v>3772</v>
      </c>
      <c r="D9" s="176">
        <v>6698</v>
      </c>
      <c r="E9" s="174"/>
      <c r="F9" s="174">
        <v>1</v>
      </c>
      <c r="G9" s="170" t="s">
        <v>3406</v>
      </c>
      <c r="H9" s="171"/>
      <c r="I9" s="171"/>
      <c r="J9" s="171"/>
      <c r="K9" s="171"/>
    </row>
    <row r="10" spans="1:11" x14ac:dyDescent="0.2">
      <c r="A10" s="44">
        <v>40434</v>
      </c>
      <c r="B10" s="45" t="s">
        <v>488</v>
      </c>
      <c r="C10" s="46" t="s">
        <v>1859</v>
      </c>
      <c r="D10" s="47">
        <v>6711</v>
      </c>
      <c r="F10" s="46">
        <v>3</v>
      </c>
      <c r="G10" s="169" t="s">
        <v>3406</v>
      </c>
      <c r="I10" s="223">
        <v>41122</v>
      </c>
    </row>
    <row r="11" spans="1:11" x14ac:dyDescent="0.2">
      <c r="A11" s="44">
        <v>40434</v>
      </c>
      <c r="B11" s="49" t="s">
        <v>3528</v>
      </c>
      <c r="C11" s="46" t="s">
        <v>1043</v>
      </c>
      <c r="D11" s="47">
        <v>6712</v>
      </c>
      <c r="E11" s="46" t="s">
        <v>3175</v>
      </c>
      <c r="F11" s="46">
        <v>2</v>
      </c>
      <c r="G11" s="169" t="s">
        <v>3406</v>
      </c>
    </row>
    <row r="12" spans="1:11" x14ac:dyDescent="0.2">
      <c r="A12" s="44">
        <v>40435</v>
      </c>
      <c r="B12" s="45" t="s">
        <v>2090</v>
      </c>
      <c r="C12" s="46" t="s">
        <v>1859</v>
      </c>
      <c r="D12" s="47">
        <v>6713</v>
      </c>
      <c r="E12" s="46" t="s">
        <v>2494</v>
      </c>
      <c r="F12" s="46">
        <v>4</v>
      </c>
      <c r="G12" s="169" t="s">
        <v>3406</v>
      </c>
    </row>
    <row r="13" spans="1:11" x14ac:dyDescent="0.2">
      <c r="A13" s="44">
        <v>40473</v>
      </c>
      <c r="B13" s="45" t="s">
        <v>2720</v>
      </c>
      <c r="C13" s="46" t="s">
        <v>419</v>
      </c>
      <c r="D13" s="47">
        <v>6858</v>
      </c>
      <c r="F13" s="46">
        <v>3</v>
      </c>
      <c r="G13" s="169" t="s">
        <v>3406</v>
      </c>
    </row>
    <row r="14" spans="1:11" x14ac:dyDescent="0.2">
      <c r="A14" s="44">
        <v>40480</v>
      </c>
      <c r="B14" s="45" t="s">
        <v>2428</v>
      </c>
      <c r="C14" s="46" t="s">
        <v>1043</v>
      </c>
      <c r="D14" s="47">
        <v>6866</v>
      </c>
      <c r="F14" s="46">
        <v>1</v>
      </c>
      <c r="G14" s="169" t="s">
        <v>3406</v>
      </c>
      <c r="I14" s="168" t="s">
        <v>2534</v>
      </c>
    </row>
    <row r="15" spans="1:11" x14ac:dyDescent="0.2">
      <c r="A15" s="44">
        <v>40486</v>
      </c>
      <c r="B15" s="45" t="s">
        <v>2427</v>
      </c>
      <c r="C15" s="46" t="s">
        <v>2526</v>
      </c>
      <c r="D15" s="47">
        <v>6870</v>
      </c>
      <c r="F15" s="46">
        <v>3</v>
      </c>
      <c r="G15" s="169" t="s">
        <v>3406</v>
      </c>
      <c r="H15" s="168" t="s">
        <v>1514</v>
      </c>
    </row>
    <row r="16" spans="1:11" x14ac:dyDescent="0.2">
      <c r="A16" s="44">
        <v>40487</v>
      </c>
      <c r="B16" s="45" t="s">
        <v>1</v>
      </c>
      <c r="C16" s="46" t="s">
        <v>3772</v>
      </c>
      <c r="D16" s="47">
        <v>6885</v>
      </c>
      <c r="F16" s="46">
        <v>1</v>
      </c>
      <c r="G16" s="169" t="s">
        <v>3406</v>
      </c>
    </row>
    <row r="17" spans="1:11" x14ac:dyDescent="0.2">
      <c r="A17" s="44">
        <v>40499</v>
      </c>
      <c r="B17" s="45" t="s">
        <v>2569</v>
      </c>
      <c r="C17" s="46" t="s">
        <v>3772</v>
      </c>
      <c r="D17" s="47">
        <v>7086</v>
      </c>
      <c r="F17" s="46">
        <v>5</v>
      </c>
      <c r="G17" s="169" t="s">
        <v>3406</v>
      </c>
    </row>
    <row r="18" spans="1:11" x14ac:dyDescent="0.2">
      <c r="A18" s="44">
        <v>40526</v>
      </c>
      <c r="B18" s="45" t="s">
        <v>1044</v>
      </c>
      <c r="C18" s="46" t="s">
        <v>419</v>
      </c>
      <c r="D18" s="47">
        <v>7629</v>
      </c>
      <c r="E18" s="46" t="s">
        <v>3175</v>
      </c>
      <c r="F18" s="46">
        <v>3</v>
      </c>
      <c r="G18" s="169" t="s">
        <v>3406</v>
      </c>
    </row>
    <row r="19" spans="1:11" x14ac:dyDescent="0.2">
      <c r="A19" s="44">
        <v>40561</v>
      </c>
      <c r="B19" s="45" t="s">
        <v>269</v>
      </c>
      <c r="C19" s="46" t="s">
        <v>3772</v>
      </c>
      <c r="D19" s="47">
        <v>7621</v>
      </c>
      <c r="F19" s="46">
        <v>3</v>
      </c>
      <c r="G19" s="169" t="s">
        <v>3406</v>
      </c>
    </row>
    <row r="20" spans="1:11" x14ac:dyDescent="0.2">
      <c r="A20" s="44">
        <v>40582</v>
      </c>
      <c r="B20" s="45" t="s">
        <v>1958</v>
      </c>
      <c r="C20" s="46" t="s">
        <v>3170</v>
      </c>
      <c r="D20" s="47">
        <v>7600</v>
      </c>
      <c r="F20" s="46">
        <v>5</v>
      </c>
      <c r="G20" s="169" t="s">
        <v>3406</v>
      </c>
    </row>
    <row r="21" spans="1:11" x14ac:dyDescent="0.2">
      <c r="A21" s="44">
        <v>40589</v>
      </c>
      <c r="B21" s="194" t="s">
        <v>3435</v>
      </c>
      <c r="C21" s="46" t="s">
        <v>419</v>
      </c>
      <c r="D21" s="47">
        <v>7047</v>
      </c>
      <c r="F21" s="46">
        <v>3</v>
      </c>
      <c r="G21" s="169" t="s">
        <v>3406</v>
      </c>
    </row>
    <row r="22" spans="1:11" x14ac:dyDescent="0.2">
      <c r="A22" s="44">
        <v>40589</v>
      </c>
      <c r="B22" s="45" t="s">
        <v>2847</v>
      </c>
      <c r="C22" s="46" t="s">
        <v>419</v>
      </c>
      <c r="D22" s="47">
        <v>7045</v>
      </c>
      <c r="F22" s="46">
        <v>2</v>
      </c>
      <c r="G22" s="169" t="s">
        <v>3406</v>
      </c>
    </row>
    <row r="23" spans="1:11" x14ac:dyDescent="0.2">
      <c r="A23" s="44">
        <v>40590</v>
      </c>
      <c r="B23" s="45" t="s">
        <v>2424</v>
      </c>
      <c r="C23" s="46" t="s">
        <v>2425</v>
      </c>
      <c r="D23" s="47">
        <v>7048</v>
      </c>
      <c r="F23" s="46">
        <v>2</v>
      </c>
      <c r="G23" s="169" t="s">
        <v>3406</v>
      </c>
    </row>
    <row r="24" spans="1:11" s="175" customFormat="1" x14ac:dyDescent="0.2">
      <c r="A24" s="44">
        <v>40666</v>
      </c>
      <c r="B24" s="45" t="s">
        <v>35</v>
      </c>
      <c r="C24" s="46" t="s">
        <v>3772</v>
      </c>
      <c r="D24" s="47">
        <v>7877</v>
      </c>
      <c r="E24" s="46"/>
      <c r="F24" s="46">
        <v>2</v>
      </c>
      <c r="G24" s="169" t="s">
        <v>3406</v>
      </c>
      <c r="H24" s="168"/>
      <c r="I24" s="168"/>
      <c r="J24" s="168"/>
      <c r="K24" s="168"/>
    </row>
    <row r="25" spans="1:11" x14ac:dyDescent="0.2">
      <c r="A25" s="44">
        <v>40701</v>
      </c>
      <c r="B25" s="45" t="s">
        <v>2524</v>
      </c>
      <c r="C25" s="46" t="s">
        <v>1043</v>
      </c>
      <c r="D25" s="47">
        <v>7379</v>
      </c>
      <c r="E25" s="46" t="s">
        <v>1179</v>
      </c>
      <c r="F25" s="46">
        <v>2</v>
      </c>
      <c r="G25" s="169" t="s">
        <v>3406</v>
      </c>
    </row>
    <row r="26" spans="1:11" x14ac:dyDescent="0.2">
      <c r="A26" s="44">
        <v>40732</v>
      </c>
      <c r="B26" s="45" t="s">
        <v>1281</v>
      </c>
      <c r="D26" s="47">
        <v>8035</v>
      </c>
      <c r="F26" s="46" t="s">
        <v>2398</v>
      </c>
      <c r="G26" s="169" t="s">
        <v>3406</v>
      </c>
      <c r="H26" s="168" t="s">
        <v>3087</v>
      </c>
    </row>
    <row r="27" spans="1:11" x14ac:dyDescent="0.2">
      <c r="A27" s="44">
        <v>40751</v>
      </c>
      <c r="B27" s="45" t="s">
        <v>20</v>
      </c>
      <c r="C27" s="46" t="s">
        <v>21</v>
      </c>
      <c r="D27" s="47">
        <v>8221</v>
      </c>
      <c r="F27" s="46" t="s">
        <v>2398</v>
      </c>
      <c r="G27" s="169" t="s">
        <v>3406</v>
      </c>
    </row>
    <row r="28" spans="1:11" x14ac:dyDescent="0.2">
      <c r="A28" s="44">
        <v>40758</v>
      </c>
      <c r="B28" s="45" t="s">
        <v>3100</v>
      </c>
      <c r="C28" s="46" t="s">
        <v>21</v>
      </c>
      <c r="D28" s="47">
        <v>7504</v>
      </c>
      <c r="F28" s="46">
        <v>3</v>
      </c>
      <c r="G28" s="169" t="s">
        <v>3406</v>
      </c>
    </row>
    <row r="29" spans="1:11" x14ac:dyDescent="0.2">
      <c r="A29" s="44">
        <v>40758</v>
      </c>
      <c r="B29" s="45" t="s">
        <v>3101</v>
      </c>
      <c r="C29" s="46" t="s">
        <v>21</v>
      </c>
      <c r="D29" s="47">
        <v>7513</v>
      </c>
      <c r="F29" s="46">
        <v>3</v>
      </c>
      <c r="G29" s="169" t="s">
        <v>3406</v>
      </c>
    </row>
    <row r="30" spans="1:11" x14ac:dyDescent="0.2">
      <c r="A30" s="44">
        <v>40798</v>
      </c>
      <c r="B30" s="49" t="s">
        <v>2861</v>
      </c>
      <c r="C30" s="46" t="s">
        <v>2862</v>
      </c>
      <c r="D30" s="47">
        <v>7575</v>
      </c>
      <c r="E30" s="46" t="s">
        <v>931</v>
      </c>
      <c r="F30" s="46">
        <v>1</v>
      </c>
      <c r="G30" s="169" t="s">
        <v>3406</v>
      </c>
      <c r="H30" s="168" t="s">
        <v>1163</v>
      </c>
    </row>
    <row r="31" spans="1:11" x14ac:dyDescent="0.2">
      <c r="A31" s="200">
        <v>40800</v>
      </c>
      <c r="B31" s="195" t="s">
        <v>2484</v>
      </c>
      <c r="C31" s="202" t="s">
        <v>1043</v>
      </c>
      <c r="D31" s="201">
        <v>7925</v>
      </c>
      <c r="E31" s="202"/>
      <c r="F31" s="46">
        <v>5</v>
      </c>
      <c r="G31" s="169" t="s">
        <v>3406</v>
      </c>
      <c r="H31" s="168" t="s">
        <v>2061</v>
      </c>
    </row>
    <row r="32" spans="1:11" x14ac:dyDescent="0.2">
      <c r="A32" s="44">
        <v>40800</v>
      </c>
      <c r="B32" s="195" t="s">
        <v>1546</v>
      </c>
      <c r="C32" s="46" t="s">
        <v>1043</v>
      </c>
      <c r="D32" s="47">
        <v>7922</v>
      </c>
      <c r="F32" s="46">
        <v>1</v>
      </c>
      <c r="G32" s="169" t="s">
        <v>3406</v>
      </c>
      <c r="H32" s="168" t="s">
        <v>2062</v>
      </c>
    </row>
    <row r="33" spans="1:11" x14ac:dyDescent="0.2">
      <c r="A33" s="44">
        <v>40816</v>
      </c>
      <c r="B33" s="45" t="s">
        <v>3428</v>
      </c>
      <c r="C33" s="46" t="s">
        <v>3429</v>
      </c>
      <c r="D33" s="47">
        <v>8062</v>
      </c>
      <c r="F33" s="46">
        <v>2</v>
      </c>
      <c r="G33" s="169" t="s">
        <v>3406</v>
      </c>
      <c r="H33" s="168" t="s">
        <v>46</v>
      </c>
    </row>
    <row r="34" spans="1:11" x14ac:dyDescent="0.2">
      <c r="A34" s="44">
        <v>40820</v>
      </c>
      <c r="B34" s="45" t="s">
        <v>3955</v>
      </c>
      <c r="C34" s="46" t="s">
        <v>21</v>
      </c>
      <c r="D34" s="47">
        <v>8580</v>
      </c>
      <c r="E34" s="46" t="s">
        <v>3482</v>
      </c>
      <c r="F34" s="46">
        <v>1</v>
      </c>
      <c r="G34" s="169" t="s">
        <v>3406</v>
      </c>
      <c r="H34" s="168" t="s">
        <v>47</v>
      </c>
    </row>
    <row r="35" spans="1:11" x14ac:dyDescent="0.2">
      <c r="A35" s="44">
        <v>40820</v>
      </c>
      <c r="B35" s="45" t="s">
        <v>3956</v>
      </c>
      <c r="D35" s="47">
        <v>8581</v>
      </c>
      <c r="E35" s="46" t="s">
        <v>2494</v>
      </c>
      <c r="F35" s="46">
        <v>2</v>
      </c>
      <c r="G35" s="169" t="s">
        <v>3406</v>
      </c>
      <c r="H35" s="168" t="s">
        <v>995</v>
      </c>
    </row>
    <row r="36" spans="1:11" x14ac:dyDescent="0.2">
      <c r="A36" s="44">
        <v>40840</v>
      </c>
      <c r="B36" s="45" t="s">
        <v>3512</v>
      </c>
      <c r="C36" s="46" t="s">
        <v>419</v>
      </c>
      <c r="D36" s="47">
        <v>8563</v>
      </c>
      <c r="E36" s="46" t="s">
        <v>3482</v>
      </c>
      <c r="F36" s="46">
        <v>2</v>
      </c>
      <c r="G36" s="169" t="s">
        <v>3406</v>
      </c>
      <c r="I36" s="168" t="s">
        <v>1046</v>
      </c>
    </row>
    <row r="37" spans="1:11" x14ac:dyDescent="0.2">
      <c r="A37" s="44">
        <v>40844</v>
      </c>
      <c r="B37" s="45" t="s">
        <v>3157</v>
      </c>
      <c r="C37" s="46" t="s">
        <v>3646</v>
      </c>
      <c r="D37" s="47">
        <v>8368</v>
      </c>
      <c r="F37" s="46">
        <v>2</v>
      </c>
      <c r="G37" s="169" t="s">
        <v>3406</v>
      </c>
      <c r="H37" s="168" t="s">
        <v>2591</v>
      </c>
    </row>
    <row r="38" spans="1:11" x14ac:dyDescent="0.2">
      <c r="A38" s="44">
        <f ca="1">TODAY()</f>
        <v>41338</v>
      </c>
      <c r="B38" s="45" t="s">
        <v>3004</v>
      </c>
      <c r="C38" s="46" t="s">
        <v>419</v>
      </c>
      <c r="D38" s="47">
        <v>8564</v>
      </c>
      <c r="F38" s="46">
        <v>1</v>
      </c>
      <c r="G38" s="169" t="s">
        <v>3406</v>
      </c>
    </row>
    <row r="39" spans="1:11" x14ac:dyDescent="0.2">
      <c r="A39" s="44">
        <v>40864</v>
      </c>
      <c r="B39" s="216" t="s">
        <v>2118</v>
      </c>
      <c r="C39" s="46" t="s">
        <v>419</v>
      </c>
      <c r="D39" s="47">
        <v>8565</v>
      </c>
      <c r="E39" s="46" t="s">
        <v>3482</v>
      </c>
      <c r="F39" s="46">
        <v>1</v>
      </c>
      <c r="G39" s="169" t="s">
        <v>3406</v>
      </c>
      <c r="I39" s="222" t="s">
        <v>3253</v>
      </c>
    </row>
    <row r="40" spans="1:11" x14ac:dyDescent="0.2">
      <c r="A40" s="44">
        <v>40865</v>
      </c>
      <c r="B40" s="216" t="s">
        <v>3001</v>
      </c>
      <c r="C40" s="46" t="s">
        <v>1043</v>
      </c>
      <c r="D40" s="47">
        <v>8373</v>
      </c>
      <c r="F40" s="46">
        <v>1</v>
      </c>
      <c r="G40" s="169" t="s">
        <v>3406</v>
      </c>
      <c r="I40" s="168" t="s">
        <v>1046</v>
      </c>
      <c r="K40" s="168" t="s">
        <v>3304</v>
      </c>
    </row>
    <row r="41" spans="1:11" x14ac:dyDescent="0.2">
      <c r="A41" s="44">
        <v>40877</v>
      </c>
      <c r="B41" s="216" t="s">
        <v>1754</v>
      </c>
      <c r="C41" s="46" t="s">
        <v>2877</v>
      </c>
      <c r="D41" s="47">
        <v>8377</v>
      </c>
      <c r="F41" s="46">
        <v>2</v>
      </c>
      <c r="G41" s="169" t="s">
        <v>3406</v>
      </c>
    </row>
    <row r="42" spans="1:11" x14ac:dyDescent="0.2">
      <c r="A42" s="44">
        <v>40883</v>
      </c>
      <c r="B42" s="45" t="s">
        <v>36</v>
      </c>
      <c r="C42" s="46" t="s">
        <v>21</v>
      </c>
      <c r="D42" s="47">
        <v>8378</v>
      </c>
      <c r="F42" s="46">
        <v>2</v>
      </c>
      <c r="G42" s="169" t="s">
        <v>3406</v>
      </c>
      <c r="H42" s="168" t="s">
        <v>2063</v>
      </c>
      <c r="I42" s="168" t="s">
        <v>1046</v>
      </c>
      <c r="K42" s="168" t="s">
        <v>3304</v>
      </c>
    </row>
    <row r="43" spans="1:11" x14ac:dyDescent="0.2">
      <c r="A43" s="44">
        <v>40885</v>
      </c>
      <c r="B43" s="45" t="s">
        <v>2458</v>
      </c>
      <c r="C43" s="46" t="s">
        <v>2877</v>
      </c>
      <c r="D43" s="47">
        <v>8379</v>
      </c>
      <c r="F43" s="46">
        <v>2</v>
      </c>
      <c r="G43" s="169" t="s">
        <v>3406</v>
      </c>
      <c r="H43" s="168" t="s">
        <v>2064</v>
      </c>
      <c r="I43" s="222" t="s">
        <v>3253</v>
      </c>
    </row>
    <row r="44" spans="1:11" x14ac:dyDescent="0.2">
      <c r="A44" s="44">
        <v>40893</v>
      </c>
      <c r="B44" s="45" t="s">
        <v>2227</v>
      </c>
      <c r="C44" s="46" t="s">
        <v>1043</v>
      </c>
      <c r="D44" s="47">
        <v>8382</v>
      </c>
      <c r="F44" s="46">
        <v>1</v>
      </c>
    </row>
    <row r="45" spans="1:11" x14ac:dyDescent="0.2">
      <c r="A45" s="44">
        <v>40893</v>
      </c>
      <c r="B45" s="194" t="s">
        <v>2481</v>
      </c>
      <c r="C45" s="46" t="s">
        <v>419</v>
      </c>
      <c r="D45" s="47">
        <v>8384</v>
      </c>
      <c r="F45" s="46">
        <v>1</v>
      </c>
    </row>
    <row r="46" spans="1:11" x14ac:dyDescent="0.2">
      <c r="A46" s="44">
        <v>40893</v>
      </c>
      <c r="B46" s="45" t="s">
        <v>2228</v>
      </c>
      <c r="C46" s="46" t="s">
        <v>3646</v>
      </c>
      <c r="D46" s="47">
        <v>8385</v>
      </c>
      <c r="F46" s="46">
        <v>1</v>
      </c>
      <c r="G46" s="169" t="s">
        <v>3406</v>
      </c>
      <c r="H46" s="168" t="s">
        <v>1165</v>
      </c>
    </row>
    <row r="47" spans="1:11" x14ac:dyDescent="0.2">
      <c r="A47" s="44">
        <v>40918</v>
      </c>
      <c r="B47" s="45" t="s">
        <v>2482</v>
      </c>
      <c r="C47" s="46" t="s">
        <v>3646</v>
      </c>
      <c r="D47" s="47">
        <v>8388</v>
      </c>
      <c r="F47" s="46">
        <v>2</v>
      </c>
      <c r="G47" s="169" t="s">
        <v>3406</v>
      </c>
      <c r="H47" s="168" t="s">
        <v>404</v>
      </c>
    </row>
    <row r="48" spans="1:11" x14ac:dyDescent="0.2">
      <c r="A48" s="44">
        <v>40935</v>
      </c>
      <c r="B48" s="45" t="s">
        <v>402</v>
      </c>
      <c r="D48" s="47">
        <v>8391</v>
      </c>
      <c r="F48" s="46">
        <v>1</v>
      </c>
      <c r="G48" s="169" t="s">
        <v>3406</v>
      </c>
      <c r="H48" s="168" t="s">
        <v>826</v>
      </c>
    </row>
    <row r="49" spans="1:9" x14ac:dyDescent="0.2">
      <c r="A49" s="44">
        <v>40939</v>
      </c>
      <c r="B49" s="45" t="s">
        <v>403</v>
      </c>
      <c r="C49" s="46" t="s">
        <v>1043</v>
      </c>
      <c r="D49" s="47">
        <v>8392</v>
      </c>
      <c r="F49" s="46">
        <v>2</v>
      </c>
      <c r="G49" s="169" t="s">
        <v>3406</v>
      </c>
      <c r="H49" s="168" t="s">
        <v>118</v>
      </c>
    </row>
    <row r="50" spans="1:9" x14ac:dyDescent="0.2">
      <c r="A50" s="44">
        <v>41054</v>
      </c>
      <c r="B50" s="45" t="s">
        <v>1890</v>
      </c>
      <c r="C50" s="46" t="s">
        <v>21</v>
      </c>
      <c r="D50" s="47">
        <v>8981</v>
      </c>
    </row>
    <row r="51" spans="1:9" x14ac:dyDescent="0.2">
      <c r="A51" s="44">
        <v>41074</v>
      </c>
      <c r="B51" s="45" t="s">
        <v>3096</v>
      </c>
      <c r="C51" s="46" t="s">
        <v>3646</v>
      </c>
      <c r="D51" s="47">
        <v>9069</v>
      </c>
    </row>
    <row r="52" spans="1:9" x14ac:dyDescent="0.2">
      <c r="A52" s="44">
        <v>41180</v>
      </c>
      <c r="B52" s="45" t="s">
        <v>3303</v>
      </c>
      <c r="C52" s="46" t="s">
        <v>1431</v>
      </c>
      <c r="D52" s="47">
        <v>8964</v>
      </c>
    </row>
    <row r="53" spans="1:9" x14ac:dyDescent="0.2">
      <c r="A53" s="44">
        <v>41191</v>
      </c>
      <c r="B53" s="45" t="s">
        <v>1422</v>
      </c>
      <c r="C53" s="46" t="s">
        <v>1043</v>
      </c>
      <c r="D53" s="47">
        <v>8163</v>
      </c>
    </row>
    <row r="54" spans="1:9" x14ac:dyDescent="0.2">
      <c r="A54" s="44">
        <v>41229</v>
      </c>
      <c r="B54" s="45" t="s">
        <v>1341</v>
      </c>
      <c r="C54" s="46" t="s">
        <v>21</v>
      </c>
      <c r="D54" s="47">
        <v>9390</v>
      </c>
    </row>
    <row r="55" spans="1:9" x14ac:dyDescent="0.2">
      <c r="A55" s="44">
        <v>41242</v>
      </c>
      <c r="B55" s="45" t="s">
        <v>2912</v>
      </c>
      <c r="C55" s="46" t="s">
        <v>419</v>
      </c>
      <c r="D55" s="47">
        <v>9378</v>
      </c>
    </row>
    <row r="56" spans="1:9" x14ac:dyDescent="0.2">
      <c r="A56" s="44">
        <f ca="1">TODAY()</f>
        <v>41338</v>
      </c>
      <c r="B56" s="45" t="s">
        <v>2913</v>
      </c>
      <c r="C56" s="46" t="s">
        <v>1043</v>
      </c>
      <c r="D56" s="47">
        <v>9376</v>
      </c>
    </row>
    <row r="57" spans="1:9" x14ac:dyDescent="0.2">
      <c r="A57" s="44">
        <v>41242</v>
      </c>
      <c r="B57" s="45" t="s">
        <v>2915</v>
      </c>
      <c r="C57" s="46" t="s">
        <v>1043</v>
      </c>
      <c r="D57" s="47">
        <v>9381</v>
      </c>
    </row>
    <row r="58" spans="1:9" x14ac:dyDescent="0.2">
      <c r="A58" s="44">
        <v>41242</v>
      </c>
      <c r="B58" s="45" t="s">
        <v>2917</v>
      </c>
      <c r="C58" s="46" t="s">
        <v>1043</v>
      </c>
      <c r="D58" s="47">
        <v>9365</v>
      </c>
    </row>
    <row r="59" spans="1:9" x14ac:dyDescent="0.2">
      <c r="A59" s="44">
        <v>41242</v>
      </c>
      <c r="B59" s="45" t="s">
        <v>2918</v>
      </c>
      <c r="C59" s="46" t="s">
        <v>1043</v>
      </c>
      <c r="D59" s="47">
        <v>9374</v>
      </c>
      <c r="F59" s="46">
        <v>1</v>
      </c>
      <c r="G59" s="169" t="s">
        <v>3406</v>
      </c>
      <c r="I59" s="177">
        <v>41262</v>
      </c>
    </row>
    <row r="60" spans="1:9" x14ac:dyDescent="0.2">
      <c r="A60" s="44">
        <v>41305</v>
      </c>
      <c r="B60" s="45" t="s">
        <v>2786</v>
      </c>
      <c r="C60" s="46" t="s">
        <v>3646</v>
      </c>
      <c r="D60" s="47">
        <v>9278</v>
      </c>
    </row>
  </sheetData>
  <autoFilter ref="A1:F51">
    <sortState ref="A107:F107">
      <sortCondition ref="A1:A116"/>
    </sortState>
  </autoFilter>
  <phoneticPr fontId="0" type="noConversion"/>
  <conditionalFormatting sqref="F1:F1048576">
    <cfRule type="cellIs" dxfId="23" priority="1" stopIfTrue="1" operator="equal">
      <formula>1</formula>
    </cfRule>
    <cfRule type="cellIs" dxfId="22" priority="2" stopIfTrue="1" operator="equal">
      <formula>2</formula>
    </cfRule>
    <cfRule type="cellIs" dxfId="21" priority="3" stopIfTrue="1" operator="equal">
      <formula>3</formula>
    </cfRule>
  </conditionalFormatting>
  <conditionalFormatting sqref="I1:I1048576">
    <cfRule type="cellIs" dxfId="20" priority="4" stopIfTrue="1" operator="equal">
      <formula>"Ok"</formula>
    </cfRule>
  </conditionalFormatting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6" orientation="landscape" r:id="rId1"/>
  <headerFooter alignWithMargins="0">
    <oddHeader>&amp;Lsuivi des travaux de maintenance.&amp;C&amp;"Arial,Gras"&amp;12&amp;EParc à grumes Urmatt
A faire&amp;R&amp;D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>
    <tabColor indexed="41"/>
  </sheetPr>
  <dimension ref="A1:G494"/>
  <sheetViews>
    <sheetView workbookViewId="0">
      <pane ySplit="1" topLeftCell="A474" activePane="bottomLeft" state="frozen"/>
      <selection activeCell="B17" sqref="B17"/>
      <selection pane="bottomLeft" activeCell="A494" sqref="A494:F494"/>
    </sheetView>
  </sheetViews>
  <sheetFormatPr baseColWidth="10" defaultRowHeight="12.75" x14ac:dyDescent="0.2"/>
  <cols>
    <col min="1" max="1" width="10.28515625" style="48" customWidth="1"/>
    <col min="2" max="2" width="88.42578125" style="49" customWidth="1"/>
    <col min="3" max="3" width="8.42578125" style="50" customWidth="1"/>
    <col min="4" max="4" width="7.7109375" style="51" customWidth="1"/>
    <col min="5" max="5" width="8.7109375" style="50" customWidth="1"/>
    <col min="6" max="6" width="8" style="50" customWidth="1"/>
    <col min="7" max="7" width="15.28515625" style="41" bestFit="1" customWidth="1"/>
  </cols>
  <sheetData>
    <row r="1" spans="1:7" ht="13.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x14ac:dyDescent="0.2">
      <c r="A2" s="179">
        <v>38719</v>
      </c>
      <c r="B2" s="180" t="s">
        <v>2248</v>
      </c>
      <c r="C2" s="183"/>
      <c r="D2" s="182">
        <v>32</v>
      </c>
      <c r="E2" s="183" t="s">
        <v>3175</v>
      </c>
      <c r="F2" s="183"/>
      <c r="G2" s="80"/>
    </row>
    <row r="3" spans="1:7" x14ac:dyDescent="0.2">
      <c r="A3" s="48">
        <v>38859</v>
      </c>
      <c r="B3" s="49" t="s">
        <v>2965</v>
      </c>
      <c r="D3" s="51">
        <v>645</v>
      </c>
      <c r="E3" s="50" t="s">
        <v>3484</v>
      </c>
    </row>
    <row r="4" spans="1:7" x14ac:dyDescent="0.2">
      <c r="A4" s="39">
        <v>38953</v>
      </c>
      <c r="B4" s="40" t="s">
        <v>2633</v>
      </c>
      <c r="C4" s="41"/>
      <c r="D4" s="43">
        <v>912</v>
      </c>
      <c r="E4" s="41" t="s">
        <v>3478</v>
      </c>
      <c r="F4" s="41"/>
    </row>
    <row r="5" spans="1:7" x14ac:dyDescent="0.2">
      <c r="A5" s="48">
        <v>39007</v>
      </c>
      <c r="B5" s="49" t="s">
        <v>2288</v>
      </c>
      <c r="D5" s="51">
        <v>976</v>
      </c>
      <c r="E5" s="50" t="s">
        <v>3482</v>
      </c>
    </row>
    <row r="6" spans="1:7" x14ac:dyDescent="0.2">
      <c r="A6" s="39">
        <v>39007</v>
      </c>
      <c r="B6" s="40" t="s">
        <v>3747</v>
      </c>
      <c r="C6" s="41"/>
      <c r="D6" s="43">
        <v>1013</v>
      </c>
      <c r="E6" s="41" t="s">
        <v>3479</v>
      </c>
      <c r="F6" s="41"/>
      <c r="G6" s="56"/>
    </row>
    <row r="7" spans="1:7" x14ac:dyDescent="0.2">
      <c r="A7" s="126">
        <v>39007</v>
      </c>
      <c r="B7" s="127" t="s">
        <v>3318</v>
      </c>
      <c r="C7" s="130"/>
      <c r="D7" s="129">
        <v>1014</v>
      </c>
      <c r="E7" s="130" t="s">
        <v>3480</v>
      </c>
      <c r="G7" s="56">
        <v>39857</v>
      </c>
    </row>
    <row r="8" spans="1:7" x14ac:dyDescent="0.2">
      <c r="A8" s="39">
        <v>39007</v>
      </c>
      <c r="B8" s="40" t="s">
        <v>1844</v>
      </c>
      <c r="C8" s="41"/>
      <c r="D8" s="43">
        <v>1017</v>
      </c>
      <c r="E8" s="41" t="s">
        <v>3479</v>
      </c>
      <c r="F8" s="41"/>
    </row>
    <row r="9" spans="1:7" x14ac:dyDescent="0.2">
      <c r="A9" s="39">
        <v>39007</v>
      </c>
      <c r="B9" s="40" t="s">
        <v>3257</v>
      </c>
      <c r="C9" s="41"/>
      <c r="D9" s="43">
        <v>1018</v>
      </c>
      <c r="E9" s="41" t="s">
        <v>3482</v>
      </c>
      <c r="F9" s="41"/>
    </row>
    <row r="10" spans="1:7" x14ac:dyDescent="0.2">
      <c r="A10" s="39">
        <v>39062</v>
      </c>
      <c r="B10" s="40" t="s">
        <v>649</v>
      </c>
      <c r="C10" s="41"/>
      <c r="D10" s="43">
        <v>1039</v>
      </c>
      <c r="E10" s="41" t="s">
        <v>3032</v>
      </c>
      <c r="F10" s="41"/>
    </row>
    <row r="11" spans="1:7" x14ac:dyDescent="0.2">
      <c r="A11" s="39">
        <v>39105</v>
      </c>
      <c r="B11" s="40" t="s">
        <v>155</v>
      </c>
      <c r="C11" s="41"/>
      <c r="D11" s="43">
        <v>1042</v>
      </c>
      <c r="E11" s="41" t="s">
        <v>3481</v>
      </c>
      <c r="F11" s="41"/>
    </row>
    <row r="12" spans="1:7" x14ac:dyDescent="0.2">
      <c r="A12" s="39">
        <v>39050</v>
      </c>
      <c r="B12" s="40" t="s">
        <v>763</v>
      </c>
      <c r="C12" s="41"/>
      <c r="D12" s="43">
        <v>1122</v>
      </c>
      <c r="E12" s="41" t="s">
        <v>3482</v>
      </c>
      <c r="F12" s="41"/>
    </row>
    <row r="13" spans="1:7" x14ac:dyDescent="0.2">
      <c r="A13" s="39">
        <v>39055</v>
      </c>
      <c r="B13" s="40" t="s">
        <v>1147</v>
      </c>
      <c r="C13" s="41"/>
      <c r="D13" s="43">
        <v>1125</v>
      </c>
      <c r="E13" s="41" t="s">
        <v>3162</v>
      </c>
      <c r="F13" s="41"/>
    </row>
    <row r="14" spans="1:7" x14ac:dyDescent="0.2">
      <c r="A14" s="39">
        <v>39091</v>
      </c>
      <c r="B14" s="40" t="s">
        <v>2632</v>
      </c>
      <c r="C14" s="41"/>
      <c r="D14" s="43">
        <v>1318</v>
      </c>
      <c r="E14" s="41" t="s">
        <v>3478</v>
      </c>
      <c r="F14" s="41"/>
    </row>
    <row r="15" spans="1:7" x14ac:dyDescent="0.2">
      <c r="A15" s="39">
        <v>39091</v>
      </c>
      <c r="B15" s="40" t="s">
        <v>2455</v>
      </c>
      <c r="C15" s="41"/>
      <c r="D15" s="43">
        <v>1319</v>
      </c>
      <c r="E15" s="41" t="s">
        <v>3478</v>
      </c>
      <c r="F15" s="41"/>
    </row>
    <row r="16" spans="1:7" x14ac:dyDescent="0.2">
      <c r="A16" s="48">
        <v>39406</v>
      </c>
      <c r="B16" s="49" t="s">
        <v>1804</v>
      </c>
      <c r="D16" s="51">
        <v>1374</v>
      </c>
      <c r="E16" s="50" t="s">
        <v>3162</v>
      </c>
    </row>
    <row r="17" spans="1:7" x14ac:dyDescent="0.2">
      <c r="A17" s="39">
        <v>39121</v>
      </c>
      <c r="B17" s="40" t="s">
        <v>2855</v>
      </c>
      <c r="C17" s="41"/>
      <c r="D17" s="43">
        <v>1380</v>
      </c>
      <c r="E17" s="41" t="s">
        <v>1085</v>
      </c>
      <c r="F17" s="41"/>
    </row>
    <row r="18" spans="1:7" x14ac:dyDescent="0.2">
      <c r="A18" s="39">
        <v>39105</v>
      </c>
      <c r="B18" s="40" t="s">
        <v>1481</v>
      </c>
      <c r="C18" s="41"/>
      <c r="D18" s="43">
        <v>1381</v>
      </c>
      <c r="E18" s="41" t="s">
        <v>433</v>
      </c>
      <c r="F18" s="41"/>
    </row>
    <row r="19" spans="1:7" x14ac:dyDescent="0.2">
      <c r="A19" s="39">
        <v>39105</v>
      </c>
      <c r="B19" s="40" t="s">
        <v>3440</v>
      </c>
      <c r="C19" s="41"/>
      <c r="D19" s="43">
        <v>1382</v>
      </c>
      <c r="E19" s="41" t="s">
        <v>3162</v>
      </c>
      <c r="F19" s="41"/>
    </row>
    <row r="20" spans="1:7" x14ac:dyDescent="0.2">
      <c r="A20" s="39">
        <v>39105</v>
      </c>
      <c r="B20" s="40" t="s">
        <v>1482</v>
      </c>
      <c r="C20" s="41"/>
      <c r="D20" s="43">
        <v>1383</v>
      </c>
      <c r="E20" s="41" t="s">
        <v>3175</v>
      </c>
      <c r="F20" s="41"/>
    </row>
    <row r="21" spans="1:7" x14ac:dyDescent="0.2">
      <c r="A21" s="39">
        <v>39104</v>
      </c>
      <c r="B21" s="40" t="s">
        <v>1934</v>
      </c>
      <c r="C21" s="41"/>
      <c r="D21" s="43">
        <v>1395</v>
      </c>
      <c r="E21" s="41" t="s">
        <v>3482</v>
      </c>
      <c r="F21" s="41"/>
    </row>
    <row r="22" spans="1:7" x14ac:dyDescent="0.2">
      <c r="A22" s="39">
        <v>39102</v>
      </c>
      <c r="B22" s="40" t="s">
        <v>3554</v>
      </c>
      <c r="C22" s="41"/>
      <c r="D22" s="43">
        <v>1396</v>
      </c>
      <c r="E22" s="41" t="s">
        <v>1562</v>
      </c>
      <c r="F22" s="41"/>
    </row>
    <row r="23" spans="1:7" x14ac:dyDescent="0.2">
      <c r="A23" s="39">
        <v>39099</v>
      </c>
      <c r="B23" s="40" t="s">
        <v>2181</v>
      </c>
      <c r="C23" s="41"/>
      <c r="D23" s="43">
        <v>1397</v>
      </c>
      <c r="E23" s="41" t="s">
        <v>3478</v>
      </c>
      <c r="F23" s="41"/>
    </row>
    <row r="24" spans="1:7" x14ac:dyDescent="0.2">
      <c r="A24" s="39">
        <v>39114</v>
      </c>
      <c r="B24" s="40" t="s">
        <v>1845</v>
      </c>
      <c r="C24" s="41"/>
      <c r="D24" s="43">
        <v>1404</v>
      </c>
      <c r="E24" s="41" t="s">
        <v>3175</v>
      </c>
      <c r="F24" s="41"/>
    </row>
    <row r="25" spans="1:7" x14ac:dyDescent="0.2">
      <c r="A25" s="39">
        <v>39115</v>
      </c>
      <c r="B25" s="40" t="s">
        <v>3038</v>
      </c>
      <c r="C25" s="41"/>
      <c r="D25" s="43">
        <v>1409</v>
      </c>
      <c r="E25" s="41" t="s">
        <v>3165</v>
      </c>
      <c r="F25" s="41"/>
    </row>
    <row r="26" spans="1:7" x14ac:dyDescent="0.2">
      <c r="A26" s="48">
        <v>39958</v>
      </c>
      <c r="B26" s="49" t="s">
        <v>1916</v>
      </c>
      <c r="C26" s="50" t="s">
        <v>3409</v>
      </c>
      <c r="D26" s="51">
        <v>1513</v>
      </c>
      <c r="E26" s="50" t="s">
        <v>433</v>
      </c>
      <c r="G26" s="56">
        <v>40051</v>
      </c>
    </row>
    <row r="27" spans="1:7" x14ac:dyDescent="0.2">
      <c r="A27" s="39">
        <v>39111</v>
      </c>
      <c r="B27" s="40" t="s">
        <v>2242</v>
      </c>
      <c r="C27" s="41"/>
      <c r="D27" s="43">
        <v>1516</v>
      </c>
      <c r="E27" s="41" t="s">
        <v>3482</v>
      </c>
      <c r="F27" s="41"/>
    </row>
    <row r="28" spans="1:7" x14ac:dyDescent="0.2">
      <c r="A28" s="39">
        <v>39119</v>
      </c>
      <c r="B28" s="40" t="s">
        <v>3203</v>
      </c>
      <c r="C28" s="41"/>
      <c r="D28" s="43">
        <v>1521</v>
      </c>
      <c r="E28" s="41" t="s">
        <v>3162</v>
      </c>
      <c r="F28" s="41"/>
    </row>
    <row r="29" spans="1:7" x14ac:dyDescent="0.2">
      <c r="A29" s="39">
        <v>39121</v>
      </c>
      <c r="B29" s="40" t="s">
        <v>2452</v>
      </c>
      <c r="C29" s="41"/>
      <c r="D29" s="43">
        <v>1522</v>
      </c>
      <c r="E29" s="41" t="s">
        <v>3479</v>
      </c>
      <c r="F29" s="41"/>
    </row>
    <row r="30" spans="1:7" x14ac:dyDescent="0.2">
      <c r="A30" s="39">
        <v>39121</v>
      </c>
      <c r="B30" s="40" t="s">
        <v>2452</v>
      </c>
      <c r="C30" s="41"/>
      <c r="D30" s="43">
        <v>1522</v>
      </c>
      <c r="E30" s="41" t="s">
        <v>3479</v>
      </c>
      <c r="F30" s="41"/>
    </row>
    <row r="31" spans="1:7" x14ac:dyDescent="0.2">
      <c r="A31" s="39">
        <v>39125</v>
      </c>
      <c r="B31" s="40" t="s">
        <v>2604</v>
      </c>
      <c r="C31" s="41"/>
      <c r="D31" s="43">
        <v>1524</v>
      </c>
      <c r="E31" s="41" t="s">
        <v>3175</v>
      </c>
      <c r="F31" s="41"/>
    </row>
    <row r="32" spans="1:7" x14ac:dyDescent="0.2">
      <c r="A32" s="39">
        <v>39125</v>
      </c>
      <c r="B32" s="40" t="s">
        <v>2453</v>
      </c>
      <c r="C32" s="41"/>
      <c r="D32" s="43">
        <v>1526</v>
      </c>
      <c r="E32" s="41" t="s">
        <v>3175</v>
      </c>
      <c r="F32" s="41"/>
    </row>
    <row r="33" spans="1:7" x14ac:dyDescent="0.2">
      <c r="A33" s="39">
        <v>39125</v>
      </c>
      <c r="B33" s="40" t="s">
        <v>610</v>
      </c>
      <c r="C33" s="41"/>
      <c r="D33" s="43">
        <v>1534</v>
      </c>
      <c r="E33" s="41" t="s">
        <v>3482</v>
      </c>
      <c r="F33" s="41"/>
    </row>
    <row r="34" spans="1:7" x14ac:dyDescent="0.2">
      <c r="A34" s="126">
        <v>39958</v>
      </c>
      <c r="B34" s="127" t="s">
        <v>1917</v>
      </c>
      <c r="C34" s="130" t="s">
        <v>3409</v>
      </c>
      <c r="D34" s="129">
        <v>1539</v>
      </c>
      <c r="E34" s="130" t="s">
        <v>3478</v>
      </c>
      <c r="G34" s="56">
        <v>39994</v>
      </c>
    </row>
    <row r="35" spans="1:7" x14ac:dyDescent="0.2">
      <c r="A35" s="48">
        <v>39958</v>
      </c>
      <c r="B35" s="49" t="s">
        <v>1738</v>
      </c>
      <c r="C35" s="50" t="s">
        <v>1859</v>
      </c>
      <c r="D35" s="51">
        <v>1540</v>
      </c>
      <c r="E35" s="50" t="s">
        <v>3163</v>
      </c>
      <c r="G35" s="56">
        <v>40268</v>
      </c>
    </row>
    <row r="36" spans="1:7" x14ac:dyDescent="0.2">
      <c r="A36" s="39">
        <v>39150</v>
      </c>
      <c r="B36" s="40" t="s">
        <v>3840</v>
      </c>
      <c r="C36" s="41"/>
      <c r="D36" s="43">
        <v>1574</v>
      </c>
      <c r="E36" s="41" t="s">
        <v>1085</v>
      </c>
      <c r="F36" s="41"/>
    </row>
    <row r="37" spans="1:7" x14ac:dyDescent="0.2">
      <c r="A37" s="39">
        <v>39156</v>
      </c>
      <c r="B37" s="40" t="s">
        <v>648</v>
      </c>
      <c r="C37" s="41"/>
      <c r="D37" s="43">
        <v>1585</v>
      </c>
      <c r="E37" s="41" t="s">
        <v>3162</v>
      </c>
      <c r="F37" s="41"/>
    </row>
    <row r="38" spans="1:7" x14ac:dyDescent="0.2">
      <c r="A38" s="39">
        <v>39156</v>
      </c>
      <c r="B38" s="40" t="s">
        <v>298</v>
      </c>
      <c r="C38" s="41"/>
      <c r="D38" s="43">
        <v>1586</v>
      </c>
      <c r="E38" s="41" t="s">
        <v>3479</v>
      </c>
      <c r="F38" s="41"/>
    </row>
    <row r="39" spans="1:7" x14ac:dyDescent="0.2">
      <c r="A39" s="39">
        <v>39156</v>
      </c>
      <c r="B39" s="40" t="s">
        <v>858</v>
      </c>
      <c r="C39" s="41"/>
      <c r="D39" s="43">
        <v>1587</v>
      </c>
      <c r="E39" s="41" t="s">
        <v>3162</v>
      </c>
      <c r="F39" s="41"/>
    </row>
    <row r="40" spans="1:7" x14ac:dyDescent="0.2">
      <c r="A40" s="39">
        <v>39156</v>
      </c>
      <c r="B40" s="40" t="s">
        <v>3829</v>
      </c>
      <c r="C40" s="41"/>
      <c r="D40" s="43">
        <v>1588</v>
      </c>
      <c r="E40" s="41" t="s">
        <v>3162</v>
      </c>
      <c r="F40" s="41"/>
    </row>
    <row r="41" spans="1:7" x14ac:dyDescent="0.2">
      <c r="A41" s="39">
        <v>39156</v>
      </c>
      <c r="B41" s="40" t="s">
        <v>297</v>
      </c>
      <c r="C41" s="41"/>
      <c r="D41" s="43">
        <v>1589</v>
      </c>
      <c r="E41" s="41" t="s">
        <v>3479</v>
      </c>
      <c r="F41" s="41"/>
    </row>
    <row r="42" spans="1:7" x14ac:dyDescent="0.2">
      <c r="A42" s="39">
        <v>39168</v>
      </c>
      <c r="B42" s="40" t="s">
        <v>3834</v>
      </c>
      <c r="C42" s="41"/>
      <c r="D42" s="43">
        <v>1591</v>
      </c>
      <c r="E42" s="41" t="s">
        <v>3478</v>
      </c>
      <c r="F42" s="41"/>
    </row>
    <row r="43" spans="1:7" x14ac:dyDescent="0.2">
      <c r="A43" s="39">
        <v>39169</v>
      </c>
      <c r="B43" s="40" t="s">
        <v>2464</v>
      </c>
      <c r="C43" s="41"/>
      <c r="D43" s="43">
        <v>1592</v>
      </c>
      <c r="E43" s="41" t="s">
        <v>3481</v>
      </c>
      <c r="F43" s="41"/>
    </row>
    <row r="44" spans="1:7" x14ac:dyDescent="0.2">
      <c r="A44" s="39">
        <v>39184</v>
      </c>
      <c r="B44" s="40" t="s">
        <v>2008</v>
      </c>
      <c r="C44" s="41"/>
      <c r="D44" s="43">
        <v>1594</v>
      </c>
      <c r="E44" s="41" t="s">
        <v>3162</v>
      </c>
      <c r="F44" s="41"/>
    </row>
    <row r="45" spans="1:7" x14ac:dyDescent="0.2">
      <c r="A45" s="48">
        <v>39275</v>
      </c>
      <c r="B45" s="49" t="s">
        <v>2487</v>
      </c>
      <c r="D45" s="51">
        <v>1594</v>
      </c>
      <c r="E45" s="50" t="s">
        <v>3162</v>
      </c>
    </row>
    <row r="46" spans="1:7" x14ac:dyDescent="0.2">
      <c r="A46" s="48">
        <v>39252</v>
      </c>
      <c r="B46" s="49" t="s">
        <v>1944</v>
      </c>
      <c r="D46" s="51">
        <v>1652</v>
      </c>
      <c r="E46" s="50" t="s">
        <v>1617</v>
      </c>
    </row>
    <row r="47" spans="1:7" x14ac:dyDescent="0.2">
      <c r="A47" s="48">
        <v>39252</v>
      </c>
      <c r="B47" s="49" t="s">
        <v>571</v>
      </c>
      <c r="D47" s="51">
        <v>1663</v>
      </c>
      <c r="E47" s="50" t="s">
        <v>3206</v>
      </c>
    </row>
    <row r="48" spans="1:7" x14ac:dyDescent="0.2">
      <c r="A48" s="48">
        <v>39248</v>
      </c>
      <c r="B48" s="49" t="s">
        <v>662</v>
      </c>
      <c r="D48" s="51">
        <v>1664</v>
      </c>
      <c r="E48" s="50" t="s">
        <v>1086</v>
      </c>
    </row>
    <row r="49" spans="1:6" x14ac:dyDescent="0.2">
      <c r="A49" s="48">
        <v>39252</v>
      </c>
      <c r="B49" s="49" t="s">
        <v>2096</v>
      </c>
      <c r="D49" s="51">
        <v>1665</v>
      </c>
      <c r="E49" s="50" t="s">
        <v>3162</v>
      </c>
    </row>
    <row r="50" spans="1:6" x14ac:dyDescent="0.2">
      <c r="A50" s="48">
        <v>39252</v>
      </c>
      <c r="B50" s="49" t="s">
        <v>2486</v>
      </c>
      <c r="D50" s="51">
        <v>1665</v>
      </c>
      <c r="E50" s="50" t="s">
        <v>3162</v>
      </c>
    </row>
    <row r="51" spans="1:6" x14ac:dyDescent="0.2">
      <c r="A51" s="48">
        <v>39252</v>
      </c>
      <c r="B51" s="49" t="s">
        <v>1952</v>
      </c>
      <c r="D51" s="51">
        <v>1666</v>
      </c>
      <c r="E51" s="50" t="s">
        <v>3206</v>
      </c>
    </row>
    <row r="52" spans="1:6" x14ac:dyDescent="0.2">
      <c r="A52" s="39">
        <v>39238</v>
      </c>
      <c r="B52" s="40" t="s">
        <v>2145</v>
      </c>
      <c r="C52" s="41"/>
      <c r="D52" s="43">
        <v>1709</v>
      </c>
      <c r="E52" s="41" t="s">
        <v>3481</v>
      </c>
      <c r="F52" s="41"/>
    </row>
    <row r="53" spans="1:6" x14ac:dyDescent="0.2">
      <c r="A53" s="39">
        <v>39238</v>
      </c>
      <c r="B53" s="40" t="s">
        <v>1121</v>
      </c>
      <c r="C53" s="41"/>
      <c r="D53" s="43">
        <v>1711</v>
      </c>
      <c r="E53" s="41" t="s">
        <v>3484</v>
      </c>
      <c r="F53" s="41"/>
    </row>
    <row r="54" spans="1:6" x14ac:dyDescent="0.2">
      <c r="A54" s="39">
        <v>39238</v>
      </c>
      <c r="B54" s="40" t="s">
        <v>1371</v>
      </c>
      <c r="C54" s="41"/>
      <c r="D54" s="43">
        <v>1712</v>
      </c>
      <c r="E54" s="41" t="s">
        <v>3481</v>
      </c>
      <c r="F54" s="41"/>
    </row>
    <row r="55" spans="1:6" x14ac:dyDescent="0.2">
      <c r="A55" s="48">
        <v>39238</v>
      </c>
      <c r="B55" s="49" t="s">
        <v>2584</v>
      </c>
      <c r="D55" s="51">
        <v>1714</v>
      </c>
      <c r="E55" s="50" t="s">
        <v>3175</v>
      </c>
    </row>
    <row r="56" spans="1:6" x14ac:dyDescent="0.2">
      <c r="A56" s="39">
        <v>39238</v>
      </c>
      <c r="B56" s="40" t="s">
        <v>1370</v>
      </c>
      <c r="C56" s="41"/>
      <c r="D56" s="43">
        <v>1718</v>
      </c>
      <c r="E56" s="41" t="s">
        <v>3175</v>
      </c>
      <c r="F56" s="41"/>
    </row>
    <row r="57" spans="1:6" x14ac:dyDescent="0.2">
      <c r="A57" s="39">
        <v>39234</v>
      </c>
      <c r="B57" s="40" t="s">
        <v>2736</v>
      </c>
      <c r="C57" s="41"/>
      <c r="D57" s="43">
        <v>1788</v>
      </c>
      <c r="E57" s="41" t="s">
        <v>3162</v>
      </c>
      <c r="F57" s="41"/>
    </row>
    <row r="58" spans="1:6" x14ac:dyDescent="0.2">
      <c r="A58" s="48">
        <v>39226</v>
      </c>
      <c r="B58" s="49" t="s">
        <v>1602</v>
      </c>
      <c r="D58" s="51">
        <v>1793</v>
      </c>
      <c r="E58" s="50" t="s">
        <v>3162</v>
      </c>
    </row>
    <row r="59" spans="1:6" x14ac:dyDescent="0.2">
      <c r="A59" s="39">
        <v>39204</v>
      </c>
      <c r="B59" s="40" t="s">
        <v>1510</v>
      </c>
      <c r="C59" s="41"/>
      <c r="D59" s="43">
        <v>1799</v>
      </c>
      <c r="E59" s="41" t="s">
        <v>3479</v>
      </c>
      <c r="F59" s="41"/>
    </row>
    <row r="60" spans="1:6" x14ac:dyDescent="0.2">
      <c r="A60" s="39">
        <v>39209</v>
      </c>
      <c r="B60" s="40" t="s">
        <v>1480</v>
      </c>
      <c r="C60" s="41"/>
      <c r="D60" s="43">
        <v>1800</v>
      </c>
      <c r="E60" s="41" t="s">
        <v>3482</v>
      </c>
      <c r="F60" s="41"/>
    </row>
    <row r="61" spans="1:6" x14ac:dyDescent="0.2">
      <c r="A61" s="48">
        <v>39342</v>
      </c>
      <c r="B61" s="49" t="s">
        <v>3104</v>
      </c>
      <c r="D61" s="51">
        <v>1809</v>
      </c>
      <c r="E61" s="50" t="s">
        <v>135</v>
      </c>
    </row>
    <row r="62" spans="1:6" x14ac:dyDescent="0.2">
      <c r="A62" s="48">
        <v>39342</v>
      </c>
      <c r="B62" s="49" t="s">
        <v>2075</v>
      </c>
      <c r="D62" s="51">
        <v>1811</v>
      </c>
      <c r="E62" s="50" t="s">
        <v>3175</v>
      </c>
    </row>
    <row r="63" spans="1:6" x14ac:dyDescent="0.2">
      <c r="A63" s="48">
        <v>39342</v>
      </c>
      <c r="B63" s="49" t="s">
        <v>965</v>
      </c>
      <c r="D63" s="51">
        <v>1812</v>
      </c>
      <c r="E63" s="50" t="s">
        <v>3480</v>
      </c>
    </row>
    <row r="64" spans="1:6" x14ac:dyDescent="0.2">
      <c r="A64" s="39">
        <v>39191</v>
      </c>
      <c r="B64" s="40" t="s">
        <v>1509</v>
      </c>
      <c r="C64" s="41"/>
      <c r="D64" s="43">
        <v>1945</v>
      </c>
      <c r="E64" s="41" t="s">
        <v>3162</v>
      </c>
      <c r="F64" s="41"/>
    </row>
    <row r="65" spans="1:7" x14ac:dyDescent="0.2">
      <c r="A65" s="48">
        <v>39252</v>
      </c>
      <c r="B65" s="49" t="s">
        <v>1421</v>
      </c>
      <c r="D65" s="51">
        <v>2050</v>
      </c>
      <c r="E65" s="50" t="s">
        <v>3162</v>
      </c>
    </row>
    <row r="66" spans="1:7" x14ac:dyDescent="0.2">
      <c r="A66" s="48">
        <v>39252</v>
      </c>
      <c r="B66" s="49" t="s">
        <v>1074</v>
      </c>
      <c r="D66" s="51">
        <v>2051</v>
      </c>
      <c r="E66" s="50" t="s">
        <v>3206</v>
      </c>
    </row>
    <row r="67" spans="1:7" x14ac:dyDescent="0.2">
      <c r="A67" s="48">
        <v>39252</v>
      </c>
      <c r="B67" s="49" t="s">
        <v>572</v>
      </c>
      <c r="D67" s="51">
        <v>2052</v>
      </c>
      <c r="E67" s="50" t="s">
        <v>3482</v>
      </c>
    </row>
    <row r="68" spans="1:7" x14ac:dyDescent="0.2">
      <c r="A68" s="48">
        <v>39269</v>
      </c>
      <c r="B68" s="49" t="s">
        <v>3534</v>
      </c>
      <c r="D68" s="51">
        <v>2057</v>
      </c>
      <c r="E68" s="50" t="s">
        <v>2789</v>
      </c>
    </row>
    <row r="69" spans="1:7" x14ac:dyDescent="0.2">
      <c r="A69" s="48">
        <v>39269</v>
      </c>
      <c r="B69" s="49" t="s">
        <v>285</v>
      </c>
      <c r="C69" s="50" t="s">
        <v>3646</v>
      </c>
      <c r="D69" s="51">
        <v>2058</v>
      </c>
      <c r="E69" s="50" t="s">
        <v>3478</v>
      </c>
      <c r="G69" s="56">
        <v>40138</v>
      </c>
    </row>
    <row r="70" spans="1:7" x14ac:dyDescent="0.2">
      <c r="A70" s="48">
        <v>39269</v>
      </c>
      <c r="B70" s="49" t="s">
        <v>1548</v>
      </c>
      <c r="D70" s="51">
        <v>2059</v>
      </c>
      <c r="E70" s="50" t="s">
        <v>3175</v>
      </c>
    </row>
    <row r="71" spans="1:7" x14ac:dyDescent="0.2">
      <c r="A71" s="48">
        <v>39266</v>
      </c>
      <c r="B71" s="49" t="s">
        <v>3220</v>
      </c>
      <c r="D71" s="51">
        <v>2072</v>
      </c>
      <c r="E71" s="50" t="s">
        <v>748</v>
      </c>
      <c r="G71" s="56">
        <v>39568</v>
      </c>
    </row>
    <row r="72" spans="1:7" x14ac:dyDescent="0.2">
      <c r="A72" s="48">
        <v>39279</v>
      </c>
      <c r="B72" s="49" t="s">
        <v>306</v>
      </c>
      <c r="D72" s="51">
        <v>2074</v>
      </c>
      <c r="E72" s="50" t="s">
        <v>1330</v>
      </c>
      <c r="G72" s="56">
        <v>39857</v>
      </c>
    </row>
    <row r="73" spans="1:7" x14ac:dyDescent="0.2">
      <c r="A73" s="48">
        <v>39279</v>
      </c>
      <c r="B73" s="49" t="s">
        <v>205</v>
      </c>
      <c r="D73" s="51">
        <v>2075</v>
      </c>
      <c r="E73" s="50" t="s">
        <v>3482</v>
      </c>
    </row>
    <row r="74" spans="1:7" x14ac:dyDescent="0.2">
      <c r="A74" s="126">
        <v>39290</v>
      </c>
      <c r="B74" s="127" t="s">
        <v>283</v>
      </c>
      <c r="C74" s="130"/>
      <c r="D74" s="129">
        <v>2081</v>
      </c>
      <c r="E74" s="130" t="s">
        <v>2789</v>
      </c>
      <c r="G74" s="56">
        <v>39857</v>
      </c>
    </row>
    <row r="75" spans="1:7" x14ac:dyDescent="0.2">
      <c r="A75" s="48">
        <v>39290</v>
      </c>
      <c r="B75" s="49" t="s">
        <v>3488</v>
      </c>
      <c r="D75" s="51">
        <v>2083</v>
      </c>
      <c r="E75" s="50" t="s">
        <v>3482</v>
      </c>
    </row>
    <row r="76" spans="1:7" x14ac:dyDescent="0.2">
      <c r="A76" s="48">
        <v>39290</v>
      </c>
      <c r="B76" s="49" t="s">
        <v>3487</v>
      </c>
      <c r="D76" s="51">
        <v>2084</v>
      </c>
      <c r="E76" s="50" t="s">
        <v>3482</v>
      </c>
    </row>
    <row r="77" spans="1:7" x14ac:dyDescent="0.2">
      <c r="A77" s="48">
        <v>39269</v>
      </c>
      <c r="B77" s="49" t="s">
        <v>3534</v>
      </c>
      <c r="D77" s="51">
        <v>2085</v>
      </c>
      <c r="E77" s="50" t="s">
        <v>2789</v>
      </c>
    </row>
    <row r="78" spans="1:7" x14ac:dyDescent="0.2">
      <c r="A78" s="48">
        <v>39314</v>
      </c>
      <c r="B78" s="49" t="s">
        <v>1903</v>
      </c>
      <c r="D78" s="51">
        <v>2131</v>
      </c>
      <c r="E78" s="50" t="s">
        <v>3479</v>
      </c>
    </row>
    <row r="79" spans="1:7" x14ac:dyDescent="0.2">
      <c r="A79" s="48">
        <v>39326</v>
      </c>
      <c r="B79" s="49" t="s">
        <v>787</v>
      </c>
      <c r="D79" s="51">
        <v>2133</v>
      </c>
      <c r="E79" s="50" t="s">
        <v>2620</v>
      </c>
    </row>
    <row r="80" spans="1:7" x14ac:dyDescent="0.2">
      <c r="A80" s="48">
        <v>39338</v>
      </c>
      <c r="B80" s="49" t="s">
        <v>284</v>
      </c>
      <c r="D80" s="51">
        <v>2138</v>
      </c>
      <c r="E80" s="50" t="s">
        <v>3479</v>
      </c>
    </row>
    <row r="81" spans="1:5" x14ac:dyDescent="0.2">
      <c r="A81" s="48">
        <v>39343</v>
      </c>
      <c r="B81" s="49" t="s">
        <v>2290</v>
      </c>
      <c r="D81" s="51">
        <v>2140</v>
      </c>
      <c r="E81" s="50" t="s">
        <v>3206</v>
      </c>
    </row>
    <row r="82" spans="1:5" x14ac:dyDescent="0.2">
      <c r="A82" s="48">
        <v>39345</v>
      </c>
      <c r="B82" s="49" t="s">
        <v>2289</v>
      </c>
      <c r="D82" s="51">
        <v>2151</v>
      </c>
      <c r="E82" s="50" t="s">
        <v>3479</v>
      </c>
    </row>
    <row r="83" spans="1:5" x14ac:dyDescent="0.2">
      <c r="A83" s="48">
        <v>39345</v>
      </c>
      <c r="B83" s="49" t="s">
        <v>1276</v>
      </c>
      <c r="D83" s="51">
        <v>2152</v>
      </c>
      <c r="E83" s="50" t="s">
        <v>3486</v>
      </c>
    </row>
    <row r="84" spans="1:5" x14ac:dyDescent="0.2">
      <c r="A84" s="48">
        <v>39350</v>
      </c>
      <c r="B84" s="49" t="s">
        <v>1794</v>
      </c>
      <c r="D84" s="51">
        <v>2159</v>
      </c>
      <c r="E84" s="50" t="s">
        <v>3523</v>
      </c>
    </row>
    <row r="85" spans="1:5" x14ac:dyDescent="0.2">
      <c r="A85" s="48">
        <v>39350</v>
      </c>
      <c r="B85" s="49" t="s">
        <v>1802</v>
      </c>
      <c r="D85" s="51">
        <v>2160</v>
      </c>
      <c r="E85" s="50" t="s">
        <v>3162</v>
      </c>
    </row>
    <row r="86" spans="1:5" x14ac:dyDescent="0.2">
      <c r="A86" s="48">
        <v>39337</v>
      </c>
      <c r="B86" s="49" t="s">
        <v>3404</v>
      </c>
      <c r="D86" s="51">
        <v>2163</v>
      </c>
      <c r="E86" s="50" t="s">
        <v>1086</v>
      </c>
    </row>
    <row r="87" spans="1:5" x14ac:dyDescent="0.2">
      <c r="A87" s="48">
        <v>39365</v>
      </c>
      <c r="B87" s="49" t="s">
        <v>30</v>
      </c>
      <c r="D87" s="51">
        <v>2216</v>
      </c>
      <c r="E87" s="50" t="s">
        <v>3175</v>
      </c>
    </row>
    <row r="88" spans="1:5" x14ac:dyDescent="0.2">
      <c r="A88" s="48">
        <v>39359</v>
      </c>
      <c r="B88" s="49" t="s">
        <v>2489</v>
      </c>
      <c r="D88" s="51">
        <v>2224</v>
      </c>
      <c r="E88" s="50" t="s">
        <v>3523</v>
      </c>
    </row>
    <row r="89" spans="1:5" x14ac:dyDescent="0.2">
      <c r="A89" s="48">
        <v>39370</v>
      </c>
      <c r="B89" s="49" t="s">
        <v>3784</v>
      </c>
      <c r="D89" s="51">
        <v>2266</v>
      </c>
      <c r="E89" s="50" t="s">
        <v>2504</v>
      </c>
    </row>
    <row r="90" spans="1:5" x14ac:dyDescent="0.2">
      <c r="A90" s="48">
        <v>39370</v>
      </c>
      <c r="B90" s="49" t="s">
        <v>582</v>
      </c>
      <c r="D90" s="51">
        <v>2267</v>
      </c>
      <c r="E90" s="50" t="s">
        <v>3175</v>
      </c>
    </row>
    <row r="91" spans="1:5" x14ac:dyDescent="0.2">
      <c r="A91" s="48">
        <v>39370</v>
      </c>
      <c r="B91" s="49" t="s">
        <v>813</v>
      </c>
      <c r="D91" s="51">
        <v>2268</v>
      </c>
      <c r="E91" s="50" t="s">
        <v>3162</v>
      </c>
    </row>
    <row r="92" spans="1:5" x14ac:dyDescent="0.2">
      <c r="A92" s="48">
        <v>39377</v>
      </c>
      <c r="B92" s="49" t="s">
        <v>2002</v>
      </c>
      <c r="D92" s="51">
        <v>2306</v>
      </c>
      <c r="E92" s="50" t="s">
        <v>3162</v>
      </c>
    </row>
    <row r="93" spans="1:5" x14ac:dyDescent="0.2">
      <c r="A93" s="48">
        <v>39377</v>
      </c>
      <c r="B93" s="49" t="s">
        <v>2019</v>
      </c>
      <c r="D93" s="51">
        <v>2307</v>
      </c>
      <c r="E93" s="50" t="s">
        <v>3162</v>
      </c>
    </row>
    <row r="94" spans="1:5" x14ac:dyDescent="0.2">
      <c r="A94" s="48">
        <v>39377</v>
      </c>
      <c r="B94" s="49" t="s">
        <v>2018</v>
      </c>
      <c r="D94" s="51">
        <v>2308</v>
      </c>
      <c r="E94" s="50" t="s">
        <v>3162</v>
      </c>
    </row>
    <row r="95" spans="1:5" x14ac:dyDescent="0.2">
      <c r="A95" s="48">
        <v>39380</v>
      </c>
      <c r="B95" s="49" t="s">
        <v>1722</v>
      </c>
      <c r="D95" s="51">
        <v>2309</v>
      </c>
      <c r="E95" s="50" t="s">
        <v>3162</v>
      </c>
    </row>
    <row r="96" spans="1:5" x14ac:dyDescent="0.2">
      <c r="A96" s="48">
        <v>39380</v>
      </c>
      <c r="B96" s="49" t="s">
        <v>1703</v>
      </c>
      <c r="D96" s="51">
        <v>2310</v>
      </c>
      <c r="E96" s="50" t="s">
        <v>3480</v>
      </c>
    </row>
    <row r="97" spans="1:7" x14ac:dyDescent="0.2">
      <c r="A97" s="48">
        <v>39381</v>
      </c>
      <c r="B97" s="49" t="s">
        <v>944</v>
      </c>
      <c r="D97" s="51">
        <v>2311</v>
      </c>
      <c r="E97" s="50" t="s">
        <v>3032</v>
      </c>
    </row>
    <row r="98" spans="1:7" x14ac:dyDescent="0.2">
      <c r="A98" s="48">
        <v>39384</v>
      </c>
      <c r="B98" s="49" t="s">
        <v>2231</v>
      </c>
      <c r="D98" s="51">
        <v>2345</v>
      </c>
      <c r="E98" s="50" t="s">
        <v>3481</v>
      </c>
    </row>
    <row r="99" spans="1:7" x14ac:dyDescent="0.2">
      <c r="A99" s="48">
        <v>39392</v>
      </c>
      <c r="B99" s="49" t="s">
        <v>2631</v>
      </c>
      <c r="D99" s="51">
        <v>2449</v>
      </c>
      <c r="E99" s="50" t="s">
        <v>3479</v>
      </c>
    </row>
    <row r="100" spans="1:7" x14ac:dyDescent="0.2">
      <c r="A100" s="48">
        <v>39392</v>
      </c>
      <c r="B100" s="49" t="s">
        <v>830</v>
      </c>
      <c r="D100" s="51">
        <v>2450</v>
      </c>
      <c r="E100" s="50" t="s">
        <v>3175</v>
      </c>
      <c r="G100" s="56">
        <v>39555</v>
      </c>
    </row>
    <row r="101" spans="1:7" x14ac:dyDescent="0.2">
      <c r="A101" s="48">
        <v>39392</v>
      </c>
      <c r="B101" s="49" t="s">
        <v>3465</v>
      </c>
      <c r="D101" s="51">
        <v>2590</v>
      </c>
      <c r="E101" s="50" t="s">
        <v>3481</v>
      </c>
    </row>
    <row r="102" spans="1:7" x14ac:dyDescent="0.2">
      <c r="A102" s="48">
        <v>39394</v>
      </c>
      <c r="B102" s="49" t="s">
        <v>1529</v>
      </c>
      <c r="D102" s="51">
        <v>2592</v>
      </c>
      <c r="E102" s="50" t="s">
        <v>3478</v>
      </c>
    </row>
    <row r="103" spans="1:7" x14ac:dyDescent="0.2">
      <c r="A103" s="48">
        <v>39399</v>
      </c>
      <c r="B103" s="49" t="s">
        <v>389</v>
      </c>
      <c r="D103" s="51">
        <v>2600</v>
      </c>
      <c r="E103" s="50" t="s">
        <v>3480</v>
      </c>
      <c r="G103" s="56">
        <v>39828</v>
      </c>
    </row>
    <row r="104" spans="1:7" x14ac:dyDescent="0.2">
      <c r="A104" s="126">
        <v>39399</v>
      </c>
      <c r="B104" s="127" t="s">
        <v>3518</v>
      </c>
      <c r="C104" s="130"/>
      <c r="D104" s="129">
        <v>2601</v>
      </c>
      <c r="E104" s="130" t="s">
        <v>3162</v>
      </c>
      <c r="G104" s="56">
        <v>39828</v>
      </c>
    </row>
    <row r="105" spans="1:7" x14ac:dyDescent="0.2">
      <c r="A105" s="48">
        <v>39406</v>
      </c>
      <c r="B105" s="49" t="s">
        <v>2868</v>
      </c>
      <c r="D105" s="51">
        <v>2619</v>
      </c>
      <c r="E105" s="50" t="s">
        <v>1562</v>
      </c>
    </row>
    <row r="106" spans="1:7" x14ac:dyDescent="0.2">
      <c r="A106" s="48">
        <v>39406</v>
      </c>
      <c r="B106" s="49" t="s">
        <v>2869</v>
      </c>
      <c r="D106" s="51">
        <v>2620</v>
      </c>
      <c r="E106" s="50" t="s">
        <v>1562</v>
      </c>
    </row>
    <row r="107" spans="1:7" x14ac:dyDescent="0.2">
      <c r="A107" s="48">
        <v>39406</v>
      </c>
      <c r="B107" s="49" t="s">
        <v>2953</v>
      </c>
      <c r="D107" s="51">
        <v>2621</v>
      </c>
      <c r="E107" s="50" t="s">
        <v>3162</v>
      </c>
    </row>
    <row r="108" spans="1:7" x14ac:dyDescent="0.2">
      <c r="A108" s="48">
        <v>39427</v>
      </c>
      <c r="B108" s="49" t="s">
        <v>2966</v>
      </c>
      <c r="D108" s="51">
        <v>2853</v>
      </c>
      <c r="G108" s="56">
        <v>39590</v>
      </c>
    </row>
    <row r="109" spans="1:7" x14ac:dyDescent="0.2">
      <c r="A109" s="48">
        <v>39427</v>
      </c>
      <c r="B109" s="49" t="s">
        <v>922</v>
      </c>
      <c r="D109" s="51">
        <v>2854</v>
      </c>
    </row>
    <row r="110" spans="1:7" x14ac:dyDescent="0.2">
      <c r="A110" s="48">
        <v>39436</v>
      </c>
      <c r="B110" s="49" t="s">
        <v>115</v>
      </c>
      <c r="D110" s="51">
        <v>2864</v>
      </c>
      <c r="E110" s="50" t="s">
        <v>3162</v>
      </c>
    </row>
    <row r="111" spans="1:7" x14ac:dyDescent="0.2">
      <c r="A111" s="48">
        <v>39436</v>
      </c>
      <c r="B111" s="49" t="s">
        <v>1757</v>
      </c>
      <c r="D111" s="51">
        <v>2865</v>
      </c>
      <c r="E111" s="50" t="s">
        <v>1562</v>
      </c>
      <c r="G111" s="56">
        <v>39582</v>
      </c>
    </row>
    <row r="112" spans="1:7" x14ac:dyDescent="0.2">
      <c r="A112" s="48">
        <v>39436</v>
      </c>
      <c r="B112" s="49" t="s">
        <v>3249</v>
      </c>
      <c r="D112" s="51">
        <v>2866</v>
      </c>
      <c r="E112" s="50" t="s">
        <v>1562</v>
      </c>
    </row>
    <row r="113" spans="1:7" x14ac:dyDescent="0.2">
      <c r="A113" s="48">
        <v>39436</v>
      </c>
      <c r="B113" s="49" t="s">
        <v>1857</v>
      </c>
      <c r="D113" s="51">
        <v>2867</v>
      </c>
      <c r="E113" s="50" t="s">
        <v>2504</v>
      </c>
    </row>
    <row r="114" spans="1:7" x14ac:dyDescent="0.2">
      <c r="A114" s="48">
        <v>39468</v>
      </c>
      <c r="B114" s="49" t="s">
        <v>1037</v>
      </c>
      <c r="C114" s="50" t="s">
        <v>2877</v>
      </c>
      <c r="D114" s="51">
        <v>2876</v>
      </c>
      <c r="E114" s="50" t="s">
        <v>1038</v>
      </c>
      <c r="G114" s="56">
        <v>39644</v>
      </c>
    </row>
    <row r="115" spans="1:7" x14ac:dyDescent="0.2">
      <c r="A115" s="48">
        <v>39468</v>
      </c>
      <c r="B115" s="49" t="s">
        <v>2831</v>
      </c>
      <c r="C115" s="50" t="s">
        <v>3408</v>
      </c>
      <c r="D115" s="51">
        <v>2877</v>
      </c>
      <c r="E115" s="50" t="s">
        <v>3482</v>
      </c>
      <c r="G115" s="56">
        <v>39828</v>
      </c>
    </row>
    <row r="116" spans="1:7" x14ac:dyDescent="0.2">
      <c r="A116" s="48">
        <v>39468</v>
      </c>
      <c r="B116" s="49" t="s">
        <v>2728</v>
      </c>
      <c r="C116" s="50" t="s">
        <v>3648</v>
      </c>
      <c r="D116" s="51">
        <v>2878</v>
      </c>
      <c r="E116" s="50" t="s">
        <v>3480</v>
      </c>
      <c r="G116" s="56">
        <v>39854</v>
      </c>
    </row>
    <row r="117" spans="1:7" x14ac:dyDescent="0.2">
      <c r="A117" s="48">
        <v>39468</v>
      </c>
      <c r="B117" s="49" t="s">
        <v>256</v>
      </c>
      <c r="D117" s="51">
        <v>2879</v>
      </c>
      <c r="E117" s="50" t="s">
        <v>3032</v>
      </c>
      <c r="G117" s="56">
        <v>39561</v>
      </c>
    </row>
    <row r="118" spans="1:7" x14ac:dyDescent="0.2">
      <c r="A118" s="48">
        <v>39468</v>
      </c>
      <c r="B118" s="49" t="s">
        <v>2836</v>
      </c>
      <c r="D118" s="51">
        <v>2880</v>
      </c>
      <c r="E118" s="50" t="s">
        <v>3482</v>
      </c>
    </row>
    <row r="119" spans="1:7" x14ac:dyDescent="0.2">
      <c r="A119" s="48">
        <v>39468</v>
      </c>
      <c r="B119" s="49" t="s">
        <v>1719</v>
      </c>
      <c r="D119" s="51">
        <v>2881</v>
      </c>
      <c r="E119" s="50" t="s">
        <v>1562</v>
      </c>
    </row>
    <row r="120" spans="1:7" x14ac:dyDescent="0.2">
      <c r="A120" s="48">
        <v>39471</v>
      </c>
      <c r="B120" s="49" t="s">
        <v>421</v>
      </c>
      <c r="D120" s="51">
        <v>2882</v>
      </c>
      <c r="E120" s="50" t="s">
        <v>3482</v>
      </c>
      <c r="G120" s="56">
        <v>39857</v>
      </c>
    </row>
    <row r="121" spans="1:7" x14ac:dyDescent="0.2">
      <c r="A121" s="48">
        <v>39478</v>
      </c>
      <c r="B121" s="49" t="s">
        <v>3562</v>
      </c>
      <c r="D121" s="51">
        <v>2883</v>
      </c>
      <c r="E121" s="50" t="s">
        <v>2789</v>
      </c>
    </row>
    <row r="122" spans="1:7" x14ac:dyDescent="0.2">
      <c r="A122" s="48">
        <v>39480</v>
      </c>
      <c r="B122" s="49" t="s">
        <v>3875</v>
      </c>
      <c r="D122" s="51">
        <v>2884</v>
      </c>
      <c r="E122" s="50" t="s">
        <v>3482</v>
      </c>
    </row>
    <row r="123" spans="1:7" x14ac:dyDescent="0.2">
      <c r="A123" s="48">
        <v>39468</v>
      </c>
      <c r="B123" s="49" t="s">
        <v>1001</v>
      </c>
      <c r="C123" s="50" t="s">
        <v>3408</v>
      </c>
      <c r="D123" s="51">
        <v>2887</v>
      </c>
      <c r="E123" s="50" t="s">
        <v>3482</v>
      </c>
      <c r="G123" s="56">
        <v>39828</v>
      </c>
    </row>
    <row r="124" spans="1:7" x14ac:dyDescent="0.2">
      <c r="A124" s="48">
        <v>39468</v>
      </c>
      <c r="B124" s="49" t="s">
        <v>519</v>
      </c>
      <c r="C124" s="50" t="s">
        <v>2746</v>
      </c>
      <c r="D124" s="51">
        <v>2895</v>
      </c>
      <c r="E124" s="50" t="s">
        <v>2789</v>
      </c>
      <c r="G124" s="56">
        <v>39846</v>
      </c>
    </row>
    <row r="125" spans="1:7" x14ac:dyDescent="0.2">
      <c r="A125" s="48">
        <v>39475</v>
      </c>
      <c r="B125" s="49" t="s">
        <v>2608</v>
      </c>
      <c r="D125" s="51">
        <v>2901</v>
      </c>
      <c r="E125" s="50" t="s">
        <v>2789</v>
      </c>
    </row>
    <row r="126" spans="1:7" x14ac:dyDescent="0.2">
      <c r="A126" s="48">
        <v>39475</v>
      </c>
      <c r="B126" s="49" t="s">
        <v>949</v>
      </c>
      <c r="D126" s="51">
        <v>2902</v>
      </c>
      <c r="E126" s="50" t="s">
        <v>2789</v>
      </c>
    </row>
    <row r="127" spans="1:7" x14ac:dyDescent="0.2">
      <c r="A127" s="48">
        <v>39475</v>
      </c>
      <c r="B127" s="49" t="s">
        <v>453</v>
      </c>
      <c r="D127" s="51">
        <v>2903</v>
      </c>
      <c r="E127" s="50" t="s">
        <v>3482</v>
      </c>
    </row>
    <row r="128" spans="1:7" x14ac:dyDescent="0.2">
      <c r="A128" s="48">
        <v>39478</v>
      </c>
      <c r="B128" s="49" t="s">
        <v>503</v>
      </c>
      <c r="D128" s="51">
        <v>2912</v>
      </c>
      <c r="E128" s="50" t="s">
        <v>3032</v>
      </c>
      <c r="G128" s="56">
        <v>39561</v>
      </c>
    </row>
    <row r="129" spans="1:7" x14ac:dyDescent="0.2">
      <c r="A129" s="126">
        <v>39478</v>
      </c>
      <c r="B129" s="127" t="s">
        <v>1442</v>
      </c>
      <c r="C129" s="130"/>
      <c r="D129" s="129">
        <v>2914</v>
      </c>
      <c r="E129" s="130" t="s">
        <v>3709</v>
      </c>
      <c r="G129" s="56">
        <v>39857</v>
      </c>
    </row>
    <row r="130" spans="1:7" x14ac:dyDescent="0.2">
      <c r="A130" s="48">
        <v>39480</v>
      </c>
      <c r="B130" s="49" t="s">
        <v>2079</v>
      </c>
      <c r="D130" s="51">
        <v>2924</v>
      </c>
      <c r="E130" s="50" t="s">
        <v>2080</v>
      </c>
    </row>
    <row r="131" spans="1:7" x14ac:dyDescent="0.2">
      <c r="A131" s="48">
        <v>39480</v>
      </c>
      <c r="B131" s="49" t="s">
        <v>2030</v>
      </c>
      <c r="D131" s="51">
        <v>2925</v>
      </c>
      <c r="E131" s="50" t="s">
        <v>2080</v>
      </c>
    </row>
    <row r="132" spans="1:7" x14ac:dyDescent="0.2">
      <c r="A132" s="126">
        <v>39482</v>
      </c>
      <c r="B132" s="127" t="s">
        <v>1409</v>
      </c>
      <c r="C132" s="130"/>
      <c r="D132" s="129">
        <v>2928</v>
      </c>
      <c r="E132" s="130" t="s">
        <v>1562</v>
      </c>
      <c r="G132" s="56">
        <v>39582</v>
      </c>
    </row>
    <row r="133" spans="1:7" x14ac:dyDescent="0.2">
      <c r="A133" s="48">
        <v>39485</v>
      </c>
      <c r="B133" s="49" t="s">
        <v>911</v>
      </c>
      <c r="D133" s="51">
        <v>2949</v>
      </c>
      <c r="E133" s="50" t="s">
        <v>3175</v>
      </c>
    </row>
    <row r="134" spans="1:7" x14ac:dyDescent="0.2">
      <c r="A134" s="48">
        <v>39505</v>
      </c>
      <c r="B134" s="49" t="s">
        <v>1497</v>
      </c>
      <c r="D134" s="51">
        <v>2965</v>
      </c>
      <c r="E134" s="50" t="s">
        <v>3480</v>
      </c>
      <c r="G134" s="56">
        <v>39857</v>
      </c>
    </row>
    <row r="135" spans="1:7" x14ac:dyDescent="0.2">
      <c r="A135" s="48">
        <v>39505</v>
      </c>
      <c r="B135" s="49" t="s">
        <v>2375</v>
      </c>
      <c r="D135" s="51">
        <v>2966</v>
      </c>
      <c r="E135" s="50" t="s">
        <v>2504</v>
      </c>
    </row>
    <row r="136" spans="1:7" x14ac:dyDescent="0.2">
      <c r="A136" s="126">
        <v>39505</v>
      </c>
      <c r="B136" s="127" t="s">
        <v>2595</v>
      </c>
      <c r="C136" s="130"/>
      <c r="D136" s="129">
        <v>2967</v>
      </c>
      <c r="E136" s="130" t="s">
        <v>3482</v>
      </c>
      <c r="G136" s="56">
        <v>39568</v>
      </c>
    </row>
    <row r="137" spans="1:7" x14ac:dyDescent="0.2">
      <c r="A137" s="48">
        <v>39505</v>
      </c>
      <c r="B137" s="49" t="s">
        <v>427</v>
      </c>
      <c r="D137" s="51">
        <v>2968</v>
      </c>
      <c r="E137" s="50" t="s">
        <v>3175</v>
      </c>
      <c r="G137" s="56">
        <v>39555</v>
      </c>
    </row>
    <row r="138" spans="1:7" x14ac:dyDescent="0.2">
      <c r="A138" s="48">
        <v>39563</v>
      </c>
      <c r="B138" s="49" t="s">
        <v>3948</v>
      </c>
      <c r="D138" s="51">
        <v>3037</v>
      </c>
      <c r="E138" s="50" t="s">
        <v>3162</v>
      </c>
      <c r="G138" s="56">
        <v>39573</v>
      </c>
    </row>
    <row r="139" spans="1:7" x14ac:dyDescent="0.2">
      <c r="A139" s="48">
        <v>39575</v>
      </c>
      <c r="B139" s="49" t="s">
        <v>2045</v>
      </c>
      <c r="C139" s="50" t="s">
        <v>3408</v>
      </c>
      <c r="D139" s="51">
        <v>3056</v>
      </c>
      <c r="E139" s="50" t="s">
        <v>3482</v>
      </c>
      <c r="F139" s="50" t="s">
        <v>3506</v>
      </c>
      <c r="G139" s="56">
        <v>40051</v>
      </c>
    </row>
    <row r="140" spans="1:7" x14ac:dyDescent="0.2">
      <c r="A140" s="48">
        <v>39610</v>
      </c>
      <c r="B140" s="49" t="s">
        <v>3258</v>
      </c>
      <c r="C140" s="50" t="s">
        <v>3646</v>
      </c>
      <c r="D140" s="51">
        <v>3093</v>
      </c>
      <c r="E140" s="50" t="s">
        <v>3486</v>
      </c>
      <c r="G140" s="56">
        <v>39828</v>
      </c>
    </row>
    <row r="141" spans="1:7" ht="25.5" x14ac:dyDescent="0.2">
      <c r="A141" s="48">
        <v>39546</v>
      </c>
      <c r="B141" s="49" t="s">
        <v>1433</v>
      </c>
      <c r="D141" s="51">
        <v>3154</v>
      </c>
      <c r="E141" s="50" t="s">
        <v>3479</v>
      </c>
      <c r="G141" s="56">
        <v>39581</v>
      </c>
    </row>
    <row r="142" spans="1:7" x14ac:dyDescent="0.2">
      <c r="A142" s="48">
        <v>39546</v>
      </c>
      <c r="B142" s="49" t="s">
        <v>2530</v>
      </c>
      <c r="C142" s="50" t="s">
        <v>3646</v>
      </c>
      <c r="D142" s="51">
        <v>3160</v>
      </c>
      <c r="E142" s="50" t="s">
        <v>3482</v>
      </c>
      <c r="G142" s="56">
        <v>39877</v>
      </c>
    </row>
    <row r="143" spans="1:7" x14ac:dyDescent="0.2">
      <c r="A143" s="126">
        <v>39562</v>
      </c>
      <c r="B143" s="127" t="s">
        <v>2944</v>
      </c>
      <c r="C143" s="130"/>
      <c r="D143" s="129">
        <v>3193</v>
      </c>
      <c r="E143" s="130" t="s">
        <v>3162</v>
      </c>
      <c r="G143" s="56">
        <v>39566</v>
      </c>
    </row>
    <row r="144" spans="1:7" x14ac:dyDescent="0.2">
      <c r="A144" s="126">
        <v>39545</v>
      </c>
      <c r="B144" s="127" t="s">
        <v>2128</v>
      </c>
      <c r="C144" s="130"/>
      <c r="D144" s="129">
        <v>3208</v>
      </c>
      <c r="E144" s="130" t="s">
        <v>3478</v>
      </c>
      <c r="G144" s="56">
        <v>39561</v>
      </c>
    </row>
    <row r="145" spans="1:7" x14ac:dyDescent="0.2">
      <c r="A145" s="126">
        <v>39596</v>
      </c>
      <c r="B145" s="127" t="s">
        <v>397</v>
      </c>
      <c r="C145" s="130" t="s">
        <v>3646</v>
      </c>
      <c r="D145" s="129">
        <v>3212</v>
      </c>
      <c r="E145" s="130" t="s">
        <v>3175</v>
      </c>
      <c r="G145" s="56">
        <v>39828</v>
      </c>
    </row>
    <row r="146" spans="1:7" x14ac:dyDescent="0.2">
      <c r="A146" s="48">
        <v>39545</v>
      </c>
      <c r="B146" s="49" t="s">
        <v>3803</v>
      </c>
      <c r="D146" s="51">
        <v>3296</v>
      </c>
      <c r="E146" s="50" t="s">
        <v>1562</v>
      </c>
      <c r="G146" s="56">
        <v>39581</v>
      </c>
    </row>
    <row r="147" spans="1:7" x14ac:dyDescent="0.2">
      <c r="A147" s="48">
        <v>39538</v>
      </c>
      <c r="B147" s="49" t="s">
        <v>2940</v>
      </c>
      <c r="D147" s="51">
        <v>3297</v>
      </c>
      <c r="E147" s="50" t="s">
        <v>3478</v>
      </c>
    </row>
    <row r="148" spans="1:7" x14ac:dyDescent="0.2">
      <c r="A148" s="48">
        <v>39695</v>
      </c>
      <c r="B148" s="49" t="s">
        <v>2745</v>
      </c>
      <c r="C148" s="50" t="s">
        <v>2746</v>
      </c>
      <c r="D148" s="51">
        <v>4014</v>
      </c>
      <c r="E148" s="50" t="s">
        <v>3482</v>
      </c>
      <c r="G148" s="56">
        <v>40147</v>
      </c>
    </row>
    <row r="149" spans="1:7" x14ac:dyDescent="0.2">
      <c r="A149" s="48">
        <v>39657</v>
      </c>
      <c r="B149" s="49" t="s">
        <v>1790</v>
      </c>
      <c r="C149" s="50" t="s">
        <v>2746</v>
      </c>
      <c r="D149" s="51">
        <v>4101</v>
      </c>
      <c r="E149" s="50" t="s">
        <v>3485</v>
      </c>
      <c r="G149" s="56">
        <v>39846</v>
      </c>
    </row>
    <row r="150" spans="1:7" x14ac:dyDescent="0.2">
      <c r="A150" s="48">
        <v>39657</v>
      </c>
      <c r="B150" s="49" t="s">
        <v>898</v>
      </c>
      <c r="C150" s="50" t="s">
        <v>2746</v>
      </c>
      <c r="D150" s="51">
        <v>4102</v>
      </c>
      <c r="E150" s="50" t="s">
        <v>3485</v>
      </c>
      <c r="G150" s="56">
        <v>39846</v>
      </c>
    </row>
    <row r="151" spans="1:7" x14ac:dyDescent="0.2">
      <c r="A151" s="48">
        <v>39657</v>
      </c>
      <c r="B151" s="49" t="s">
        <v>897</v>
      </c>
      <c r="C151" s="50" t="s">
        <v>2746</v>
      </c>
      <c r="D151" s="51">
        <v>4103</v>
      </c>
      <c r="E151" s="50" t="s">
        <v>3485</v>
      </c>
      <c r="G151" s="56">
        <v>39846</v>
      </c>
    </row>
    <row r="152" spans="1:7" x14ac:dyDescent="0.2">
      <c r="A152" s="48">
        <v>39657</v>
      </c>
      <c r="B152" s="49" t="s">
        <v>3773</v>
      </c>
      <c r="C152" s="50" t="s">
        <v>2746</v>
      </c>
      <c r="D152" s="51">
        <v>4104</v>
      </c>
      <c r="E152" s="50" t="s">
        <v>3485</v>
      </c>
      <c r="G152" s="56">
        <v>39846</v>
      </c>
    </row>
    <row r="153" spans="1:7" x14ac:dyDescent="0.2">
      <c r="A153" s="48">
        <v>39657</v>
      </c>
      <c r="B153" s="49" t="s">
        <v>3732</v>
      </c>
      <c r="C153" s="50" t="s">
        <v>2746</v>
      </c>
      <c r="D153" s="51">
        <v>4105</v>
      </c>
      <c r="E153" s="50" t="s">
        <v>3485</v>
      </c>
      <c r="G153" s="56">
        <v>39846</v>
      </c>
    </row>
    <row r="154" spans="1:7" x14ac:dyDescent="0.2">
      <c r="A154" s="48">
        <v>39657</v>
      </c>
      <c r="B154" s="49" t="s">
        <v>771</v>
      </c>
      <c r="C154" s="50" t="s">
        <v>2746</v>
      </c>
      <c r="D154" s="51">
        <v>4106</v>
      </c>
      <c r="E154" s="50" t="s">
        <v>3485</v>
      </c>
      <c r="G154" s="56">
        <v>39846</v>
      </c>
    </row>
    <row r="155" spans="1:7" x14ac:dyDescent="0.2">
      <c r="A155" s="48">
        <v>39657</v>
      </c>
      <c r="B155" s="49" t="s">
        <v>3733</v>
      </c>
      <c r="C155" s="50" t="s">
        <v>2746</v>
      </c>
      <c r="D155" s="51">
        <v>4107</v>
      </c>
      <c r="E155" s="50" t="s">
        <v>3485</v>
      </c>
      <c r="G155" s="56">
        <v>39846</v>
      </c>
    </row>
    <row r="156" spans="1:7" x14ac:dyDescent="0.2">
      <c r="A156" s="126">
        <v>39770</v>
      </c>
      <c r="B156" s="127" t="s">
        <v>2741</v>
      </c>
      <c r="C156" s="130" t="s">
        <v>3409</v>
      </c>
      <c r="D156" s="129">
        <v>4239</v>
      </c>
      <c r="E156" s="130" t="s">
        <v>3175</v>
      </c>
      <c r="G156" s="56">
        <v>39857</v>
      </c>
    </row>
    <row r="157" spans="1:7" x14ac:dyDescent="0.2">
      <c r="A157" s="48">
        <v>39062</v>
      </c>
      <c r="B157" s="49" t="s">
        <v>1942</v>
      </c>
      <c r="C157" s="50" t="s">
        <v>3646</v>
      </c>
      <c r="D157" s="51">
        <v>4261</v>
      </c>
      <c r="E157" s="50" t="s">
        <v>3175</v>
      </c>
      <c r="G157" s="56">
        <v>39828</v>
      </c>
    </row>
    <row r="158" spans="1:7" x14ac:dyDescent="0.2">
      <c r="A158" s="126">
        <v>39801</v>
      </c>
      <c r="B158" s="127" t="s">
        <v>740</v>
      </c>
      <c r="C158" s="130" t="s">
        <v>2746</v>
      </c>
      <c r="D158" s="129">
        <v>4267</v>
      </c>
      <c r="E158" s="130" t="s">
        <v>3482</v>
      </c>
      <c r="G158" s="56">
        <v>39910</v>
      </c>
    </row>
    <row r="159" spans="1:7" x14ac:dyDescent="0.2">
      <c r="A159" s="126">
        <v>39701</v>
      </c>
      <c r="B159" s="127" t="s">
        <v>280</v>
      </c>
      <c r="C159" s="130" t="s">
        <v>3409</v>
      </c>
      <c r="D159" s="129">
        <v>4344</v>
      </c>
      <c r="E159" s="130" t="s">
        <v>3162</v>
      </c>
      <c r="G159" s="56">
        <v>39707</v>
      </c>
    </row>
    <row r="160" spans="1:7" x14ac:dyDescent="0.2">
      <c r="A160" s="126">
        <v>39701</v>
      </c>
      <c r="B160" s="127" t="s">
        <v>2940</v>
      </c>
      <c r="C160" s="130" t="s">
        <v>3409</v>
      </c>
      <c r="D160" s="129">
        <v>4350</v>
      </c>
      <c r="E160" s="130" t="s">
        <v>3162</v>
      </c>
      <c r="G160" s="56">
        <v>39741</v>
      </c>
    </row>
    <row r="161" spans="1:7" x14ac:dyDescent="0.2">
      <c r="A161" s="48">
        <v>39855</v>
      </c>
      <c r="B161" s="49" t="s">
        <v>3471</v>
      </c>
      <c r="C161" s="50" t="s">
        <v>3409</v>
      </c>
      <c r="D161" s="51">
        <v>4386</v>
      </c>
      <c r="E161" s="50" t="s">
        <v>3175</v>
      </c>
      <c r="G161" s="56">
        <v>39994</v>
      </c>
    </row>
    <row r="162" spans="1:7" x14ac:dyDescent="0.2">
      <c r="A162" s="126">
        <v>39697</v>
      </c>
      <c r="B162" s="127" t="s">
        <v>3941</v>
      </c>
      <c r="C162" s="130" t="s">
        <v>3409</v>
      </c>
      <c r="D162" s="129">
        <v>4418</v>
      </c>
      <c r="E162" s="130" t="s">
        <v>2504</v>
      </c>
      <c r="G162" s="56">
        <v>39708</v>
      </c>
    </row>
    <row r="163" spans="1:7" x14ac:dyDescent="0.2">
      <c r="A163" s="48">
        <v>39801</v>
      </c>
      <c r="B163" s="49" t="s">
        <v>1016</v>
      </c>
      <c r="C163" s="50" t="s">
        <v>3409</v>
      </c>
      <c r="D163" s="51">
        <v>4425</v>
      </c>
      <c r="E163" s="50" t="s">
        <v>3482</v>
      </c>
      <c r="G163" s="56">
        <v>39975</v>
      </c>
    </row>
    <row r="164" spans="1:7" x14ac:dyDescent="0.2">
      <c r="A164" s="126">
        <v>39784</v>
      </c>
      <c r="B164" s="127" t="s">
        <v>1909</v>
      </c>
      <c r="C164" s="130" t="s">
        <v>3409</v>
      </c>
      <c r="D164" s="129">
        <v>4526</v>
      </c>
      <c r="E164" s="130" t="s">
        <v>3162</v>
      </c>
      <c r="G164" s="56">
        <v>39972</v>
      </c>
    </row>
    <row r="165" spans="1:7" x14ac:dyDescent="0.2">
      <c r="A165" s="126">
        <v>39784</v>
      </c>
      <c r="B165" s="127" t="s">
        <v>3842</v>
      </c>
      <c r="C165" s="130" t="s">
        <v>3409</v>
      </c>
      <c r="D165" s="129">
        <v>4528</v>
      </c>
      <c r="E165" s="130" t="s">
        <v>3162</v>
      </c>
      <c r="G165" s="56">
        <v>39857</v>
      </c>
    </row>
    <row r="166" spans="1:7" x14ac:dyDescent="0.2">
      <c r="A166" s="126">
        <v>39784</v>
      </c>
      <c r="B166" s="127" t="s">
        <v>2403</v>
      </c>
      <c r="C166" s="130" t="s">
        <v>3409</v>
      </c>
      <c r="D166" s="129">
        <v>4529</v>
      </c>
      <c r="E166" s="130" t="s">
        <v>3480</v>
      </c>
      <c r="G166" s="56">
        <v>39875</v>
      </c>
    </row>
    <row r="167" spans="1:7" x14ac:dyDescent="0.2">
      <c r="A167" s="126">
        <v>39784</v>
      </c>
      <c r="B167" s="127" t="s">
        <v>2129</v>
      </c>
      <c r="C167" s="130" t="s">
        <v>3409</v>
      </c>
      <c r="D167" s="129">
        <v>4530</v>
      </c>
      <c r="E167" s="130" t="s">
        <v>3486</v>
      </c>
      <c r="G167" s="56">
        <v>39857</v>
      </c>
    </row>
    <row r="168" spans="1:7" x14ac:dyDescent="0.2">
      <c r="A168" s="126">
        <v>39784</v>
      </c>
      <c r="B168" s="127" t="s">
        <v>1254</v>
      </c>
      <c r="C168" s="130" t="s">
        <v>3409</v>
      </c>
      <c r="D168" s="129">
        <v>4531</v>
      </c>
      <c r="E168" s="130" t="s">
        <v>2504</v>
      </c>
      <c r="G168" s="56">
        <v>39854</v>
      </c>
    </row>
    <row r="169" spans="1:7" x14ac:dyDescent="0.2">
      <c r="A169" s="48">
        <v>39784</v>
      </c>
      <c r="B169" s="49" t="s">
        <v>2968</v>
      </c>
      <c r="C169" s="50" t="s">
        <v>3409</v>
      </c>
      <c r="D169" s="51">
        <v>4532</v>
      </c>
      <c r="E169" s="50" t="s">
        <v>3478</v>
      </c>
      <c r="G169" s="56">
        <v>39857</v>
      </c>
    </row>
    <row r="170" spans="1:7" x14ac:dyDescent="0.2">
      <c r="A170" s="48">
        <v>39784</v>
      </c>
      <c r="B170" s="49" t="s">
        <v>923</v>
      </c>
      <c r="C170" s="50" t="s">
        <v>3409</v>
      </c>
      <c r="D170" s="51">
        <v>4533</v>
      </c>
      <c r="E170" s="50" t="s">
        <v>3482</v>
      </c>
      <c r="G170" s="56">
        <v>40182</v>
      </c>
    </row>
    <row r="171" spans="1:7" x14ac:dyDescent="0.2">
      <c r="A171" s="126">
        <v>39784</v>
      </c>
      <c r="B171" s="127" t="s">
        <v>1478</v>
      </c>
      <c r="C171" s="130" t="s">
        <v>3409</v>
      </c>
      <c r="D171" s="129">
        <v>4534</v>
      </c>
      <c r="E171" s="130" t="s">
        <v>2504</v>
      </c>
      <c r="G171" s="56">
        <v>39857</v>
      </c>
    </row>
    <row r="172" spans="1:7" x14ac:dyDescent="0.2">
      <c r="A172" s="126">
        <v>39784</v>
      </c>
      <c r="B172" s="127" t="s">
        <v>1479</v>
      </c>
      <c r="C172" s="130" t="s">
        <v>3408</v>
      </c>
      <c r="D172" s="129">
        <v>4535</v>
      </c>
      <c r="E172" s="130" t="s">
        <v>3482</v>
      </c>
      <c r="G172" s="56">
        <v>39975</v>
      </c>
    </row>
    <row r="173" spans="1:7" x14ac:dyDescent="0.2">
      <c r="A173" s="126">
        <v>39784</v>
      </c>
      <c r="B173" s="127" t="s">
        <v>1261</v>
      </c>
      <c r="C173" s="130" t="s">
        <v>3408</v>
      </c>
      <c r="D173" s="129">
        <v>4536</v>
      </c>
      <c r="E173" s="130" t="s">
        <v>3482</v>
      </c>
      <c r="G173" s="56">
        <v>39792</v>
      </c>
    </row>
    <row r="174" spans="1:7" x14ac:dyDescent="0.2">
      <c r="A174" s="126">
        <v>39784</v>
      </c>
      <c r="B174" s="127" t="s">
        <v>3300</v>
      </c>
      <c r="C174" s="130"/>
      <c r="D174" s="129">
        <v>4537</v>
      </c>
      <c r="E174" s="130" t="s">
        <v>3162</v>
      </c>
      <c r="G174" s="56">
        <v>39855</v>
      </c>
    </row>
    <row r="175" spans="1:7" x14ac:dyDescent="0.2">
      <c r="A175" s="126">
        <v>39784</v>
      </c>
      <c r="B175" s="127" t="s">
        <v>2135</v>
      </c>
      <c r="C175" s="130" t="s">
        <v>2877</v>
      </c>
      <c r="D175" s="129">
        <v>4538</v>
      </c>
      <c r="E175" s="130" t="s">
        <v>3482</v>
      </c>
      <c r="G175" s="56">
        <v>39877</v>
      </c>
    </row>
    <row r="176" spans="1:7" x14ac:dyDescent="0.2">
      <c r="A176" s="48">
        <v>39784</v>
      </c>
      <c r="B176" s="49" t="s">
        <v>3850</v>
      </c>
      <c r="C176" s="50" t="s">
        <v>2877</v>
      </c>
      <c r="D176" s="51">
        <v>4539</v>
      </c>
      <c r="E176" s="50" t="s">
        <v>343</v>
      </c>
      <c r="G176" s="56">
        <v>39927</v>
      </c>
    </row>
    <row r="177" spans="1:7" x14ac:dyDescent="0.2">
      <c r="A177" s="126">
        <v>39784</v>
      </c>
      <c r="B177" s="127" t="s">
        <v>1704</v>
      </c>
      <c r="C177" s="130" t="s">
        <v>458</v>
      </c>
      <c r="D177" s="129">
        <v>4540</v>
      </c>
      <c r="E177" s="130" t="s">
        <v>3478</v>
      </c>
      <c r="G177" s="56">
        <v>39959</v>
      </c>
    </row>
    <row r="178" spans="1:7" x14ac:dyDescent="0.2">
      <c r="A178" s="126">
        <v>39784</v>
      </c>
      <c r="B178" s="127" t="s">
        <v>848</v>
      </c>
      <c r="C178" s="130"/>
      <c r="D178" s="129">
        <v>4541</v>
      </c>
      <c r="E178" s="130" t="s">
        <v>3485</v>
      </c>
      <c r="G178" s="56">
        <v>39828</v>
      </c>
    </row>
    <row r="179" spans="1:7" x14ac:dyDescent="0.2">
      <c r="A179" s="48">
        <v>39995</v>
      </c>
      <c r="B179" s="49" t="s">
        <v>1706</v>
      </c>
      <c r="C179" s="50" t="s">
        <v>3646</v>
      </c>
      <c r="D179" s="51">
        <v>4558</v>
      </c>
      <c r="E179" s="50" t="s">
        <v>3175</v>
      </c>
      <c r="G179" s="56">
        <v>39996</v>
      </c>
    </row>
    <row r="180" spans="1:7" x14ac:dyDescent="0.2">
      <c r="A180" s="48">
        <v>39995</v>
      </c>
      <c r="B180" s="49" t="s">
        <v>1139</v>
      </c>
      <c r="C180" s="50" t="s">
        <v>3646</v>
      </c>
      <c r="D180" s="51">
        <v>4559</v>
      </c>
      <c r="E180" s="50" t="s">
        <v>3175</v>
      </c>
      <c r="G180" s="56">
        <v>39996</v>
      </c>
    </row>
    <row r="181" spans="1:7" x14ac:dyDescent="0.2">
      <c r="A181" s="48">
        <v>39818</v>
      </c>
      <c r="B181" s="49" t="s">
        <v>1519</v>
      </c>
      <c r="C181" s="50" t="s">
        <v>3409</v>
      </c>
      <c r="D181" s="51">
        <v>4564</v>
      </c>
      <c r="E181" s="50" t="s">
        <v>3482</v>
      </c>
      <c r="G181" s="56">
        <v>39855</v>
      </c>
    </row>
    <row r="182" spans="1:7" x14ac:dyDescent="0.2">
      <c r="A182" s="48">
        <v>39825</v>
      </c>
      <c r="B182" s="49" t="s">
        <v>2973</v>
      </c>
      <c r="C182" s="50" t="s">
        <v>3409</v>
      </c>
      <c r="D182" s="51">
        <v>4569</v>
      </c>
      <c r="E182" s="50" t="s">
        <v>3482</v>
      </c>
      <c r="G182" s="56">
        <v>40051</v>
      </c>
    </row>
    <row r="183" spans="1:7" x14ac:dyDescent="0.2">
      <c r="A183" s="126">
        <v>39832</v>
      </c>
      <c r="B183" s="127" t="s">
        <v>3569</v>
      </c>
      <c r="C183" s="130" t="s">
        <v>3646</v>
      </c>
      <c r="D183" s="129">
        <v>4572</v>
      </c>
      <c r="E183" s="130" t="s">
        <v>1562</v>
      </c>
      <c r="G183" s="56">
        <v>39973</v>
      </c>
    </row>
    <row r="184" spans="1:7" x14ac:dyDescent="0.2">
      <c r="A184" s="48">
        <v>39834</v>
      </c>
      <c r="B184" s="49" t="s">
        <v>1710</v>
      </c>
      <c r="C184" s="50" t="s">
        <v>3646</v>
      </c>
      <c r="D184" s="51">
        <v>4578</v>
      </c>
      <c r="E184" s="50" t="s">
        <v>1562</v>
      </c>
      <c r="G184" s="56">
        <v>39996</v>
      </c>
    </row>
    <row r="185" spans="1:7" x14ac:dyDescent="0.2">
      <c r="A185" s="126">
        <v>39842</v>
      </c>
      <c r="B185" s="127" t="s">
        <v>1080</v>
      </c>
      <c r="C185" s="130" t="s">
        <v>3409</v>
      </c>
      <c r="D185" s="129">
        <v>4581</v>
      </c>
      <c r="E185" s="130" t="s">
        <v>3478</v>
      </c>
      <c r="G185" s="56">
        <v>39890</v>
      </c>
    </row>
    <row r="186" spans="1:7" x14ac:dyDescent="0.2">
      <c r="A186" s="48">
        <v>39846</v>
      </c>
      <c r="B186" s="49" t="s">
        <v>2369</v>
      </c>
      <c r="C186" s="50" t="s">
        <v>458</v>
      </c>
      <c r="D186" s="51">
        <v>4585</v>
      </c>
      <c r="E186" s="50" t="s">
        <v>1562</v>
      </c>
      <c r="G186" s="56">
        <v>39975</v>
      </c>
    </row>
    <row r="187" spans="1:7" x14ac:dyDescent="0.2">
      <c r="A187" s="48">
        <v>39846</v>
      </c>
      <c r="B187" s="49" t="s">
        <v>2521</v>
      </c>
      <c r="C187" s="50" t="s">
        <v>2522</v>
      </c>
      <c r="D187" s="51">
        <v>4586</v>
      </c>
      <c r="E187" s="50" t="s">
        <v>3482</v>
      </c>
      <c r="G187" s="56">
        <v>39855</v>
      </c>
    </row>
    <row r="188" spans="1:7" x14ac:dyDescent="0.2">
      <c r="A188" s="126">
        <v>39846</v>
      </c>
      <c r="B188" s="127" t="s">
        <v>1910</v>
      </c>
      <c r="C188" s="130" t="s">
        <v>2877</v>
      </c>
      <c r="D188" s="129">
        <v>4588</v>
      </c>
      <c r="E188" s="130" t="s">
        <v>3479</v>
      </c>
      <c r="G188" s="56">
        <v>39877</v>
      </c>
    </row>
    <row r="189" spans="1:7" x14ac:dyDescent="0.2">
      <c r="A189" s="126">
        <v>39846</v>
      </c>
      <c r="B189" s="127" t="s">
        <v>1911</v>
      </c>
      <c r="C189" s="130" t="s">
        <v>2746</v>
      </c>
      <c r="D189" s="129">
        <v>4589</v>
      </c>
      <c r="E189" s="130" t="s">
        <v>3482</v>
      </c>
      <c r="G189" s="56">
        <v>39875</v>
      </c>
    </row>
    <row r="190" spans="1:7" x14ac:dyDescent="0.2">
      <c r="A190" s="126">
        <v>39864</v>
      </c>
      <c r="B190" s="127" t="s">
        <v>336</v>
      </c>
      <c r="C190" s="130" t="s">
        <v>3409</v>
      </c>
      <c r="D190" s="129">
        <v>4603</v>
      </c>
      <c r="E190" s="130" t="s">
        <v>3486</v>
      </c>
      <c r="G190" s="56">
        <v>39910</v>
      </c>
    </row>
    <row r="191" spans="1:7" x14ac:dyDescent="0.2">
      <c r="A191" s="126">
        <v>39864</v>
      </c>
      <c r="B191" s="127" t="s">
        <v>1938</v>
      </c>
      <c r="C191" s="130" t="s">
        <v>3409</v>
      </c>
      <c r="D191" s="129">
        <v>4604</v>
      </c>
      <c r="E191" s="130" t="s">
        <v>3479</v>
      </c>
      <c r="G191" s="56">
        <v>39975</v>
      </c>
    </row>
    <row r="192" spans="1:7" x14ac:dyDescent="0.2">
      <c r="A192" s="48">
        <v>39885</v>
      </c>
      <c r="B192" s="49" t="s">
        <v>1160</v>
      </c>
      <c r="C192" s="50" t="s">
        <v>3409</v>
      </c>
      <c r="D192" s="51">
        <v>4619</v>
      </c>
      <c r="E192" s="50" t="s">
        <v>3175</v>
      </c>
      <c r="G192" s="56">
        <v>40051</v>
      </c>
    </row>
    <row r="193" spans="1:7" x14ac:dyDescent="0.2">
      <c r="A193" s="48">
        <v>39890</v>
      </c>
      <c r="B193" s="49" t="s">
        <v>1332</v>
      </c>
      <c r="C193" s="50" t="s">
        <v>3409</v>
      </c>
      <c r="D193" s="51">
        <v>4624</v>
      </c>
      <c r="E193" s="50" t="s">
        <v>3162</v>
      </c>
      <c r="G193" s="56">
        <v>39975</v>
      </c>
    </row>
    <row r="194" spans="1:7" x14ac:dyDescent="0.2">
      <c r="A194" s="48">
        <v>39798</v>
      </c>
      <c r="B194" s="49" t="s">
        <v>3911</v>
      </c>
      <c r="D194" s="51">
        <v>4771</v>
      </c>
      <c r="E194" s="50" t="s">
        <v>3482</v>
      </c>
      <c r="G194" s="56">
        <v>39855</v>
      </c>
    </row>
    <row r="195" spans="1:7" x14ac:dyDescent="0.2">
      <c r="A195" s="126">
        <v>39798</v>
      </c>
      <c r="B195" s="127" t="s">
        <v>26</v>
      </c>
      <c r="C195" s="130" t="s">
        <v>3408</v>
      </c>
      <c r="D195" s="129">
        <v>4772</v>
      </c>
      <c r="E195" s="130" t="s">
        <v>1562</v>
      </c>
      <c r="G195" s="56">
        <v>39927</v>
      </c>
    </row>
    <row r="196" spans="1:7" x14ac:dyDescent="0.2">
      <c r="A196" s="48">
        <v>39848</v>
      </c>
      <c r="B196" s="49" t="s">
        <v>3864</v>
      </c>
      <c r="C196" s="50" t="s">
        <v>3409</v>
      </c>
      <c r="D196" s="51">
        <v>4792</v>
      </c>
      <c r="E196" s="50" t="s">
        <v>3480</v>
      </c>
      <c r="G196" s="56">
        <v>39861</v>
      </c>
    </row>
    <row r="197" spans="1:7" x14ac:dyDescent="0.2">
      <c r="A197" s="126">
        <v>39834</v>
      </c>
      <c r="B197" s="127" t="s">
        <v>3451</v>
      </c>
      <c r="C197" s="130" t="s">
        <v>3646</v>
      </c>
      <c r="D197" s="129">
        <v>4843</v>
      </c>
      <c r="E197" s="130" t="s">
        <v>3162</v>
      </c>
      <c r="G197" s="56">
        <v>39875</v>
      </c>
    </row>
    <row r="198" spans="1:7" x14ac:dyDescent="0.2">
      <c r="A198" s="48">
        <v>39821</v>
      </c>
      <c r="B198" s="49" t="s">
        <v>1996</v>
      </c>
      <c r="C198" s="50" t="s">
        <v>2746</v>
      </c>
      <c r="D198" s="51">
        <v>4855</v>
      </c>
      <c r="E198" s="50" t="s">
        <v>3478</v>
      </c>
      <c r="G198" s="56">
        <v>39827</v>
      </c>
    </row>
    <row r="199" spans="1:7" x14ac:dyDescent="0.2">
      <c r="A199" s="126">
        <v>39822</v>
      </c>
      <c r="B199" s="127" t="s">
        <v>3301</v>
      </c>
      <c r="C199" s="130" t="s">
        <v>2746</v>
      </c>
      <c r="D199" s="129">
        <v>4860</v>
      </c>
      <c r="E199" s="130" t="s">
        <v>3175</v>
      </c>
      <c r="G199" s="56">
        <v>39910</v>
      </c>
    </row>
    <row r="200" spans="1:7" x14ac:dyDescent="0.2">
      <c r="A200" s="48">
        <v>39890</v>
      </c>
      <c r="B200" s="49" t="s">
        <v>191</v>
      </c>
      <c r="C200" s="50" t="s">
        <v>3409</v>
      </c>
      <c r="D200" s="51">
        <v>4911</v>
      </c>
      <c r="E200" s="50" t="s">
        <v>3482</v>
      </c>
      <c r="G200" s="56">
        <v>40007</v>
      </c>
    </row>
    <row r="201" spans="1:7" x14ac:dyDescent="0.2">
      <c r="A201" s="48">
        <v>39890</v>
      </c>
      <c r="B201" s="49" t="s">
        <v>1793</v>
      </c>
      <c r="C201" s="50" t="s">
        <v>2160</v>
      </c>
      <c r="D201" s="51">
        <v>4919</v>
      </c>
      <c r="E201" s="50" t="s">
        <v>3175</v>
      </c>
      <c r="G201" s="56">
        <v>39898</v>
      </c>
    </row>
    <row r="202" spans="1:7" x14ac:dyDescent="0.2">
      <c r="A202" s="48">
        <v>39890</v>
      </c>
      <c r="B202" s="49" t="s">
        <v>3284</v>
      </c>
      <c r="C202" s="50" t="s">
        <v>3409</v>
      </c>
      <c r="D202" s="51">
        <v>4920</v>
      </c>
      <c r="E202" s="50" t="s">
        <v>3175</v>
      </c>
      <c r="G202" s="56">
        <v>39898</v>
      </c>
    </row>
    <row r="203" spans="1:7" x14ac:dyDescent="0.2">
      <c r="A203" s="48">
        <v>39891</v>
      </c>
      <c r="B203" s="49" t="s">
        <v>3285</v>
      </c>
      <c r="C203" s="50" t="s">
        <v>3409</v>
      </c>
      <c r="D203" s="51">
        <v>4921</v>
      </c>
      <c r="E203" s="50" t="s">
        <v>846</v>
      </c>
      <c r="G203" s="56">
        <v>39898</v>
      </c>
    </row>
    <row r="204" spans="1:7" x14ac:dyDescent="0.2">
      <c r="A204" s="48">
        <v>39891</v>
      </c>
      <c r="B204" s="49" t="s">
        <v>3797</v>
      </c>
      <c r="C204" s="50" t="s">
        <v>3409</v>
      </c>
      <c r="D204" s="51">
        <v>4922</v>
      </c>
      <c r="E204" s="50" t="s">
        <v>3162</v>
      </c>
      <c r="G204" s="56">
        <v>39898</v>
      </c>
    </row>
    <row r="205" spans="1:7" x14ac:dyDescent="0.2">
      <c r="A205" s="48">
        <v>39895</v>
      </c>
      <c r="B205" s="49" t="s">
        <v>1861</v>
      </c>
      <c r="C205" s="50" t="s">
        <v>3409</v>
      </c>
      <c r="D205" s="51">
        <v>4923</v>
      </c>
      <c r="E205" s="50" t="s">
        <v>2069</v>
      </c>
      <c r="G205" s="56">
        <v>40051</v>
      </c>
    </row>
    <row r="206" spans="1:7" x14ac:dyDescent="0.2">
      <c r="A206" s="48">
        <v>39895</v>
      </c>
      <c r="B206" s="49" t="s">
        <v>3686</v>
      </c>
      <c r="C206" s="50" t="s">
        <v>3409</v>
      </c>
      <c r="D206" s="51">
        <v>4924</v>
      </c>
      <c r="E206" s="50" t="s">
        <v>2069</v>
      </c>
      <c r="F206" s="50" t="s">
        <v>3506</v>
      </c>
      <c r="G206" s="56">
        <v>40051</v>
      </c>
    </row>
    <row r="207" spans="1:7" x14ac:dyDescent="0.2">
      <c r="A207" s="126">
        <v>39897</v>
      </c>
      <c r="B207" s="127" t="s">
        <v>453</v>
      </c>
      <c r="C207" s="130" t="s">
        <v>1672</v>
      </c>
      <c r="D207" s="129">
        <v>4926</v>
      </c>
      <c r="E207" s="130" t="s">
        <v>3478</v>
      </c>
      <c r="G207" s="56">
        <v>39909</v>
      </c>
    </row>
    <row r="208" spans="1:7" x14ac:dyDescent="0.2">
      <c r="A208" s="126">
        <v>39898</v>
      </c>
      <c r="B208" s="127" t="s">
        <v>388</v>
      </c>
      <c r="C208" s="130" t="s">
        <v>3891</v>
      </c>
      <c r="D208" s="129">
        <v>4928</v>
      </c>
      <c r="E208" s="130" t="s">
        <v>3485</v>
      </c>
      <c r="G208" s="56">
        <v>39909</v>
      </c>
    </row>
    <row r="209" spans="1:7" x14ac:dyDescent="0.2">
      <c r="A209" s="126">
        <v>39904</v>
      </c>
      <c r="B209" s="127" t="s">
        <v>2490</v>
      </c>
      <c r="C209" s="130" t="s">
        <v>3409</v>
      </c>
      <c r="D209" s="129">
        <v>4933</v>
      </c>
      <c r="E209" s="130" t="s">
        <v>3175</v>
      </c>
      <c r="G209" s="56">
        <v>39927</v>
      </c>
    </row>
    <row r="210" spans="1:7" x14ac:dyDescent="0.2">
      <c r="A210" s="48">
        <v>39932</v>
      </c>
      <c r="B210" s="49" t="s">
        <v>1913</v>
      </c>
      <c r="C210" s="50" t="s">
        <v>3409</v>
      </c>
      <c r="D210" s="51">
        <v>4945</v>
      </c>
      <c r="E210" s="50" t="s">
        <v>3162</v>
      </c>
      <c r="G210" s="56">
        <v>40051</v>
      </c>
    </row>
    <row r="211" spans="1:7" x14ac:dyDescent="0.2">
      <c r="A211" s="48">
        <v>39910</v>
      </c>
      <c r="B211" s="49" t="s">
        <v>3923</v>
      </c>
      <c r="C211" s="50" t="s">
        <v>3409</v>
      </c>
      <c r="D211" s="51">
        <v>4946</v>
      </c>
      <c r="E211" s="50" t="s">
        <v>3176</v>
      </c>
      <c r="G211" s="56">
        <v>39923</v>
      </c>
    </row>
    <row r="212" spans="1:7" x14ac:dyDescent="0.2">
      <c r="A212" s="48">
        <v>39910</v>
      </c>
      <c r="B212" s="49" t="s">
        <v>788</v>
      </c>
      <c r="C212" s="50" t="s">
        <v>3409</v>
      </c>
      <c r="D212" s="51">
        <v>4947</v>
      </c>
      <c r="E212" s="50" t="s">
        <v>2069</v>
      </c>
      <c r="G212" s="56">
        <v>39917</v>
      </c>
    </row>
    <row r="213" spans="1:7" x14ac:dyDescent="0.2">
      <c r="A213" s="48">
        <v>39917</v>
      </c>
      <c r="B213" s="49" t="s">
        <v>2940</v>
      </c>
      <c r="C213" s="50" t="s">
        <v>3409</v>
      </c>
      <c r="D213" s="51">
        <v>4952</v>
      </c>
      <c r="E213" s="50" t="s">
        <v>3478</v>
      </c>
      <c r="G213" s="56">
        <v>39959</v>
      </c>
    </row>
    <row r="214" spans="1:7" x14ac:dyDescent="0.2">
      <c r="A214" s="48">
        <v>39969</v>
      </c>
      <c r="B214" s="49" t="s">
        <v>3852</v>
      </c>
      <c r="C214" s="50" t="s">
        <v>3409</v>
      </c>
      <c r="D214" s="51">
        <v>4955</v>
      </c>
      <c r="E214" s="50" t="s">
        <v>3485</v>
      </c>
      <c r="G214" s="56">
        <v>39975</v>
      </c>
    </row>
    <row r="215" spans="1:7" x14ac:dyDescent="0.2">
      <c r="A215" s="126">
        <v>39924</v>
      </c>
      <c r="B215" s="127" t="s">
        <v>3366</v>
      </c>
      <c r="C215" s="130" t="s">
        <v>3409</v>
      </c>
      <c r="D215" s="129">
        <v>4956</v>
      </c>
      <c r="E215" s="130" t="s">
        <v>3478</v>
      </c>
      <c r="G215" s="56">
        <v>39933</v>
      </c>
    </row>
    <row r="216" spans="1:7" x14ac:dyDescent="0.2">
      <c r="A216" s="48">
        <v>39925</v>
      </c>
      <c r="B216" s="49" t="s">
        <v>2431</v>
      </c>
      <c r="C216" s="50" t="s">
        <v>3648</v>
      </c>
      <c r="D216" s="51">
        <v>4958</v>
      </c>
      <c r="E216" s="50" t="s">
        <v>3480</v>
      </c>
      <c r="G216" s="56">
        <v>39975</v>
      </c>
    </row>
    <row r="217" spans="1:7" x14ac:dyDescent="0.2">
      <c r="A217" s="48">
        <v>39930</v>
      </c>
      <c r="B217" s="49" t="s">
        <v>3888</v>
      </c>
      <c r="C217" s="50" t="s">
        <v>3409</v>
      </c>
      <c r="D217" s="51">
        <v>4962</v>
      </c>
      <c r="E217" s="50" t="s">
        <v>3478</v>
      </c>
      <c r="G217" s="56">
        <v>39975</v>
      </c>
    </row>
    <row r="218" spans="1:7" x14ac:dyDescent="0.2">
      <c r="A218" s="126">
        <v>39930</v>
      </c>
      <c r="B218" s="127" t="s">
        <v>2193</v>
      </c>
      <c r="C218" s="130" t="s">
        <v>2877</v>
      </c>
      <c r="D218" s="129">
        <v>4963</v>
      </c>
      <c r="E218" s="130" t="s">
        <v>3165</v>
      </c>
      <c r="G218" s="56">
        <v>39933</v>
      </c>
    </row>
    <row r="219" spans="1:7" x14ac:dyDescent="0.2">
      <c r="A219" s="48">
        <v>39930</v>
      </c>
      <c r="B219" s="49" t="s">
        <v>2594</v>
      </c>
      <c r="C219" s="50" t="s">
        <v>2877</v>
      </c>
      <c r="D219" s="51">
        <v>4964</v>
      </c>
      <c r="E219" s="50" t="s">
        <v>3165</v>
      </c>
      <c r="G219" s="56">
        <v>39932</v>
      </c>
    </row>
    <row r="220" spans="1:7" x14ac:dyDescent="0.2">
      <c r="A220" s="48">
        <v>39931</v>
      </c>
      <c r="B220" s="49" t="s">
        <v>355</v>
      </c>
      <c r="C220" s="50" t="s">
        <v>2877</v>
      </c>
      <c r="D220" s="51">
        <v>4991</v>
      </c>
      <c r="G220" s="56">
        <v>39975</v>
      </c>
    </row>
    <row r="221" spans="1:7" x14ac:dyDescent="0.2">
      <c r="A221" s="126">
        <v>39932</v>
      </c>
      <c r="B221" s="127" t="s">
        <v>3263</v>
      </c>
      <c r="C221" s="130" t="s">
        <v>3409</v>
      </c>
      <c r="D221" s="129">
        <v>4992</v>
      </c>
      <c r="E221" s="130" t="s">
        <v>3165</v>
      </c>
      <c r="G221" s="56">
        <v>39975</v>
      </c>
    </row>
    <row r="222" spans="1:7" x14ac:dyDescent="0.2">
      <c r="A222" s="48">
        <v>39900</v>
      </c>
      <c r="B222" s="49" t="s">
        <v>1824</v>
      </c>
      <c r="C222" s="50" t="s">
        <v>3409</v>
      </c>
      <c r="D222" s="51">
        <v>4993</v>
      </c>
      <c r="E222" s="50" t="s">
        <v>3165</v>
      </c>
      <c r="G222" s="56">
        <v>39933</v>
      </c>
    </row>
    <row r="223" spans="1:7" x14ac:dyDescent="0.2">
      <c r="A223" s="126">
        <v>39944</v>
      </c>
      <c r="B223" s="127" t="s">
        <v>533</v>
      </c>
      <c r="C223" s="130" t="s">
        <v>3408</v>
      </c>
      <c r="D223" s="129">
        <v>5002</v>
      </c>
      <c r="E223" s="130" t="s">
        <v>3165</v>
      </c>
      <c r="G223" s="56">
        <v>39948</v>
      </c>
    </row>
    <row r="224" spans="1:7" x14ac:dyDescent="0.2">
      <c r="A224" s="48">
        <v>39967</v>
      </c>
      <c r="B224" s="49" t="s">
        <v>1419</v>
      </c>
      <c r="C224" s="50" t="s">
        <v>3409</v>
      </c>
      <c r="D224" s="51">
        <v>5019</v>
      </c>
      <c r="E224" s="50" t="s">
        <v>3482</v>
      </c>
      <c r="G224" s="56">
        <v>39981</v>
      </c>
    </row>
    <row r="225" spans="1:7" x14ac:dyDescent="0.2">
      <c r="A225" s="126">
        <v>39979</v>
      </c>
      <c r="B225" s="127" t="s">
        <v>3000</v>
      </c>
      <c r="C225" s="130" t="s">
        <v>3409</v>
      </c>
      <c r="D225" s="129">
        <v>5073</v>
      </c>
      <c r="E225" s="130" t="s">
        <v>3478</v>
      </c>
      <c r="G225" s="56">
        <v>39987</v>
      </c>
    </row>
    <row r="226" spans="1:7" x14ac:dyDescent="0.2">
      <c r="A226" s="48">
        <v>39979</v>
      </c>
      <c r="B226" s="49" t="s">
        <v>2005</v>
      </c>
      <c r="C226" s="50" t="s">
        <v>3409</v>
      </c>
      <c r="D226" s="51">
        <v>5222</v>
      </c>
      <c r="E226" s="50" t="s">
        <v>3479</v>
      </c>
      <c r="G226" s="56">
        <v>39994</v>
      </c>
    </row>
    <row r="227" spans="1:7" x14ac:dyDescent="0.2">
      <c r="A227" s="48">
        <v>39979</v>
      </c>
      <c r="B227" s="49" t="s">
        <v>1506</v>
      </c>
      <c r="C227" s="50" t="s">
        <v>3409</v>
      </c>
      <c r="D227" s="51">
        <v>5234</v>
      </c>
      <c r="E227" s="50" t="s">
        <v>3480</v>
      </c>
      <c r="G227" s="56">
        <v>40051</v>
      </c>
    </row>
    <row r="228" spans="1:7" x14ac:dyDescent="0.2">
      <c r="A228" s="48">
        <v>39979</v>
      </c>
      <c r="B228" s="49" t="s">
        <v>330</v>
      </c>
      <c r="C228" s="50" t="s">
        <v>3409</v>
      </c>
      <c r="D228" s="51">
        <v>5296</v>
      </c>
      <c r="E228" s="50" t="s">
        <v>3482</v>
      </c>
      <c r="G228" s="56">
        <v>40007</v>
      </c>
    </row>
    <row r="229" spans="1:7" x14ac:dyDescent="0.2">
      <c r="A229" s="126">
        <v>40121</v>
      </c>
      <c r="B229" s="127" t="s">
        <v>228</v>
      </c>
      <c r="C229" s="130" t="s">
        <v>3409</v>
      </c>
      <c r="D229" s="129">
        <v>5304</v>
      </c>
      <c r="E229" s="130" t="s">
        <v>2069</v>
      </c>
      <c r="G229" s="56">
        <v>40182</v>
      </c>
    </row>
    <row r="230" spans="1:7" x14ac:dyDescent="0.2">
      <c r="A230" s="48">
        <v>39979</v>
      </c>
      <c r="B230" s="49" t="s">
        <v>3818</v>
      </c>
      <c r="C230" s="50" t="s">
        <v>3409</v>
      </c>
      <c r="D230" s="51">
        <v>5344</v>
      </c>
      <c r="E230" s="50" t="s">
        <v>3837</v>
      </c>
      <c r="G230" s="56">
        <v>39987</v>
      </c>
    </row>
    <row r="231" spans="1:7" x14ac:dyDescent="0.2">
      <c r="A231" s="48">
        <v>39979</v>
      </c>
      <c r="B231" s="49" t="s">
        <v>2957</v>
      </c>
      <c r="C231" s="50" t="s">
        <v>3409</v>
      </c>
      <c r="D231" s="51">
        <v>5345</v>
      </c>
      <c r="E231" s="50" t="s">
        <v>3837</v>
      </c>
      <c r="G231" s="56">
        <v>39994</v>
      </c>
    </row>
    <row r="232" spans="1:7" x14ac:dyDescent="0.2">
      <c r="A232" s="48">
        <v>39979</v>
      </c>
      <c r="B232" s="49" t="s">
        <v>3740</v>
      </c>
      <c r="C232" s="50" t="s">
        <v>3409</v>
      </c>
      <c r="D232" s="51">
        <v>5350</v>
      </c>
      <c r="E232" s="50" t="s">
        <v>3837</v>
      </c>
      <c r="G232" s="56">
        <v>40147</v>
      </c>
    </row>
    <row r="233" spans="1:7" x14ac:dyDescent="0.2">
      <c r="A233" s="126">
        <v>39979</v>
      </c>
      <c r="B233" s="127" t="s">
        <v>3495</v>
      </c>
      <c r="C233" s="130" t="s">
        <v>3409</v>
      </c>
      <c r="D233" s="129">
        <v>5351</v>
      </c>
      <c r="E233" s="130" t="s">
        <v>3479</v>
      </c>
      <c r="G233" s="56">
        <v>39994</v>
      </c>
    </row>
    <row r="234" spans="1:7" x14ac:dyDescent="0.2">
      <c r="A234" s="48">
        <v>39979</v>
      </c>
      <c r="B234" s="49" t="s">
        <v>3496</v>
      </c>
      <c r="C234" s="50" t="s">
        <v>3409</v>
      </c>
      <c r="D234" s="51">
        <v>5352</v>
      </c>
      <c r="E234" s="50" t="s">
        <v>3482</v>
      </c>
      <c r="G234" s="56">
        <v>39987</v>
      </c>
    </row>
    <row r="235" spans="1:7" x14ac:dyDescent="0.2">
      <c r="A235" s="48">
        <v>40060</v>
      </c>
      <c r="B235" s="49" t="s">
        <v>3787</v>
      </c>
      <c r="C235" s="50" t="s">
        <v>3772</v>
      </c>
      <c r="D235" s="51">
        <v>5449</v>
      </c>
      <c r="E235" s="50" t="s">
        <v>1396</v>
      </c>
      <c r="G235" s="56">
        <v>40138</v>
      </c>
    </row>
    <row r="236" spans="1:7" x14ac:dyDescent="0.2">
      <c r="A236" s="48">
        <v>40063</v>
      </c>
      <c r="B236" s="49" t="s">
        <v>204</v>
      </c>
      <c r="C236" s="50" t="s">
        <v>3772</v>
      </c>
      <c r="D236" s="51">
        <v>5451</v>
      </c>
      <c r="E236" s="50" t="s">
        <v>2511</v>
      </c>
      <c r="G236" s="56">
        <v>40084</v>
      </c>
    </row>
    <row r="237" spans="1:7" x14ac:dyDescent="0.2">
      <c r="A237" s="48">
        <v>40077</v>
      </c>
      <c r="B237" s="49" t="s">
        <v>924</v>
      </c>
      <c r="C237" s="50" t="s">
        <v>3409</v>
      </c>
      <c r="D237" s="51">
        <v>5471</v>
      </c>
      <c r="E237" s="50" t="s">
        <v>3486</v>
      </c>
      <c r="G237" s="56">
        <v>40138</v>
      </c>
    </row>
    <row r="238" spans="1:7" x14ac:dyDescent="0.2">
      <c r="A238" s="48">
        <v>40087</v>
      </c>
      <c r="B238" s="49" t="s">
        <v>2307</v>
      </c>
      <c r="C238" s="50" t="s">
        <v>3409</v>
      </c>
      <c r="D238" s="51">
        <v>5478</v>
      </c>
      <c r="E238" s="50" t="s">
        <v>3482</v>
      </c>
      <c r="G238" s="56">
        <v>40497</v>
      </c>
    </row>
    <row r="239" spans="1:7" x14ac:dyDescent="0.2">
      <c r="A239" s="48">
        <v>39988</v>
      </c>
      <c r="B239" s="49" t="s">
        <v>2379</v>
      </c>
      <c r="C239" s="50" t="s">
        <v>3409</v>
      </c>
      <c r="D239" s="51">
        <v>5581</v>
      </c>
      <c r="E239" s="50" t="s">
        <v>3478</v>
      </c>
      <c r="G239" s="56">
        <v>40147</v>
      </c>
    </row>
    <row r="240" spans="1:7" x14ac:dyDescent="0.2">
      <c r="A240" s="48">
        <v>40023</v>
      </c>
      <c r="B240" s="49" t="s">
        <v>3743</v>
      </c>
      <c r="C240" s="50" t="s">
        <v>3409</v>
      </c>
      <c r="D240" s="51">
        <v>5585</v>
      </c>
      <c r="E240" s="50" t="s">
        <v>3175</v>
      </c>
      <c r="G240" s="56">
        <v>40138</v>
      </c>
    </row>
    <row r="241" spans="1:7" x14ac:dyDescent="0.2">
      <c r="A241" s="48">
        <v>40065</v>
      </c>
      <c r="B241" s="49" t="s">
        <v>144</v>
      </c>
      <c r="C241" s="50" t="s">
        <v>3772</v>
      </c>
      <c r="D241" s="51">
        <v>5588</v>
      </c>
      <c r="E241" s="50" t="s">
        <v>1781</v>
      </c>
      <c r="G241" s="56">
        <v>40147</v>
      </c>
    </row>
    <row r="242" spans="1:7" x14ac:dyDescent="0.2">
      <c r="A242" s="48">
        <v>40065</v>
      </c>
      <c r="B242" s="49" t="s">
        <v>3802</v>
      </c>
      <c r="C242" s="50" t="s">
        <v>3772</v>
      </c>
      <c r="D242" s="51">
        <v>5589</v>
      </c>
      <c r="E242" s="50" t="s">
        <v>758</v>
      </c>
      <c r="G242" s="56">
        <v>40138</v>
      </c>
    </row>
    <row r="243" spans="1:7" x14ac:dyDescent="0.2">
      <c r="A243" s="48">
        <v>40070</v>
      </c>
      <c r="B243" s="49" t="s">
        <v>160</v>
      </c>
      <c r="C243" s="50" t="s">
        <v>3409</v>
      </c>
      <c r="D243" s="51">
        <v>5591</v>
      </c>
      <c r="E243" s="50" t="s">
        <v>3162</v>
      </c>
      <c r="G243" s="56">
        <v>40126</v>
      </c>
    </row>
    <row r="244" spans="1:7" x14ac:dyDescent="0.2">
      <c r="A244" s="48">
        <v>40072</v>
      </c>
      <c r="B244" s="49" t="s">
        <v>3036</v>
      </c>
      <c r="C244" s="50" t="s">
        <v>3648</v>
      </c>
      <c r="D244" s="51">
        <v>5593</v>
      </c>
      <c r="G244" s="56">
        <v>40497</v>
      </c>
    </row>
    <row r="245" spans="1:7" x14ac:dyDescent="0.2">
      <c r="A245" s="48">
        <v>40164</v>
      </c>
      <c r="B245" s="49" t="s">
        <v>3902</v>
      </c>
      <c r="C245" s="50" t="s">
        <v>3409</v>
      </c>
      <c r="D245" s="51">
        <v>5598</v>
      </c>
      <c r="E245" s="50" t="s">
        <v>3482</v>
      </c>
      <c r="G245" s="56">
        <v>40497</v>
      </c>
    </row>
    <row r="246" spans="1:7" x14ac:dyDescent="0.2">
      <c r="A246" s="48">
        <v>40148</v>
      </c>
      <c r="B246" s="49" t="s">
        <v>153</v>
      </c>
      <c r="C246" s="50" t="s">
        <v>3409</v>
      </c>
      <c r="D246" s="51">
        <v>5599</v>
      </c>
      <c r="E246" s="50" t="s">
        <v>1562</v>
      </c>
      <c r="G246" s="56">
        <v>40497</v>
      </c>
    </row>
    <row r="247" spans="1:7" x14ac:dyDescent="0.2">
      <c r="A247" s="48">
        <v>40183</v>
      </c>
      <c r="B247" s="49" t="s">
        <v>2807</v>
      </c>
      <c r="C247" s="50" t="s">
        <v>3409</v>
      </c>
      <c r="D247" s="51">
        <v>5604</v>
      </c>
      <c r="E247" s="50" t="s">
        <v>3176</v>
      </c>
      <c r="G247" s="56">
        <v>40497</v>
      </c>
    </row>
    <row r="248" spans="1:7" x14ac:dyDescent="0.2">
      <c r="A248" s="48">
        <v>40201</v>
      </c>
      <c r="B248" s="49" t="s">
        <v>1860</v>
      </c>
      <c r="C248" s="50" t="s">
        <v>1859</v>
      </c>
      <c r="D248" s="51">
        <v>5605</v>
      </c>
      <c r="E248" s="50" t="s">
        <v>711</v>
      </c>
      <c r="G248" s="56">
        <v>40266</v>
      </c>
    </row>
    <row r="249" spans="1:7" x14ac:dyDescent="0.2">
      <c r="A249" s="48">
        <v>40205</v>
      </c>
      <c r="B249" s="49" t="s">
        <v>1041</v>
      </c>
      <c r="C249" s="50" t="s">
        <v>3772</v>
      </c>
      <c r="D249" s="51">
        <v>5607</v>
      </c>
      <c r="F249" s="50">
        <v>1</v>
      </c>
      <c r="G249" s="56">
        <v>40735</v>
      </c>
    </row>
    <row r="250" spans="1:7" x14ac:dyDescent="0.2">
      <c r="A250" s="48">
        <v>40206</v>
      </c>
      <c r="B250" s="49" t="s">
        <v>639</v>
      </c>
      <c r="C250" s="50" t="s">
        <v>1859</v>
      </c>
      <c r="D250" s="51">
        <v>5608</v>
      </c>
      <c r="E250" s="50" t="s">
        <v>3837</v>
      </c>
      <c r="G250" s="56">
        <v>40268</v>
      </c>
    </row>
    <row r="251" spans="1:7" x14ac:dyDescent="0.2">
      <c r="A251" s="48">
        <v>40206</v>
      </c>
      <c r="B251" s="49" t="s">
        <v>3719</v>
      </c>
      <c r="C251" s="50" t="s">
        <v>3720</v>
      </c>
      <c r="D251" s="51">
        <v>5609</v>
      </c>
      <c r="G251" s="56">
        <v>40463</v>
      </c>
    </row>
    <row r="252" spans="1:7" x14ac:dyDescent="0.2">
      <c r="A252" s="126">
        <v>40211</v>
      </c>
      <c r="B252" s="127" t="s">
        <v>1606</v>
      </c>
      <c r="C252" s="130" t="s">
        <v>3891</v>
      </c>
      <c r="D252" s="129">
        <v>5610</v>
      </c>
      <c r="E252" s="130" t="s">
        <v>3837</v>
      </c>
      <c r="G252" s="56">
        <v>40210</v>
      </c>
    </row>
    <row r="253" spans="1:7" x14ac:dyDescent="0.2">
      <c r="A253" s="48">
        <v>40211</v>
      </c>
      <c r="B253" s="49" t="s">
        <v>3527</v>
      </c>
      <c r="C253" s="50" t="s">
        <v>3891</v>
      </c>
      <c r="D253" s="51">
        <v>5612</v>
      </c>
      <c r="E253" s="50" t="s">
        <v>3837</v>
      </c>
      <c r="G253" s="56">
        <v>40210</v>
      </c>
    </row>
    <row r="254" spans="1:7" x14ac:dyDescent="0.2">
      <c r="A254" s="48">
        <v>40211</v>
      </c>
      <c r="B254" s="49" t="s">
        <v>1498</v>
      </c>
      <c r="C254" s="50" t="s">
        <v>1859</v>
      </c>
      <c r="D254" s="51">
        <v>5613</v>
      </c>
      <c r="E254" s="50" t="s">
        <v>3837</v>
      </c>
      <c r="G254" s="56">
        <v>40268</v>
      </c>
    </row>
    <row r="255" spans="1:7" x14ac:dyDescent="0.2">
      <c r="A255" s="48">
        <v>39988</v>
      </c>
      <c r="B255" s="49" t="s">
        <v>2759</v>
      </c>
      <c r="C255" s="50" t="s">
        <v>3646</v>
      </c>
      <c r="D255" s="51">
        <v>5619</v>
      </c>
      <c r="E255" s="50" t="s">
        <v>3175</v>
      </c>
      <c r="G255" s="56">
        <v>39996</v>
      </c>
    </row>
    <row r="256" spans="1:7" x14ac:dyDescent="0.2">
      <c r="A256" s="126">
        <v>39988</v>
      </c>
      <c r="B256" s="127" t="s">
        <v>2382</v>
      </c>
      <c r="C256" s="130" t="s">
        <v>3646</v>
      </c>
      <c r="D256" s="129">
        <v>5620</v>
      </c>
      <c r="E256" s="130" t="s">
        <v>3175</v>
      </c>
      <c r="G256" s="56">
        <v>39996</v>
      </c>
    </row>
    <row r="257" spans="1:7" x14ac:dyDescent="0.2">
      <c r="A257" s="48">
        <v>39989</v>
      </c>
      <c r="B257" s="49" t="s">
        <v>2380</v>
      </c>
      <c r="C257" s="50" t="s">
        <v>3646</v>
      </c>
      <c r="D257" s="51">
        <v>5622</v>
      </c>
      <c r="E257" s="50" t="s">
        <v>3175</v>
      </c>
      <c r="G257" s="56">
        <v>40182</v>
      </c>
    </row>
    <row r="258" spans="1:7" x14ac:dyDescent="0.2">
      <c r="A258" s="48">
        <v>39989</v>
      </c>
      <c r="B258" s="49" t="s">
        <v>2381</v>
      </c>
      <c r="C258" s="50" t="s">
        <v>3646</v>
      </c>
      <c r="D258" s="51">
        <v>5623</v>
      </c>
      <c r="E258" s="50" t="s">
        <v>3175</v>
      </c>
      <c r="G258" s="56">
        <v>40147</v>
      </c>
    </row>
    <row r="259" spans="1:7" x14ac:dyDescent="0.2">
      <c r="A259" s="48">
        <v>39996</v>
      </c>
      <c r="B259" s="49" t="s">
        <v>1691</v>
      </c>
      <c r="C259" s="50" t="s">
        <v>3409</v>
      </c>
      <c r="D259" s="51">
        <v>5627</v>
      </c>
      <c r="E259" s="50" t="s">
        <v>2789</v>
      </c>
      <c r="G259" s="56">
        <v>40051</v>
      </c>
    </row>
    <row r="260" spans="1:7" x14ac:dyDescent="0.2">
      <c r="A260" s="48">
        <v>39993</v>
      </c>
      <c r="B260" s="49" t="s">
        <v>1872</v>
      </c>
      <c r="C260" s="50" t="s">
        <v>3408</v>
      </c>
      <c r="D260" s="51">
        <v>5628</v>
      </c>
      <c r="E260" s="50" t="s">
        <v>3486</v>
      </c>
      <c r="F260" s="50">
        <v>1</v>
      </c>
      <c r="G260" s="56">
        <v>40735</v>
      </c>
    </row>
    <row r="261" spans="1:7" x14ac:dyDescent="0.2">
      <c r="A261" s="126">
        <v>40004</v>
      </c>
      <c r="B261" s="127" t="s">
        <v>3405</v>
      </c>
      <c r="C261" s="130" t="s">
        <v>3409</v>
      </c>
      <c r="D261" s="129">
        <v>5636</v>
      </c>
      <c r="E261" s="130" t="s">
        <v>3478</v>
      </c>
      <c r="G261" s="56">
        <v>40051</v>
      </c>
    </row>
    <row r="262" spans="1:7" x14ac:dyDescent="0.2">
      <c r="A262" s="48">
        <v>40189</v>
      </c>
      <c r="B262" s="49" t="s">
        <v>1712</v>
      </c>
      <c r="C262" s="50" t="s">
        <v>1819</v>
      </c>
      <c r="D262" s="51">
        <v>5726</v>
      </c>
      <c r="E262" s="50" t="s">
        <v>3175</v>
      </c>
      <c r="G262" s="56">
        <v>40210</v>
      </c>
    </row>
    <row r="263" spans="1:7" x14ac:dyDescent="0.2">
      <c r="A263" s="48">
        <v>40222</v>
      </c>
      <c r="B263" s="49" t="s">
        <v>638</v>
      </c>
      <c r="C263" s="50" t="s">
        <v>1859</v>
      </c>
      <c r="D263" s="51">
        <v>5909</v>
      </c>
      <c r="E263" s="50" t="s">
        <v>3485</v>
      </c>
      <c r="G263" s="56">
        <v>40268</v>
      </c>
    </row>
    <row r="264" spans="1:7" x14ac:dyDescent="0.2">
      <c r="A264" s="48">
        <v>40222</v>
      </c>
      <c r="B264" s="49" t="s">
        <v>236</v>
      </c>
      <c r="C264" s="50" t="s">
        <v>1859</v>
      </c>
      <c r="D264" s="51">
        <v>5910</v>
      </c>
      <c r="E264" s="50" t="s">
        <v>3482</v>
      </c>
      <c r="G264" s="56">
        <v>40268</v>
      </c>
    </row>
    <row r="265" spans="1:7" x14ac:dyDescent="0.2">
      <c r="A265" s="48">
        <v>40232</v>
      </c>
      <c r="B265" s="49" t="s">
        <v>1739</v>
      </c>
      <c r="C265" s="50" t="s">
        <v>1859</v>
      </c>
      <c r="D265" s="51">
        <v>5912</v>
      </c>
      <c r="E265" s="50" t="s">
        <v>3597</v>
      </c>
      <c r="G265" s="56">
        <v>40268</v>
      </c>
    </row>
    <row r="266" spans="1:7" x14ac:dyDescent="0.2">
      <c r="A266" s="48">
        <v>40435</v>
      </c>
      <c r="B266" s="49" t="s">
        <v>1575</v>
      </c>
      <c r="C266" s="50" t="s">
        <v>1859</v>
      </c>
      <c r="D266" s="51">
        <v>5919</v>
      </c>
      <c r="G266" s="56">
        <v>40463</v>
      </c>
    </row>
    <row r="267" spans="1:7" x14ac:dyDescent="0.2">
      <c r="A267" s="48">
        <v>40142</v>
      </c>
      <c r="B267" s="49" t="s">
        <v>3207</v>
      </c>
      <c r="C267" s="50" t="s">
        <v>3648</v>
      </c>
      <c r="D267" s="51">
        <v>6041</v>
      </c>
      <c r="E267" s="50" t="s">
        <v>3482</v>
      </c>
      <c r="G267" s="56">
        <v>40497</v>
      </c>
    </row>
    <row r="268" spans="1:7" x14ac:dyDescent="0.2">
      <c r="A268" s="48">
        <v>40143</v>
      </c>
      <c r="B268" s="49" t="s">
        <v>3641</v>
      </c>
      <c r="C268" s="50" t="s">
        <v>3409</v>
      </c>
      <c r="D268" s="51">
        <v>6042</v>
      </c>
      <c r="G268" s="56">
        <v>40497</v>
      </c>
    </row>
    <row r="269" spans="1:7" x14ac:dyDescent="0.2">
      <c r="A269" s="48">
        <v>40137</v>
      </c>
      <c r="B269" s="49" t="s">
        <v>361</v>
      </c>
      <c r="C269" s="50" t="s">
        <v>3646</v>
      </c>
      <c r="D269" s="51">
        <v>6047</v>
      </c>
      <c r="E269" s="50" t="s">
        <v>3175</v>
      </c>
      <c r="G269" s="56">
        <v>40497</v>
      </c>
    </row>
    <row r="270" spans="1:7" x14ac:dyDescent="0.2">
      <c r="A270" s="48">
        <v>40137</v>
      </c>
      <c r="B270" s="49" t="s">
        <v>371</v>
      </c>
      <c r="C270" s="50" t="s">
        <v>3646</v>
      </c>
      <c r="D270" s="51">
        <v>6050</v>
      </c>
      <c r="E270" s="50" t="s">
        <v>3175</v>
      </c>
      <c r="G270" s="56">
        <v>40143</v>
      </c>
    </row>
    <row r="271" spans="1:7" x14ac:dyDescent="0.2">
      <c r="A271" s="48">
        <v>40246</v>
      </c>
      <c r="B271" s="49" t="s">
        <v>2291</v>
      </c>
      <c r="C271" s="50" t="s">
        <v>3646</v>
      </c>
      <c r="D271" s="51">
        <v>6127</v>
      </c>
      <c r="E271" s="50" t="s">
        <v>3613</v>
      </c>
      <c r="G271" s="56">
        <v>40268</v>
      </c>
    </row>
    <row r="272" spans="1:7" x14ac:dyDescent="0.2">
      <c r="A272" s="126">
        <v>40248</v>
      </c>
      <c r="B272" s="127" t="s">
        <v>3885</v>
      </c>
      <c r="C272" s="130" t="s">
        <v>1859</v>
      </c>
      <c r="D272" s="129">
        <v>6129</v>
      </c>
      <c r="E272" s="130" t="s">
        <v>3478</v>
      </c>
      <c r="G272" s="56">
        <v>40268</v>
      </c>
    </row>
    <row r="273" spans="1:7" x14ac:dyDescent="0.2">
      <c r="A273" s="48">
        <v>40259</v>
      </c>
      <c r="B273" s="49" t="s">
        <v>1858</v>
      </c>
      <c r="C273" s="50" t="s">
        <v>1859</v>
      </c>
      <c r="D273" s="51">
        <v>6180</v>
      </c>
      <c r="E273" s="50" t="s">
        <v>3478</v>
      </c>
      <c r="G273" s="56">
        <v>40266</v>
      </c>
    </row>
    <row r="274" spans="1:7" x14ac:dyDescent="0.2">
      <c r="A274" s="48">
        <v>40261</v>
      </c>
      <c r="B274" s="49" t="s">
        <v>538</v>
      </c>
      <c r="C274" s="50" t="s">
        <v>1859</v>
      </c>
      <c r="D274" s="51">
        <v>6193</v>
      </c>
      <c r="E274" s="50" t="s">
        <v>3597</v>
      </c>
      <c r="G274" s="56">
        <v>40497</v>
      </c>
    </row>
    <row r="275" spans="1:7" x14ac:dyDescent="0.2">
      <c r="A275" s="48">
        <v>40205</v>
      </c>
      <c r="B275" s="49" t="s">
        <v>2468</v>
      </c>
      <c r="C275" s="50" t="s">
        <v>3891</v>
      </c>
      <c r="D275" s="51">
        <v>6201</v>
      </c>
      <c r="E275" s="50" t="s">
        <v>3482</v>
      </c>
      <c r="G275" s="56">
        <v>40210</v>
      </c>
    </row>
    <row r="276" spans="1:7" x14ac:dyDescent="0.2">
      <c r="A276" s="48">
        <v>40204</v>
      </c>
      <c r="B276" s="49" t="s">
        <v>640</v>
      </c>
      <c r="C276" s="50" t="s">
        <v>1859</v>
      </c>
      <c r="D276" s="51">
        <v>6202</v>
      </c>
      <c r="E276" s="50" t="s">
        <v>3482</v>
      </c>
      <c r="G276" s="56">
        <v>40268</v>
      </c>
    </row>
    <row r="277" spans="1:7" x14ac:dyDescent="0.2">
      <c r="A277" s="48">
        <v>40200</v>
      </c>
      <c r="B277" s="49" t="s">
        <v>3003</v>
      </c>
      <c r="C277" s="50" t="s">
        <v>3409</v>
      </c>
      <c r="D277" s="51">
        <v>6206</v>
      </c>
      <c r="E277" s="50" t="s">
        <v>3482</v>
      </c>
      <c r="G277" s="56">
        <v>40210</v>
      </c>
    </row>
    <row r="278" spans="1:7" x14ac:dyDescent="0.2">
      <c r="A278" s="48">
        <v>40199</v>
      </c>
      <c r="B278" s="49" t="s">
        <v>1476</v>
      </c>
      <c r="C278" s="50" t="s">
        <v>3409</v>
      </c>
      <c r="D278" s="51">
        <v>6207</v>
      </c>
      <c r="E278" s="50" t="s">
        <v>3162</v>
      </c>
      <c r="G278" s="56">
        <v>40268</v>
      </c>
    </row>
    <row r="279" spans="1:7" x14ac:dyDescent="0.2">
      <c r="A279" s="48">
        <v>40198</v>
      </c>
      <c r="B279" s="49" t="s">
        <v>2036</v>
      </c>
      <c r="C279" s="50" t="s">
        <v>3409</v>
      </c>
      <c r="D279" s="51">
        <v>6221</v>
      </c>
      <c r="E279" s="50" t="s">
        <v>328</v>
      </c>
      <c r="G279" s="56">
        <v>40497</v>
      </c>
    </row>
    <row r="280" spans="1:7" x14ac:dyDescent="0.2">
      <c r="A280" s="48">
        <v>40192</v>
      </c>
      <c r="B280" s="49" t="s">
        <v>3614</v>
      </c>
      <c r="C280" s="50" t="s">
        <v>1859</v>
      </c>
      <c r="D280" s="51">
        <v>6229</v>
      </c>
      <c r="E280" s="50" t="s">
        <v>3615</v>
      </c>
      <c r="G280" s="56">
        <v>40268</v>
      </c>
    </row>
    <row r="281" spans="1:7" x14ac:dyDescent="0.2">
      <c r="A281" s="48">
        <v>40186</v>
      </c>
      <c r="B281" s="49" t="s">
        <v>2575</v>
      </c>
      <c r="C281" s="50" t="s">
        <v>3409</v>
      </c>
      <c r="D281" s="51">
        <v>6231</v>
      </c>
      <c r="E281" s="50" t="s">
        <v>3175</v>
      </c>
      <c r="G281" s="56">
        <v>40497</v>
      </c>
    </row>
    <row r="282" spans="1:7" x14ac:dyDescent="0.2">
      <c r="A282" s="48">
        <v>40164</v>
      </c>
      <c r="B282" s="49" t="s">
        <v>3810</v>
      </c>
      <c r="C282" s="50" t="s">
        <v>2522</v>
      </c>
      <c r="D282" s="51">
        <v>6240</v>
      </c>
      <c r="E282" s="50" t="s">
        <v>3478</v>
      </c>
      <c r="G282" s="56">
        <v>40497</v>
      </c>
    </row>
    <row r="283" spans="1:7" x14ac:dyDescent="0.2">
      <c r="A283" s="48">
        <v>40161</v>
      </c>
      <c r="B283" s="49" t="s">
        <v>1300</v>
      </c>
      <c r="C283" s="50" t="s">
        <v>3646</v>
      </c>
      <c r="D283" s="51">
        <v>6242</v>
      </c>
      <c r="E283" s="50" t="s">
        <v>3175</v>
      </c>
      <c r="G283" s="56">
        <v>40497</v>
      </c>
    </row>
    <row r="284" spans="1:7" x14ac:dyDescent="0.2">
      <c r="A284" s="48">
        <v>40309</v>
      </c>
      <c r="B284" s="49" t="s">
        <v>2985</v>
      </c>
      <c r="C284" s="50" t="s">
        <v>1859</v>
      </c>
      <c r="D284" s="51">
        <v>6253</v>
      </c>
      <c r="G284" s="56">
        <v>40463</v>
      </c>
    </row>
    <row r="285" spans="1:7" x14ac:dyDescent="0.2">
      <c r="A285" s="48">
        <v>40211</v>
      </c>
      <c r="B285" s="49" t="s">
        <v>1740</v>
      </c>
      <c r="C285" s="50" t="s">
        <v>1859</v>
      </c>
      <c r="D285" s="51">
        <v>6331</v>
      </c>
      <c r="E285" s="50" t="s">
        <v>3482</v>
      </c>
      <c r="G285" s="56">
        <v>40268</v>
      </c>
    </row>
    <row r="286" spans="1:7" x14ac:dyDescent="0.2">
      <c r="A286" s="48">
        <v>40310</v>
      </c>
      <c r="B286" s="49" t="s">
        <v>365</v>
      </c>
      <c r="C286" s="50" t="s">
        <v>1859</v>
      </c>
      <c r="D286" s="51">
        <v>6335</v>
      </c>
      <c r="G286" s="56">
        <v>40535</v>
      </c>
    </row>
    <row r="287" spans="1:7" x14ac:dyDescent="0.2">
      <c r="A287" s="48">
        <v>40332</v>
      </c>
      <c r="B287" s="49" t="s">
        <v>4016</v>
      </c>
      <c r="C287" s="50" t="s">
        <v>1859</v>
      </c>
      <c r="D287" s="51">
        <v>6380</v>
      </c>
      <c r="E287" s="50" t="s">
        <v>3482</v>
      </c>
      <c r="G287" s="56">
        <v>40714</v>
      </c>
    </row>
    <row r="288" spans="1:7" x14ac:dyDescent="0.2">
      <c r="A288" s="48">
        <v>40333</v>
      </c>
      <c r="B288" s="49" t="s">
        <v>732</v>
      </c>
      <c r="C288" s="50" t="s">
        <v>1859</v>
      </c>
      <c r="D288" s="51">
        <v>6385</v>
      </c>
      <c r="G288" s="56">
        <v>40463</v>
      </c>
    </row>
    <row r="289" spans="1:7" x14ac:dyDescent="0.2">
      <c r="A289" s="126">
        <v>40341</v>
      </c>
      <c r="B289" s="127" t="s">
        <v>3395</v>
      </c>
      <c r="C289" s="130" t="s">
        <v>3646</v>
      </c>
      <c r="D289" s="129">
        <v>6397</v>
      </c>
      <c r="E289" s="130" t="s">
        <v>3175</v>
      </c>
      <c r="G289" s="56">
        <v>40497</v>
      </c>
    </row>
    <row r="290" spans="1:7" x14ac:dyDescent="0.2">
      <c r="A290" s="126">
        <v>40351</v>
      </c>
      <c r="B290" s="127" t="s">
        <v>2791</v>
      </c>
      <c r="C290" s="130" t="s">
        <v>1859</v>
      </c>
      <c r="D290" s="129">
        <v>6405</v>
      </c>
      <c r="E290" s="130"/>
      <c r="G290" s="56">
        <v>40463</v>
      </c>
    </row>
    <row r="291" spans="1:7" x14ac:dyDescent="0.2">
      <c r="A291" s="48">
        <v>40366</v>
      </c>
      <c r="B291" s="49" t="s">
        <v>594</v>
      </c>
      <c r="C291" s="50" t="s">
        <v>1859</v>
      </c>
      <c r="D291" s="51">
        <v>6432</v>
      </c>
      <c r="E291" s="50" t="s">
        <v>3482</v>
      </c>
      <c r="G291" s="56">
        <v>40504</v>
      </c>
    </row>
    <row r="292" spans="1:7" x14ac:dyDescent="0.2">
      <c r="A292" s="48">
        <v>40369</v>
      </c>
      <c r="B292" s="49" t="s">
        <v>753</v>
      </c>
      <c r="C292" s="50" t="s">
        <v>1859</v>
      </c>
      <c r="D292" s="51">
        <v>6437</v>
      </c>
      <c r="G292" s="56">
        <v>40463</v>
      </c>
    </row>
    <row r="293" spans="1:7" x14ac:dyDescent="0.2">
      <c r="A293" s="126">
        <v>40365</v>
      </c>
      <c r="B293" s="127" t="s">
        <v>311</v>
      </c>
      <c r="C293" s="130" t="s">
        <v>1859</v>
      </c>
      <c r="D293" s="129">
        <v>6568</v>
      </c>
      <c r="E293" s="130"/>
      <c r="G293" s="56">
        <v>40497</v>
      </c>
    </row>
    <row r="294" spans="1:7" x14ac:dyDescent="0.2">
      <c r="A294" s="48">
        <v>40385</v>
      </c>
      <c r="B294" s="49" t="s">
        <v>1573</v>
      </c>
      <c r="C294" s="50" t="s">
        <v>1859</v>
      </c>
      <c r="D294" s="51">
        <v>6587</v>
      </c>
      <c r="G294" s="56">
        <v>40463</v>
      </c>
    </row>
    <row r="295" spans="1:7" x14ac:dyDescent="0.2">
      <c r="A295" s="48">
        <v>40385</v>
      </c>
      <c r="B295" s="49" t="s">
        <v>3717</v>
      </c>
      <c r="C295" s="50" t="s">
        <v>1859</v>
      </c>
      <c r="D295" s="51">
        <v>6591</v>
      </c>
      <c r="E295" s="50" t="s">
        <v>2494</v>
      </c>
      <c r="G295" s="56">
        <v>40484</v>
      </c>
    </row>
    <row r="296" spans="1:7" x14ac:dyDescent="0.2">
      <c r="A296" s="48">
        <v>40385</v>
      </c>
      <c r="B296" s="49" t="s">
        <v>751</v>
      </c>
      <c r="C296" s="50" t="s">
        <v>1859</v>
      </c>
      <c r="D296" s="51">
        <v>6592</v>
      </c>
      <c r="E296" s="50" t="s">
        <v>2494</v>
      </c>
      <c r="G296" s="56">
        <v>40463</v>
      </c>
    </row>
    <row r="297" spans="1:7" x14ac:dyDescent="0.2">
      <c r="A297" s="126">
        <v>40385</v>
      </c>
      <c r="B297" s="127" t="s">
        <v>1574</v>
      </c>
      <c r="C297" s="130" t="s">
        <v>1859</v>
      </c>
      <c r="D297" s="129">
        <v>6595</v>
      </c>
      <c r="E297" s="130"/>
      <c r="G297" s="56">
        <v>40463</v>
      </c>
    </row>
    <row r="298" spans="1:7" x14ac:dyDescent="0.2">
      <c r="A298" s="48">
        <v>40386</v>
      </c>
      <c r="B298" s="49" t="s">
        <v>3729</v>
      </c>
      <c r="C298" s="50" t="s">
        <v>3646</v>
      </c>
      <c r="D298" s="51">
        <v>6604</v>
      </c>
      <c r="G298" s="56">
        <v>40497</v>
      </c>
    </row>
    <row r="299" spans="1:7" x14ac:dyDescent="0.2">
      <c r="A299" s="48">
        <v>40429</v>
      </c>
      <c r="B299" s="49" t="s">
        <v>1369</v>
      </c>
      <c r="C299" s="50" t="s">
        <v>1859</v>
      </c>
      <c r="D299" s="51">
        <v>6705</v>
      </c>
      <c r="E299" s="50" t="s">
        <v>328</v>
      </c>
      <c r="G299" s="56">
        <v>40484</v>
      </c>
    </row>
    <row r="300" spans="1:7" x14ac:dyDescent="0.2">
      <c r="A300" s="48">
        <v>40429</v>
      </c>
      <c r="B300" s="49" t="s">
        <v>1892</v>
      </c>
      <c r="D300" s="51">
        <v>6706</v>
      </c>
      <c r="G300" s="56">
        <v>40513</v>
      </c>
    </row>
    <row r="301" spans="1:7" x14ac:dyDescent="0.2">
      <c r="A301" s="48">
        <v>40732</v>
      </c>
      <c r="B301" s="49" t="s">
        <v>2552</v>
      </c>
      <c r="D301" s="51">
        <v>8041</v>
      </c>
      <c r="F301" s="50">
        <v>2</v>
      </c>
      <c r="G301" s="56">
        <v>40749</v>
      </c>
    </row>
    <row r="302" spans="1:7" x14ac:dyDescent="0.2">
      <c r="A302" s="126">
        <v>40435</v>
      </c>
      <c r="B302" s="127" t="s">
        <v>2984</v>
      </c>
      <c r="C302" s="130" t="s">
        <v>3646</v>
      </c>
      <c r="D302" s="129">
        <v>6716</v>
      </c>
      <c r="E302" s="130" t="s">
        <v>3175</v>
      </c>
      <c r="G302" s="56">
        <v>40714</v>
      </c>
    </row>
    <row r="303" spans="1:7" x14ac:dyDescent="0.2">
      <c r="A303" s="48">
        <v>40444</v>
      </c>
      <c r="B303" s="49" t="s">
        <v>489</v>
      </c>
      <c r="C303" s="50" t="s">
        <v>1859</v>
      </c>
      <c r="D303" s="51">
        <v>6722</v>
      </c>
      <c r="E303" s="50" t="s">
        <v>2872</v>
      </c>
      <c r="G303" s="56">
        <v>40497</v>
      </c>
    </row>
    <row r="304" spans="1:7" x14ac:dyDescent="0.2">
      <c r="A304" s="126">
        <v>40458</v>
      </c>
      <c r="B304" s="127" t="s">
        <v>268</v>
      </c>
      <c r="C304" s="130"/>
      <c r="D304" s="129">
        <v>6835</v>
      </c>
      <c r="E304" s="130"/>
      <c r="G304" s="56">
        <v>40529</v>
      </c>
    </row>
    <row r="305" spans="1:7" x14ac:dyDescent="0.2">
      <c r="A305" s="48">
        <v>40465</v>
      </c>
      <c r="B305" s="49" t="s">
        <v>1244</v>
      </c>
      <c r="C305" s="50" t="s">
        <v>1859</v>
      </c>
      <c r="D305" s="51">
        <v>6846</v>
      </c>
      <c r="E305" s="50" t="s">
        <v>3482</v>
      </c>
      <c r="G305" s="56">
        <v>40484</v>
      </c>
    </row>
    <row r="306" spans="1:7" x14ac:dyDescent="0.2">
      <c r="A306" s="48">
        <v>40470</v>
      </c>
      <c r="B306" s="49" t="s">
        <v>71</v>
      </c>
      <c r="C306" s="50" t="s">
        <v>1859</v>
      </c>
      <c r="D306" s="51">
        <v>6852</v>
      </c>
      <c r="E306" s="50" t="s">
        <v>3482</v>
      </c>
      <c r="G306" s="56">
        <v>40714</v>
      </c>
    </row>
    <row r="307" spans="1:7" x14ac:dyDescent="0.2">
      <c r="A307" s="48">
        <v>40470</v>
      </c>
      <c r="B307" s="49" t="s">
        <v>900</v>
      </c>
      <c r="C307" s="50" t="s">
        <v>1859</v>
      </c>
      <c r="D307" s="51">
        <v>6853</v>
      </c>
      <c r="E307" s="50" t="s">
        <v>3175</v>
      </c>
      <c r="G307" s="56">
        <v>40497</v>
      </c>
    </row>
    <row r="308" spans="1:7" x14ac:dyDescent="0.2">
      <c r="A308" s="48">
        <v>40473</v>
      </c>
      <c r="B308" s="49" t="s">
        <v>3774</v>
      </c>
      <c r="C308" s="50" t="s">
        <v>1859</v>
      </c>
      <c r="D308" s="51">
        <v>6856</v>
      </c>
      <c r="E308" s="50" t="s">
        <v>3175</v>
      </c>
      <c r="G308" s="56">
        <v>40547</v>
      </c>
    </row>
    <row r="309" spans="1:7" x14ac:dyDescent="0.2">
      <c r="A309" s="126">
        <v>40746</v>
      </c>
      <c r="B309" s="127" t="s">
        <v>1521</v>
      </c>
      <c r="C309" s="130" t="s">
        <v>1429</v>
      </c>
      <c r="D309" s="129">
        <v>8025</v>
      </c>
      <c r="E309" s="130"/>
      <c r="G309" s="56">
        <v>40749</v>
      </c>
    </row>
    <row r="310" spans="1:7" x14ac:dyDescent="0.2">
      <c r="A310" s="126">
        <v>40473</v>
      </c>
      <c r="B310" s="127" t="s">
        <v>3603</v>
      </c>
      <c r="C310" s="130" t="s">
        <v>1859</v>
      </c>
      <c r="D310" s="129">
        <v>6859</v>
      </c>
      <c r="E310" s="130" t="s">
        <v>3175</v>
      </c>
      <c r="G310" s="56">
        <v>40497</v>
      </c>
    </row>
    <row r="311" spans="1:7" x14ac:dyDescent="0.2">
      <c r="A311" s="126">
        <v>40478</v>
      </c>
      <c r="B311" s="127" t="s">
        <v>72</v>
      </c>
      <c r="C311" s="130" t="s">
        <v>1859</v>
      </c>
      <c r="D311" s="129">
        <v>6862</v>
      </c>
      <c r="E311" s="130" t="s">
        <v>2494</v>
      </c>
      <c r="G311" s="56">
        <v>40497</v>
      </c>
    </row>
    <row r="312" spans="1:7" x14ac:dyDescent="0.2">
      <c r="A312" s="126">
        <v>40480</v>
      </c>
      <c r="B312" s="127" t="s">
        <v>74</v>
      </c>
      <c r="C312" s="130" t="s">
        <v>1859</v>
      </c>
      <c r="D312" s="129">
        <v>6865</v>
      </c>
      <c r="E312" s="130" t="s">
        <v>2494</v>
      </c>
      <c r="G312" s="56">
        <v>40497</v>
      </c>
    </row>
    <row r="313" spans="1:7" x14ac:dyDescent="0.2">
      <c r="A313" s="48">
        <v>40480</v>
      </c>
      <c r="B313" s="49" t="s">
        <v>73</v>
      </c>
      <c r="C313" s="50" t="s">
        <v>1859</v>
      </c>
      <c r="D313" s="51">
        <v>6867</v>
      </c>
      <c r="E313" s="50" t="s">
        <v>3478</v>
      </c>
      <c r="G313" s="56">
        <v>40497</v>
      </c>
    </row>
    <row r="314" spans="1:7" x14ac:dyDescent="0.2">
      <c r="A314" s="126">
        <v>40485</v>
      </c>
      <c r="B314" s="127" t="s">
        <v>2837</v>
      </c>
      <c r="C314" s="130"/>
      <c r="D314" s="129">
        <v>6868</v>
      </c>
      <c r="E314" s="130"/>
      <c r="G314" s="56">
        <v>40529</v>
      </c>
    </row>
    <row r="315" spans="1:7" x14ac:dyDescent="0.2">
      <c r="A315" s="126">
        <v>40508</v>
      </c>
      <c r="B315" s="127" t="s">
        <v>3813</v>
      </c>
      <c r="C315" s="130" t="s">
        <v>2160</v>
      </c>
      <c r="D315" s="129">
        <v>6997</v>
      </c>
      <c r="E315" s="130"/>
      <c r="G315" s="56">
        <v>40529</v>
      </c>
    </row>
    <row r="316" spans="1:7" x14ac:dyDescent="0.2">
      <c r="A316" s="48">
        <v>40508</v>
      </c>
      <c r="B316" s="49" t="s">
        <v>150</v>
      </c>
      <c r="C316" s="50" t="s">
        <v>2160</v>
      </c>
      <c r="D316" s="51">
        <v>6998</v>
      </c>
      <c r="G316" s="56">
        <v>40529</v>
      </c>
    </row>
    <row r="317" spans="1:7" x14ac:dyDescent="0.2">
      <c r="A317" s="48">
        <v>40647</v>
      </c>
      <c r="B317" s="49" t="s">
        <v>2819</v>
      </c>
      <c r="C317" s="50" t="s">
        <v>3772</v>
      </c>
      <c r="D317" s="51">
        <v>7978</v>
      </c>
      <c r="F317" s="50">
        <v>2</v>
      </c>
      <c r="G317" s="56">
        <v>40749</v>
      </c>
    </row>
    <row r="318" spans="1:7" x14ac:dyDescent="0.2">
      <c r="A318" s="48">
        <v>40646</v>
      </c>
      <c r="B318" s="49" t="s">
        <v>3423</v>
      </c>
      <c r="C318" s="50" t="s">
        <v>3772</v>
      </c>
      <c r="D318" s="51">
        <v>7894</v>
      </c>
      <c r="F318" s="50">
        <v>2</v>
      </c>
      <c r="G318" s="56">
        <v>40749</v>
      </c>
    </row>
    <row r="319" spans="1:7" x14ac:dyDescent="0.2">
      <c r="A319" s="48">
        <v>40562</v>
      </c>
      <c r="B319" s="49" t="s">
        <v>1953</v>
      </c>
      <c r="C319" s="50" t="s">
        <v>3772</v>
      </c>
      <c r="D319" s="51">
        <v>7618</v>
      </c>
      <c r="F319" s="50">
        <v>2</v>
      </c>
      <c r="G319" s="56">
        <v>40749</v>
      </c>
    </row>
    <row r="320" spans="1:7" x14ac:dyDescent="0.2">
      <c r="A320" s="48">
        <v>40500</v>
      </c>
      <c r="B320" s="49" t="s">
        <v>1295</v>
      </c>
      <c r="D320" s="51">
        <v>7089</v>
      </c>
      <c r="G320" s="56">
        <v>40529</v>
      </c>
    </row>
    <row r="321" spans="1:7" x14ac:dyDescent="0.2">
      <c r="A321" s="48">
        <v>40500</v>
      </c>
      <c r="B321" s="49" t="s">
        <v>3298</v>
      </c>
      <c r="D321" s="51">
        <v>7090</v>
      </c>
      <c r="G321" s="56">
        <v>40529</v>
      </c>
    </row>
    <row r="322" spans="1:7" x14ac:dyDescent="0.2">
      <c r="A322" s="48">
        <v>40500</v>
      </c>
      <c r="B322" s="49" t="s">
        <v>2435</v>
      </c>
      <c r="D322" s="51">
        <v>7091</v>
      </c>
      <c r="G322" s="56">
        <v>40529</v>
      </c>
    </row>
    <row r="323" spans="1:7" x14ac:dyDescent="0.2">
      <c r="A323" s="48">
        <v>40500</v>
      </c>
      <c r="B323" s="49" t="s">
        <v>2436</v>
      </c>
      <c r="D323" s="51">
        <v>7092</v>
      </c>
      <c r="G323" s="56">
        <v>40529</v>
      </c>
    </row>
    <row r="324" spans="1:7" x14ac:dyDescent="0.2">
      <c r="A324" s="48">
        <v>40500</v>
      </c>
      <c r="B324" s="49" t="s">
        <v>2438</v>
      </c>
      <c r="D324" s="51">
        <v>7094</v>
      </c>
      <c r="G324" s="56">
        <v>40529</v>
      </c>
    </row>
    <row r="325" spans="1:7" x14ac:dyDescent="0.2">
      <c r="A325" s="48">
        <v>40501</v>
      </c>
      <c r="B325" s="49" t="s">
        <v>2437</v>
      </c>
      <c r="D325" s="51">
        <v>7095</v>
      </c>
      <c r="G325" s="56">
        <v>40529</v>
      </c>
    </row>
    <row r="326" spans="1:7" x14ac:dyDescent="0.2">
      <c r="A326" s="48">
        <v>40501</v>
      </c>
      <c r="B326" s="49" t="s">
        <v>2439</v>
      </c>
      <c r="D326" s="51">
        <v>7098</v>
      </c>
      <c r="G326" s="56">
        <v>40513</v>
      </c>
    </row>
    <row r="327" spans="1:7" x14ac:dyDescent="0.2">
      <c r="A327" s="126">
        <v>40506</v>
      </c>
      <c r="B327" s="127" t="s">
        <v>3716</v>
      </c>
      <c r="C327" s="130" t="s">
        <v>2160</v>
      </c>
      <c r="D327" s="129">
        <v>7172</v>
      </c>
      <c r="E327" s="130"/>
      <c r="G327" s="56">
        <v>40529</v>
      </c>
    </row>
    <row r="328" spans="1:7" x14ac:dyDescent="0.2">
      <c r="A328" s="48">
        <v>40506</v>
      </c>
      <c r="B328" s="49" t="s">
        <v>2469</v>
      </c>
      <c r="C328" s="50" t="s">
        <v>2160</v>
      </c>
      <c r="D328" s="51">
        <v>7179</v>
      </c>
      <c r="G328" s="56">
        <v>40529</v>
      </c>
    </row>
    <row r="329" spans="1:7" x14ac:dyDescent="0.2">
      <c r="A329" s="126">
        <v>40506</v>
      </c>
      <c r="B329" s="127" t="s">
        <v>3715</v>
      </c>
      <c r="C329" s="130" t="s">
        <v>2160</v>
      </c>
      <c r="D329" s="129">
        <v>7190</v>
      </c>
      <c r="E329" s="130"/>
      <c r="G329" s="56">
        <v>40529</v>
      </c>
    </row>
    <row r="330" spans="1:7" x14ac:dyDescent="0.2">
      <c r="A330" s="48">
        <v>40606</v>
      </c>
      <c r="B330" s="49" t="s">
        <v>1178</v>
      </c>
      <c r="C330" s="50" t="s">
        <v>3772</v>
      </c>
      <c r="D330" s="51">
        <v>7245</v>
      </c>
      <c r="E330" s="50" t="s">
        <v>1179</v>
      </c>
      <c r="G330" s="56">
        <v>40673</v>
      </c>
    </row>
    <row r="331" spans="1:7" x14ac:dyDescent="0.2">
      <c r="A331" s="48">
        <v>40611</v>
      </c>
      <c r="B331" s="49" t="s">
        <v>1296</v>
      </c>
      <c r="C331" s="50" t="s">
        <v>3772</v>
      </c>
      <c r="D331" s="51">
        <v>7246</v>
      </c>
      <c r="E331" s="50" t="s">
        <v>3597</v>
      </c>
      <c r="G331" s="56">
        <v>40673</v>
      </c>
    </row>
    <row r="332" spans="1:7" x14ac:dyDescent="0.2">
      <c r="A332" s="48">
        <v>40617</v>
      </c>
      <c r="B332" s="49" t="s">
        <v>3158</v>
      </c>
      <c r="C332" s="50" t="s">
        <v>3646</v>
      </c>
      <c r="D332" s="51">
        <v>7249</v>
      </c>
      <c r="E332" s="50" t="s">
        <v>3482</v>
      </c>
      <c r="G332" s="56">
        <v>40673</v>
      </c>
    </row>
    <row r="333" spans="1:7" x14ac:dyDescent="0.2">
      <c r="A333" s="48">
        <v>40617</v>
      </c>
      <c r="B333" s="49" t="s">
        <v>3545</v>
      </c>
      <c r="C333" s="50" t="s">
        <v>3646</v>
      </c>
      <c r="D333" s="51">
        <v>7250</v>
      </c>
      <c r="E333" s="50" t="s">
        <v>3175</v>
      </c>
      <c r="G333" s="56">
        <v>40673</v>
      </c>
    </row>
    <row r="334" spans="1:7" x14ac:dyDescent="0.2">
      <c r="A334" s="126">
        <v>40617</v>
      </c>
      <c r="B334" s="127" t="s">
        <v>1156</v>
      </c>
      <c r="C334" s="130" t="s">
        <v>1859</v>
      </c>
      <c r="D334" s="129">
        <v>7251</v>
      </c>
      <c r="E334" s="130" t="s">
        <v>1157</v>
      </c>
      <c r="G334" s="56">
        <v>40638</v>
      </c>
    </row>
    <row r="335" spans="1:7" x14ac:dyDescent="0.2">
      <c r="A335" s="48">
        <v>40617</v>
      </c>
      <c r="B335" s="49" t="s">
        <v>1155</v>
      </c>
      <c r="C335" s="50" t="s">
        <v>1859</v>
      </c>
      <c r="D335" s="51">
        <v>7252</v>
      </c>
      <c r="E335" s="50" t="s">
        <v>3597</v>
      </c>
      <c r="G335" s="56">
        <v>40638</v>
      </c>
    </row>
    <row r="336" spans="1:7" x14ac:dyDescent="0.2">
      <c r="A336" s="126">
        <v>40618</v>
      </c>
      <c r="B336" s="127" t="s">
        <v>3544</v>
      </c>
      <c r="C336" s="130" t="s">
        <v>2160</v>
      </c>
      <c r="D336" s="129">
        <v>7253</v>
      </c>
      <c r="E336" s="130" t="s">
        <v>1157</v>
      </c>
      <c r="G336" s="56">
        <v>40638</v>
      </c>
    </row>
    <row r="337" spans="1:7" x14ac:dyDescent="0.2">
      <c r="A337" s="48">
        <v>40618</v>
      </c>
      <c r="B337" s="49" t="s">
        <v>1187</v>
      </c>
      <c r="C337" s="50" t="s">
        <v>2160</v>
      </c>
      <c r="D337" s="51">
        <v>7254</v>
      </c>
      <c r="E337" s="50" t="s">
        <v>2494</v>
      </c>
      <c r="G337" s="56">
        <v>40673</v>
      </c>
    </row>
    <row r="338" spans="1:7" x14ac:dyDescent="0.2">
      <c r="A338" s="48">
        <v>40618</v>
      </c>
      <c r="B338" s="49" t="s">
        <v>1189</v>
      </c>
      <c r="C338" s="50" t="s">
        <v>2160</v>
      </c>
      <c r="D338" s="51">
        <v>7255</v>
      </c>
      <c r="E338" s="50" t="s">
        <v>3482</v>
      </c>
      <c r="G338" s="56">
        <v>40638</v>
      </c>
    </row>
    <row r="339" spans="1:7" x14ac:dyDescent="0.2">
      <c r="A339" s="48">
        <v>40617</v>
      </c>
      <c r="B339" s="49" t="s">
        <v>3133</v>
      </c>
      <c r="C339" s="50" t="s">
        <v>3772</v>
      </c>
      <c r="D339" s="51">
        <v>7258</v>
      </c>
      <c r="E339" s="50" t="s">
        <v>3134</v>
      </c>
      <c r="F339" s="50">
        <v>1</v>
      </c>
      <c r="G339" s="56">
        <v>40638</v>
      </c>
    </row>
    <row r="340" spans="1:7" x14ac:dyDescent="0.2">
      <c r="A340" s="48">
        <v>40626</v>
      </c>
      <c r="B340" s="49" t="s">
        <v>3208</v>
      </c>
      <c r="C340" s="50" t="s">
        <v>3772</v>
      </c>
      <c r="D340" s="51">
        <v>7260</v>
      </c>
      <c r="E340" s="50" t="s">
        <v>3597</v>
      </c>
      <c r="F340" s="50">
        <v>1</v>
      </c>
      <c r="G340" s="56">
        <v>40673</v>
      </c>
    </row>
    <row r="341" spans="1:7" x14ac:dyDescent="0.2">
      <c r="A341" s="48">
        <v>40626</v>
      </c>
      <c r="B341" s="49" t="s">
        <v>1564</v>
      </c>
      <c r="C341" s="50" t="s">
        <v>1565</v>
      </c>
      <c r="D341" s="51">
        <v>7261</v>
      </c>
      <c r="F341" s="50">
        <v>1</v>
      </c>
      <c r="G341" s="56">
        <v>40735</v>
      </c>
    </row>
    <row r="342" spans="1:7" x14ac:dyDescent="0.2">
      <c r="A342" s="126">
        <v>40626</v>
      </c>
      <c r="B342" s="127" t="s">
        <v>3209</v>
      </c>
      <c r="C342" s="130" t="s">
        <v>3772</v>
      </c>
      <c r="D342" s="129">
        <v>7262</v>
      </c>
      <c r="E342" s="130" t="s">
        <v>3597</v>
      </c>
      <c r="F342" s="50">
        <v>3</v>
      </c>
      <c r="G342" s="56">
        <v>40673</v>
      </c>
    </row>
    <row r="343" spans="1:7" x14ac:dyDescent="0.2">
      <c r="A343" s="48">
        <v>40628</v>
      </c>
      <c r="B343" s="49" t="s">
        <v>341</v>
      </c>
      <c r="C343" s="50" t="s">
        <v>3772</v>
      </c>
      <c r="D343" s="51">
        <v>7263</v>
      </c>
      <c r="E343" s="50" t="s">
        <v>2494</v>
      </c>
      <c r="G343" s="56">
        <v>40673</v>
      </c>
    </row>
    <row r="344" spans="1:7" x14ac:dyDescent="0.2">
      <c r="A344" s="48">
        <v>40628</v>
      </c>
      <c r="B344" s="49" t="s">
        <v>2795</v>
      </c>
      <c r="C344" s="50" t="s">
        <v>3772</v>
      </c>
      <c r="D344" s="51">
        <v>7264</v>
      </c>
      <c r="E344" s="50" t="s">
        <v>3430</v>
      </c>
      <c r="G344" s="56">
        <v>40673</v>
      </c>
    </row>
    <row r="345" spans="1:7" x14ac:dyDescent="0.2">
      <c r="A345" s="48">
        <v>40515</v>
      </c>
      <c r="B345" s="49" t="s">
        <v>1997</v>
      </c>
      <c r="C345" s="50" t="s">
        <v>1859</v>
      </c>
      <c r="D345" s="51">
        <v>7343</v>
      </c>
      <c r="E345" s="50" t="s">
        <v>3482</v>
      </c>
      <c r="G345" s="56">
        <v>40535</v>
      </c>
    </row>
    <row r="346" spans="1:7" x14ac:dyDescent="0.2">
      <c r="A346" s="196">
        <v>40620</v>
      </c>
      <c r="B346" s="195" t="s">
        <v>1772</v>
      </c>
      <c r="C346" s="199" t="s">
        <v>3772</v>
      </c>
      <c r="D346" s="198">
        <v>7259</v>
      </c>
      <c r="E346" s="199"/>
      <c r="F346" s="50">
        <v>1</v>
      </c>
      <c r="G346" s="56">
        <v>40749</v>
      </c>
    </row>
    <row r="347" spans="1:7" x14ac:dyDescent="0.2">
      <c r="A347" s="48">
        <v>40585</v>
      </c>
      <c r="B347" s="49" t="s">
        <v>294</v>
      </c>
      <c r="C347" s="50" t="s">
        <v>3772</v>
      </c>
      <c r="D347" s="51">
        <v>7595</v>
      </c>
      <c r="E347" s="50" t="s">
        <v>3482</v>
      </c>
      <c r="G347" s="56">
        <v>40673</v>
      </c>
    </row>
    <row r="348" spans="1:7" x14ac:dyDescent="0.2">
      <c r="A348" s="48">
        <v>40563</v>
      </c>
      <c r="B348" s="49" t="s">
        <v>560</v>
      </c>
      <c r="C348" s="50" t="s">
        <v>3772</v>
      </c>
      <c r="D348" s="51">
        <v>7604</v>
      </c>
      <c r="G348" s="56">
        <v>40638</v>
      </c>
    </row>
    <row r="349" spans="1:7" x14ac:dyDescent="0.2">
      <c r="A349" s="48">
        <v>40563</v>
      </c>
      <c r="B349" s="49" t="s">
        <v>1954</v>
      </c>
      <c r="C349" s="50" t="s">
        <v>1955</v>
      </c>
      <c r="D349" s="51">
        <v>7612</v>
      </c>
      <c r="F349" s="50">
        <v>1</v>
      </c>
      <c r="G349" s="56">
        <v>40735</v>
      </c>
    </row>
    <row r="350" spans="1:7" x14ac:dyDescent="0.2">
      <c r="A350" s="48">
        <v>40666</v>
      </c>
      <c r="B350" s="49" t="s">
        <v>3425</v>
      </c>
      <c r="C350" s="50" t="s">
        <v>3772</v>
      </c>
      <c r="D350" s="51">
        <v>7882</v>
      </c>
      <c r="F350" s="50">
        <v>2</v>
      </c>
      <c r="G350" s="56">
        <v>40735</v>
      </c>
    </row>
    <row r="351" spans="1:7" x14ac:dyDescent="0.2">
      <c r="A351" s="126">
        <v>40556</v>
      </c>
      <c r="B351" s="127" t="s">
        <v>3424</v>
      </c>
      <c r="C351" s="130" t="s">
        <v>3772</v>
      </c>
      <c r="D351" s="129">
        <v>7886</v>
      </c>
      <c r="E351" s="130"/>
      <c r="F351" s="50">
        <v>3</v>
      </c>
      <c r="G351" s="56">
        <v>40735</v>
      </c>
    </row>
    <row r="352" spans="1:7" x14ac:dyDescent="0.2">
      <c r="A352" s="48">
        <v>40640</v>
      </c>
      <c r="B352" s="49" t="s">
        <v>2663</v>
      </c>
      <c r="C352" s="50" t="s">
        <v>3772</v>
      </c>
      <c r="D352" s="51">
        <v>7889</v>
      </c>
      <c r="E352" s="50" t="s">
        <v>3162</v>
      </c>
      <c r="F352" s="50">
        <v>1</v>
      </c>
      <c r="G352" s="56">
        <v>40673</v>
      </c>
    </row>
    <row r="353" spans="1:7" x14ac:dyDescent="0.2">
      <c r="A353" s="48">
        <v>40654</v>
      </c>
      <c r="B353" s="49" t="s">
        <v>2754</v>
      </c>
      <c r="D353" s="51">
        <v>7893</v>
      </c>
      <c r="G353" s="56">
        <v>40673</v>
      </c>
    </row>
    <row r="354" spans="1:7" x14ac:dyDescent="0.2">
      <c r="A354" s="48">
        <v>40654</v>
      </c>
      <c r="B354" s="49" t="s">
        <v>591</v>
      </c>
      <c r="D354" s="51">
        <v>7896</v>
      </c>
      <c r="G354" s="56">
        <v>40673</v>
      </c>
    </row>
    <row r="355" spans="1:7" x14ac:dyDescent="0.2">
      <c r="A355" s="48">
        <v>40654</v>
      </c>
      <c r="B355" s="49" t="s">
        <v>592</v>
      </c>
      <c r="D355" s="51">
        <v>7897</v>
      </c>
      <c r="G355" s="56">
        <v>40673</v>
      </c>
    </row>
    <row r="356" spans="1:7" x14ac:dyDescent="0.2">
      <c r="A356" s="48">
        <v>40645</v>
      </c>
      <c r="B356" s="49" t="s">
        <v>2662</v>
      </c>
      <c r="C356" s="50" t="s">
        <v>3772</v>
      </c>
      <c r="D356" s="51">
        <v>7981</v>
      </c>
      <c r="E356" s="50" t="s">
        <v>2494</v>
      </c>
      <c r="F356" s="50">
        <v>1</v>
      </c>
      <c r="G356" s="56">
        <v>40673</v>
      </c>
    </row>
    <row r="357" spans="1:7" x14ac:dyDescent="0.2">
      <c r="A357" s="48">
        <v>40732</v>
      </c>
      <c r="B357" s="49" t="s">
        <v>1138</v>
      </c>
      <c r="C357" s="50" t="s">
        <v>2877</v>
      </c>
      <c r="D357" s="51">
        <v>8044</v>
      </c>
      <c r="G357" s="56">
        <v>40737</v>
      </c>
    </row>
    <row r="358" spans="1:7" x14ac:dyDescent="0.2">
      <c r="A358" s="48">
        <v>39991</v>
      </c>
      <c r="B358" s="49" t="s">
        <v>3142</v>
      </c>
      <c r="C358" s="50" t="s">
        <v>2877</v>
      </c>
      <c r="D358" s="51">
        <v>39991</v>
      </c>
      <c r="E358" s="50" t="s">
        <v>1562</v>
      </c>
      <c r="G358" s="56">
        <v>40121</v>
      </c>
    </row>
    <row r="359" spans="1:7" x14ac:dyDescent="0.2">
      <c r="A359" s="48">
        <v>40201</v>
      </c>
      <c r="B359" s="49" t="s">
        <v>1709</v>
      </c>
      <c r="C359" s="50" t="s">
        <v>3409</v>
      </c>
      <c r="D359" s="51">
        <v>56085</v>
      </c>
      <c r="E359" s="50" t="s">
        <v>3165</v>
      </c>
      <c r="G359" s="56">
        <v>40210</v>
      </c>
    </row>
    <row r="360" spans="1:7" x14ac:dyDescent="0.2">
      <c r="A360" s="48">
        <v>39167</v>
      </c>
      <c r="B360" s="49" t="s">
        <v>233</v>
      </c>
      <c r="D360" s="51">
        <v>901501</v>
      </c>
      <c r="E360" s="50" t="s">
        <v>2789</v>
      </c>
      <c r="G360" s="56">
        <v>39857</v>
      </c>
    </row>
    <row r="361" spans="1:7" x14ac:dyDescent="0.2">
      <c r="A361" s="48">
        <v>40683</v>
      </c>
      <c r="B361" s="49" t="s">
        <v>1335</v>
      </c>
      <c r="D361" s="51">
        <v>8001</v>
      </c>
      <c r="E361" s="50" t="s">
        <v>3482</v>
      </c>
      <c r="F361" s="50">
        <v>1</v>
      </c>
      <c r="G361" s="56">
        <v>40749</v>
      </c>
    </row>
    <row r="362" spans="1:7" x14ac:dyDescent="0.2">
      <c r="A362" s="48">
        <v>40683</v>
      </c>
      <c r="B362" s="49" t="s">
        <v>3023</v>
      </c>
      <c r="D362" s="51">
        <v>8000</v>
      </c>
      <c r="E362" s="50" t="s">
        <v>3482</v>
      </c>
      <c r="F362" s="50">
        <v>1</v>
      </c>
      <c r="G362" s="56">
        <v>40749</v>
      </c>
    </row>
    <row r="363" spans="1:7" x14ac:dyDescent="0.2">
      <c r="A363" s="48">
        <v>40813</v>
      </c>
      <c r="B363" s="49" t="s">
        <v>795</v>
      </c>
      <c r="C363" s="50" t="s">
        <v>419</v>
      </c>
      <c r="D363" s="51">
        <v>8049</v>
      </c>
      <c r="G363" s="56">
        <v>40820</v>
      </c>
    </row>
    <row r="364" spans="1:7" x14ac:dyDescent="0.2">
      <c r="A364" s="48">
        <v>40813</v>
      </c>
      <c r="B364" s="49" t="s">
        <v>1692</v>
      </c>
      <c r="D364" s="51">
        <v>8052</v>
      </c>
      <c r="G364" s="56">
        <v>40820</v>
      </c>
    </row>
    <row r="365" spans="1:7" x14ac:dyDescent="0.2">
      <c r="A365" s="48">
        <v>40514</v>
      </c>
      <c r="B365" s="49" t="s">
        <v>2525</v>
      </c>
      <c r="C365" s="50" t="s">
        <v>2526</v>
      </c>
      <c r="D365" s="51">
        <v>7336</v>
      </c>
      <c r="E365" s="50" t="s">
        <v>1179</v>
      </c>
      <c r="G365" s="56">
        <v>40820</v>
      </c>
    </row>
    <row r="366" spans="1:7" x14ac:dyDescent="0.2">
      <c r="A366" s="48">
        <v>40435</v>
      </c>
      <c r="B366" s="49" t="s">
        <v>2089</v>
      </c>
      <c r="C366" s="50" t="s">
        <v>1859</v>
      </c>
      <c r="D366" s="51">
        <v>6714</v>
      </c>
      <c r="F366" s="50">
        <v>5</v>
      </c>
      <c r="G366" s="56">
        <v>40820</v>
      </c>
    </row>
    <row r="367" spans="1:7" x14ac:dyDescent="0.2">
      <c r="A367" s="48">
        <v>40380</v>
      </c>
      <c r="B367" s="49" t="s">
        <v>583</v>
      </c>
      <c r="C367" s="50" t="s">
        <v>1859</v>
      </c>
      <c r="D367" s="51">
        <v>6576</v>
      </c>
      <c r="F367" s="50">
        <v>1</v>
      </c>
      <c r="G367" s="56">
        <v>40820</v>
      </c>
    </row>
    <row r="368" spans="1:7" x14ac:dyDescent="0.2">
      <c r="A368" s="48">
        <v>40791</v>
      </c>
      <c r="B368" s="49" t="s">
        <v>2052</v>
      </c>
      <c r="C368" s="50" t="s">
        <v>3646</v>
      </c>
      <c r="D368" s="51">
        <v>7573</v>
      </c>
      <c r="F368" s="50">
        <v>1</v>
      </c>
      <c r="G368" s="56">
        <v>40820</v>
      </c>
    </row>
    <row r="369" spans="1:7" x14ac:dyDescent="0.2">
      <c r="A369" s="48">
        <v>40722</v>
      </c>
      <c r="B369" s="49" t="s">
        <v>2560</v>
      </c>
      <c r="D369" s="51">
        <v>8017</v>
      </c>
      <c r="F369" s="50">
        <v>2</v>
      </c>
      <c r="G369" s="56">
        <v>40833</v>
      </c>
    </row>
    <row r="370" spans="1:7" x14ac:dyDescent="0.2">
      <c r="A370" s="48">
        <v>40732</v>
      </c>
      <c r="B370" s="49" t="s">
        <v>2013</v>
      </c>
      <c r="D370" s="51">
        <v>8038</v>
      </c>
      <c r="F370" s="50">
        <v>1</v>
      </c>
      <c r="G370" s="56">
        <v>40833</v>
      </c>
    </row>
    <row r="371" spans="1:7" x14ac:dyDescent="0.2">
      <c r="A371" s="48">
        <v>40563</v>
      </c>
      <c r="B371" s="49" t="s">
        <v>1957</v>
      </c>
      <c r="C371" s="50" t="s">
        <v>3772</v>
      </c>
      <c r="D371" s="51">
        <v>7603</v>
      </c>
      <c r="F371" s="50">
        <v>2</v>
      </c>
      <c r="G371" s="56">
        <v>40833</v>
      </c>
    </row>
    <row r="372" spans="1:7" x14ac:dyDescent="0.2">
      <c r="A372" s="48">
        <v>40563</v>
      </c>
      <c r="B372" s="49" t="s">
        <v>3375</v>
      </c>
      <c r="C372" s="50" t="s">
        <v>3376</v>
      </c>
      <c r="D372" s="51">
        <v>7613</v>
      </c>
      <c r="F372" s="50">
        <v>2</v>
      </c>
      <c r="G372" s="56">
        <v>40833</v>
      </c>
    </row>
    <row r="373" spans="1:7" x14ac:dyDescent="0.2">
      <c r="A373" s="48">
        <v>40385</v>
      </c>
      <c r="B373" s="49" t="s">
        <v>752</v>
      </c>
      <c r="C373" s="50" t="s">
        <v>1859</v>
      </c>
      <c r="D373" s="51">
        <v>6590</v>
      </c>
      <c r="E373" s="50" t="s">
        <v>3482</v>
      </c>
      <c r="F373" s="50" t="s">
        <v>2398</v>
      </c>
      <c r="G373" s="56">
        <v>40840</v>
      </c>
    </row>
    <row r="374" spans="1:7" x14ac:dyDescent="0.2">
      <c r="A374" s="48">
        <v>40732</v>
      </c>
      <c r="B374" s="49" t="s">
        <v>2551</v>
      </c>
      <c r="D374" s="51">
        <v>8022</v>
      </c>
      <c r="F374" s="50">
        <v>1</v>
      </c>
      <c r="G374" s="56">
        <v>40840</v>
      </c>
    </row>
    <row r="375" spans="1:7" x14ac:dyDescent="0.2">
      <c r="A375" s="48">
        <v>40749</v>
      </c>
      <c r="B375" s="49" t="s">
        <v>1430</v>
      </c>
      <c r="C375" s="50" t="s">
        <v>1431</v>
      </c>
      <c r="D375" s="51">
        <v>8046</v>
      </c>
      <c r="F375" s="50">
        <v>2</v>
      </c>
      <c r="G375" s="56">
        <v>40840</v>
      </c>
    </row>
    <row r="376" spans="1:7" x14ac:dyDescent="0.2">
      <c r="A376" s="48">
        <v>40674</v>
      </c>
      <c r="B376" s="49" t="s">
        <v>2527</v>
      </c>
      <c r="C376" s="50" t="s">
        <v>1859</v>
      </c>
      <c r="D376" s="51">
        <v>7878</v>
      </c>
      <c r="E376" s="50" t="s">
        <v>3162</v>
      </c>
      <c r="F376" s="50">
        <v>2</v>
      </c>
      <c r="G376" s="56">
        <v>40844</v>
      </c>
    </row>
    <row r="377" spans="1:7" x14ac:dyDescent="0.2">
      <c r="A377" s="48">
        <v>40749</v>
      </c>
      <c r="B377" s="49" t="s">
        <v>1432</v>
      </c>
      <c r="C377" s="50" t="s">
        <v>1431</v>
      </c>
      <c r="D377" s="51">
        <v>8047</v>
      </c>
      <c r="F377" s="50">
        <v>2</v>
      </c>
      <c r="G377" s="56">
        <v>40844</v>
      </c>
    </row>
    <row r="378" spans="1:7" x14ac:dyDescent="0.2">
      <c r="A378" s="48">
        <v>40355</v>
      </c>
      <c r="B378" s="49" t="s">
        <v>317</v>
      </c>
      <c r="C378" s="50" t="s">
        <v>1859</v>
      </c>
      <c r="D378" s="51">
        <v>6418</v>
      </c>
      <c r="E378" s="50" t="s">
        <v>3162</v>
      </c>
      <c r="F378" s="50">
        <v>3</v>
      </c>
      <c r="G378" s="56">
        <v>40844</v>
      </c>
    </row>
    <row r="379" spans="1:7" x14ac:dyDescent="0.2">
      <c r="A379" s="48">
        <v>40328</v>
      </c>
      <c r="B379" s="49" t="s">
        <v>2784</v>
      </c>
      <c r="C379" s="50" t="s">
        <v>1859</v>
      </c>
      <c r="D379" s="51">
        <v>6070</v>
      </c>
      <c r="F379" s="50">
        <v>5</v>
      </c>
      <c r="G379" s="56">
        <v>40844</v>
      </c>
    </row>
    <row r="380" spans="1:7" x14ac:dyDescent="0.2">
      <c r="A380" s="48">
        <v>40815</v>
      </c>
      <c r="B380" s="49" t="s">
        <v>3760</v>
      </c>
      <c r="C380" s="50" t="s">
        <v>2877</v>
      </c>
      <c r="D380" s="51">
        <v>8058</v>
      </c>
      <c r="F380" s="50">
        <v>1</v>
      </c>
      <c r="G380" s="56">
        <v>40871</v>
      </c>
    </row>
    <row r="381" spans="1:7" x14ac:dyDescent="0.2">
      <c r="A381" s="48">
        <v>40808</v>
      </c>
      <c r="B381" s="49" t="s">
        <v>2734</v>
      </c>
      <c r="C381" s="50" t="s">
        <v>419</v>
      </c>
      <c r="D381" s="51">
        <v>8057</v>
      </c>
      <c r="F381" s="50">
        <v>2</v>
      </c>
      <c r="G381" s="56">
        <v>40871</v>
      </c>
    </row>
    <row r="382" spans="1:7" x14ac:dyDescent="0.2">
      <c r="A382" s="48">
        <v>40760</v>
      </c>
      <c r="B382" s="49" t="s">
        <v>2614</v>
      </c>
      <c r="C382" s="50" t="s">
        <v>419</v>
      </c>
      <c r="D382" s="51">
        <v>7518</v>
      </c>
      <c r="E382" s="50" t="s">
        <v>1827</v>
      </c>
      <c r="F382" s="50">
        <v>1</v>
      </c>
      <c r="G382" s="56">
        <v>40877</v>
      </c>
    </row>
    <row r="383" spans="1:7" x14ac:dyDescent="0.2">
      <c r="A383" s="48">
        <v>40835</v>
      </c>
      <c r="B383" s="49" t="s">
        <v>1935</v>
      </c>
      <c r="C383" s="50" t="s">
        <v>419</v>
      </c>
      <c r="D383" s="51">
        <v>8561</v>
      </c>
      <c r="E383" s="50" t="s">
        <v>3482</v>
      </c>
      <c r="F383" s="50">
        <v>1</v>
      </c>
      <c r="G383" s="56">
        <v>40877</v>
      </c>
    </row>
    <row r="384" spans="1:7" x14ac:dyDescent="0.2">
      <c r="A384" s="48">
        <v>40855</v>
      </c>
      <c r="B384" s="49" t="s">
        <v>2929</v>
      </c>
      <c r="C384" s="50" t="s">
        <v>2877</v>
      </c>
      <c r="D384" s="51">
        <v>8371</v>
      </c>
      <c r="F384" s="50">
        <v>1</v>
      </c>
      <c r="G384" s="56">
        <v>40877</v>
      </c>
    </row>
    <row r="385" spans="1:7" x14ac:dyDescent="0.2">
      <c r="A385" s="48">
        <v>40458</v>
      </c>
      <c r="B385" s="49" t="s">
        <v>2405</v>
      </c>
      <c r="C385" s="50" t="s">
        <v>1859</v>
      </c>
      <c r="D385" s="51">
        <v>6834</v>
      </c>
      <c r="E385" s="50" t="s">
        <v>3175</v>
      </c>
      <c r="F385" s="50">
        <v>1</v>
      </c>
      <c r="G385" s="56">
        <v>40877</v>
      </c>
    </row>
    <row r="386" spans="1:7" x14ac:dyDescent="0.2">
      <c r="A386" s="48">
        <v>40722</v>
      </c>
      <c r="B386" s="49" t="s">
        <v>2338</v>
      </c>
      <c r="D386" s="51">
        <v>8014</v>
      </c>
      <c r="E386" s="50" t="s">
        <v>3175</v>
      </c>
      <c r="F386" s="50">
        <v>1</v>
      </c>
      <c r="G386" s="56">
        <v>40877</v>
      </c>
    </row>
    <row r="387" spans="1:7" x14ac:dyDescent="0.2">
      <c r="A387" s="48">
        <v>40728</v>
      </c>
      <c r="B387" s="49" t="s">
        <v>3050</v>
      </c>
      <c r="C387" s="50" t="s">
        <v>3646</v>
      </c>
      <c r="D387" s="51">
        <v>8020</v>
      </c>
      <c r="F387" s="50">
        <v>1</v>
      </c>
      <c r="G387" s="56">
        <v>40877</v>
      </c>
    </row>
    <row r="388" spans="1:7" x14ac:dyDescent="0.2">
      <c r="A388" s="48">
        <v>40823</v>
      </c>
      <c r="B388" s="49" t="s">
        <v>1326</v>
      </c>
      <c r="C388" s="50" t="s">
        <v>419</v>
      </c>
      <c r="D388" s="51">
        <v>8582</v>
      </c>
      <c r="F388" s="50">
        <v>1</v>
      </c>
      <c r="G388" s="56">
        <v>40877</v>
      </c>
    </row>
    <row r="389" spans="1:7" x14ac:dyDescent="0.2">
      <c r="A389" s="48">
        <v>40758</v>
      </c>
      <c r="B389" s="49" t="s">
        <v>2979</v>
      </c>
      <c r="C389" s="50" t="s">
        <v>2980</v>
      </c>
      <c r="D389" s="51">
        <v>80411</v>
      </c>
      <c r="F389" s="50">
        <v>1</v>
      </c>
      <c r="G389" s="56">
        <v>40877</v>
      </c>
    </row>
    <row r="390" spans="1:7" x14ac:dyDescent="0.2">
      <c r="A390" s="48">
        <v>40823</v>
      </c>
      <c r="B390" s="49" t="s">
        <v>1327</v>
      </c>
      <c r="C390" s="50" t="s">
        <v>1043</v>
      </c>
      <c r="D390" s="51">
        <v>8583</v>
      </c>
      <c r="E390" s="50" t="s">
        <v>3175</v>
      </c>
      <c r="F390" s="50">
        <v>1</v>
      </c>
      <c r="G390" s="56">
        <v>40928</v>
      </c>
    </row>
    <row r="391" spans="1:7" x14ac:dyDescent="0.2">
      <c r="A391" s="48">
        <v>40855</v>
      </c>
      <c r="B391" s="49" t="s">
        <v>2928</v>
      </c>
      <c r="C391" s="50" t="s">
        <v>1043</v>
      </c>
      <c r="D391" s="51">
        <v>8370</v>
      </c>
      <c r="F391" s="50">
        <v>1</v>
      </c>
      <c r="G391" s="56">
        <v>40928</v>
      </c>
    </row>
    <row r="392" spans="1:7" x14ac:dyDescent="0.2">
      <c r="A392" s="48">
        <v>40815</v>
      </c>
      <c r="B392" s="49" t="s">
        <v>3761</v>
      </c>
      <c r="C392" s="50" t="s">
        <v>2877</v>
      </c>
      <c r="D392" s="51">
        <v>8061</v>
      </c>
      <c r="F392" s="50">
        <v>1</v>
      </c>
      <c r="G392" s="56">
        <v>40928</v>
      </c>
    </row>
    <row r="393" spans="1:7" x14ac:dyDescent="0.2">
      <c r="A393" s="48">
        <v>40814</v>
      </c>
      <c r="B393" s="49" t="s">
        <v>1088</v>
      </c>
      <c r="C393" s="50" t="s">
        <v>1431</v>
      </c>
      <c r="D393" s="51">
        <v>8055</v>
      </c>
      <c r="F393" s="50">
        <v>1</v>
      </c>
      <c r="G393" s="56">
        <v>40935</v>
      </c>
    </row>
    <row r="394" spans="1:7" x14ac:dyDescent="0.2">
      <c r="A394" s="48">
        <v>40729</v>
      </c>
      <c r="B394" s="49" t="s">
        <v>4008</v>
      </c>
      <c r="D394" s="51">
        <v>8021</v>
      </c>
      <c r="F394" s="50">
        <v>2</v>
      </c>
      <c r="G394" s="56">
        <v>40935</v>
      </c>
    </row>
    <row r="395" spans="1:7" x14ac:dyDescent="0.2">
      <c r="A395" s="48">
        <v>40835</v>
      </c>
      <c r="B395" s="49" t="s">
        <v>1932</v>
      </c>
      <c r="C395" s="50" t="s">
        <v>1428</v>
      </c>
      <c r="D395" s="51">
        <v>8559</v>
      </c>
      <c r="E395" s="50" t="s">
        <v>3162</v>
      </c>
      <c r="F395" s="50">
        <v>1</v>
      </c>
      <c r="G395" s="56">
        <v>40935</v>
      </c>
    </row>
    <row r="396" spans="1:7" x14ac:dyDescent="0.2">
      <c r="A396" s="48">
        <v>40960</v>
      </c>
      <c r="B396" s="49" t="s">
        <v>249</v>
      </c>
      <c r="C396" s="50" t="s">
        <v>2877</v>
      </c>
      <c r="D396" s="51">
        <v>8395</v>
      </c>
      <c r="F396" s="50">
        <v>2</v>
      </c>
      <c r="G396" s="56">
        <v>41002</v>
      </c>
    </row>
    <row r="397" spans="1:7" x14ac:dyDescent="0.2">
      <c r="A397" s="48">
        <v>40753</v>
      </c>
      <c r="B397" s="49" t="s">
        <v>1256</v>
      </c>
      <c r="C397" s="50" t="s">
        <v>3408</v>
      </c>
      <c r="D397" s="51">
        <v>8268</v>
      </c>
      <c r="E397" s="50" t="s">
        <v>3597</v>
      </c>
      <c r="F397" s="50">
        <v>1</v>
      </c>
      <c r="G397" s="56">
        <v>41002</v>
      </c>
    </row>
    <row r="398" spans="1:7" x14ac:dyDescent="0.2">
      <c r="A398" s="48">
        <v>40960</v>
      </c>
      <c r="B398" s="49" t="s">
        <v>2629</v>
      </c>
      <c r="C398" s="50" t="s">
        <v>1043</v>
      </c>
      <c r="D398" s="51">
        <v>8394</v>
      </c>
      <c r="F398" s="50">
        <v>1</v>
      </c>
      <c r="G398" s="56">
        <v>41002</v>
      </c>
    </row>
    <row r="399" spans="1:7" x14ac:dyDescent="0.2">
      <c r="A399" s="48">
        <v>40935</v>
      </c>
      <c r="B399" s="49" t="s">
        <v>401</v>
      </c>
      <c r="C399" s="50" t="s">
        <v>3646</v>
      </c>
      <c r="D399" s="51">
        <v>8390</v>
      </c>
      <c r="F399" s="50">
        <v>1</v>
      </c>
      <c r="G399" s="56">
        <v>41010</v>
      </c>
    </row>
    <row r="400" spans="1:7" x14ac:dyDescent="0.2">
      <c r="A400" s="48">
        <v>40813</v>
      </c>
      <c r="B400" s="49" t="s">
        <v>1486</v>
      </c>
      <c r="C400" s="50" t="s">
        <v>419</v>
      </c>
      <c r="D400" s="51">
        <v>8060</v>
      </c>
      <c r="F400" s="50">
        <v>1</v>
      </c>
      <c r="G400" s="56">
        <v>41010</v>
      </c>
    </row>
    <row r="401" spans="1:7" x14ac:dyDescent="0.2">
      <c r="A401" s="48">
        <v>40864</v>
      </c>
      <c r="B401" s="49" t="s">
        <v>3005</v>
      </c>
      <c r="C401" s="50" t="s">
        <v>3646</v>
      </c>
      <c r="D401" s="51">
        <v>8372</v>
      </c>
      <c r="E401" s="50" t="s">
        <v>2511</v>
      </c>
      <c r="F401" s="50">
        <v>1</v>
      </c>
      <c r="G401" s="56">
        <v>41010</v>
      </c>
    </row>
    <row r="402" spans="1:7" x14ac:dyDescent="0.2">
      <c r="A402" s="48">
        <v>40294</v>
      </c>
      <c r="B402" s="49" t="s">
        <v>2474</v>
      </c>
      <c r="C402" s="50" t="s">
        <v>1859</v>
      </c>
      <c r="D402" s="51">
        <v>6285</v>
      </c>
      <c r="E402" s="50" t="s">
        <v>3478</v>
      </c>
      <c r="F402" s="50">
        <v>3</v>
      </c>
      <c r="G402" s="56">
        <v>41010</v>
      </c>
    </row>
    <row r="403" spans="1:7" x14ac:dyDescent="0.2">
      <c r="A403" s="48">
        <v>40935</v>
      </c>
      <c r="B403" s="49" t="s">
        <v>400</v>
      </c>
      <c r="C403" s="50" t="s">
        <v>3646</v>
      </c>
      <c r="D403" s="51">
        <v>8389</v>
      </c>
      <c r="F403" s="50">
        <v>1</v>
      </c>
      <c r="G403" s="56">
        <v>41018</v>
      </c>
    </row>
    <row r="404" spans="1:7" x14ac:dyDescent="0.2">
      <c r="A404" s="48">
        <v>40500</v>
      </c>
      <c r="B404" s="49" t="s">
        <v>2406</v>
      </c>
      <c r="C404" s="50" t="s">
        <v>1859</v>
      </c>
      <c r="D404" s="51">
        <v>7088</v>
      </c>
      <c r="E404" s="50" t="s">
        <v>3175</v>
      </c>
      <c r="F404" s="50">
        <v>1</v>
      </c>
      <c r="G404" s="56">
        <v>41018</v>
      </c>
    </row>
    <row r="405" spans="1:7" x14ac:dyDescent="0.2">
      <c r="A405" s="48">
        <v>40816</v>
      </c>
      <c r="B405" s="49" t="s">
        <v>3789</v>
      </c>
      <c r="C405" s="50" t="s">
        <v>3646</v>
      </c>
      <c r="D405" s="51">
        <v>7546</v>
      </c>
      <c r="F405" s="50">
        <v>1</v>
      </c>
      <c r="G405" s="56">
        <v>41018</v>
      </c>
    </row>
    <row r="406" spans="1:7" x14ac:dyDescent="0.2">
      <c r="A406" s="196">
        <v>40473</v>
      </c>
      <c r="B406" s="195" t="s">
        <v>2719</v>
      </c>
      <c r="C406" s="199" t="s">
        <v>1859</v>
      </c>
      <c r="D406" s="198">
        <v>6860</v>
      </c>
      <c r="E406" s="199" t="s">
        <v>952</v>
      </c>
      <c r="F406" s="50">
        <v>1</v>
      </c>
      <c r="G406" s="56">
        <v>41044</v>
      </c>
    </row>
    <row r="407" spans="1:7" x14ac:dyDescent="0.2">
      <c r="A407" s="48">
        <v>40319</v>
      </c>
      <c r="B407" s="49" t="s">
        <v>2011</v>
      </c>
      <c r="C407" s="50" t="s">
        <v>2012</v>
      </c>
      <c r="D407" s="51">
        <v>6345</v>
      </c>
      <c r="F407" s="50" t="s">
        <v>2398</v>
      </c>
      <c r="G407" s="56">
        <v>41044</v>
      </c>
    </row>
    <row r="408" spans="1:7" x14ac:dyDescent="0.2">
      <c r="A408" s="48">
        <v>40525</v>
      </c>
      <c r="B408" s="49" t="s">
        <v>339</v>
      </c>
      <c r="C408" s="50" t="s">
        <v>3772</v>
      </c>
      <c r="D408" s="51">
        <v>7634</v>
      </c>
      <c r="F408" s="50">
        <v>2</v>
      </c>
      <c r="G408" s="56">
        <v>41044</v>
      </c>
    </row>
    <row r="409" spans="1:7" x14ac:dyDescent="0.2">
      <c r="A409" s="48">
        <v>40694</v>
      </c>
      <c r="B409" s="49" t="s">
        <v>3169</v>
      </c>
      <c r="C409" s="50" t="s">
        <v>3772</v>
      </c>
      <c r="D409" s="51">
        <v>7376</v>
      </c>
      <c r="F409" s="50">
        <v>1</v>
      </c>
      <c r="G409" s="56">
        <v>41044</v>
      </c>
    </row>
    <row r="410" spans="1:7" x14ac:dyDescent="0.2">
      <c r="A410" s="48">
        <v>40736</v>
      </c>
      <c r="B410" s="49" t="s">
        <v>129</v>
      </c>
      <c r="C410" s="50" t="s">
        <v>3772</v>
      </c>
      <c r="D410" s="51">
        <v>8036</v>
      </c>
      <c r="E410" s="50" t="s">
        <v>3482</v>
      </c>
      <c r="F410" s="50">
        <v>1</v>
      </c>
      <c r="G410" s="56">
        <v>41044</v>
      </c>
    </row>
    <row r="411" spans="1:7" x14ac:dyDescent="0.2">
      <c r="A411" s="196">
        <v>40746</v>
      </c>
      <c r="B411" s="195" t="s">
        <v>3064</v>
      </c>
      <c r="C411" s="199" t="s">
        <v>1428</v>
      </c>
      <c r="D411" s="198">
        <v>8037</v>
      </c>
      <c r="E411" s="199"/>
      <c r="F411" s="50">
        <v>1</v>
      </c>
      <c r="G411" s="56">
        <v>41044</v>
      </c>
    </row>
    <row r="412" spans="1:7" x14ac:dyDescent="0.2">
      <c r="A412" s="48">
        <v>40760</v>
      </c>
      <c r="B412" s="49" t="s">
        <v>3620</v>
      </c>
      <c r="C412" s="50" t="s">
        <v>419</v>
      </c>
      <c r="D412" s="51">
        <v>7515</v>
      </c>
      <c r="F412" s="50">
        <v>1</v>
      </c>
      <c r="G412" s="56">
        <v>41044</v>
      </c>
    </row>
    <row r="413" spans="1:7" x14ac:dyDescent="0.2">
      <c r="A413" s="48">
        <v>40798</v>
      </c>
      <c r="B413" s="49" t="s">
        <v>1943</v>
      </c>
      <c r="C413" s="50" t="s">
        <v>1517</v>
      </c>
      <c r="D413" s="51">
        <v>7571</v>
      </c>
      <c r="E413" s="50" t="s">
        <v>931</v>
      </c>
      <c r="F413" s="50">
        <v>1</v>
      </c>
      <c r="G413" s="56">
        <v>41044</v>
      </c>
    </row>
    <row r="414" spans="1:7" x14ac:dyDescent="0.2">
      <c r="A414" s="48">
        <v>40148</v>
      </c>
      <c r="B414" s="49" t="s">
        <v>1984</v>
      </c>
      <c r="C414" s="50" t="s">
        <v>3409</v>
      </c>
      <c r="D414" s="51">
        <v>5600</v>
      </c>
      <c r="E414" s="50" t="s">
        <v>3175</v>
      </c>
      <c r="F414" s="50">
        <v>5</v>
      </c>
      <c r="G414" s="56">
        <v>41044</v>
      </c>
    </row>
    <row r="415" spans="1:7" x14ac:dyDescent="0.2">
      <c r="A415" s="196">
        <v>40157</v>
      </c>
      <c r="B415" s="195" t="s">
        <v>2137</v>
      </c>
      <c r="C415" s="199" t="s">
        <v>3409</v>
      </c>
      <c r="D415" s="198">
        <v>6245</v>
      </c>
      <c r="E415" s="199"/>
      <c r="F415" s="50">
        <v>4</v>
      </c>
      <c r="G415" s="56">
        <v>41044</v>
      </c>
    </row>
    <row r="416" spans="1:7" x14ac:dyDescent="0.2">
      <c r="A416" s="48">
        <v>40326</v>
      </c>
      <c r="B416" s="49" t="s">
        <v>2518</v>
      </c>
      <c r="C416" s="50" t="s">
        <v>3772</v>
      </c>
      <c r="D416" s="51">
        <v>6361</v>
      </c>
      <c r="F416" s="50" t="s">
        <v>2398</v>
      </c>
      <c r="G416" s="56">
        <v>41044</v>
      </c>
    </row>
    <row r="417" spans="1:7" x14ac:dyDescent="0.2">
      <c r="A417" s="48">
        <v>40023</v>
      </c>
      <c r="B417" s="49" t="s">
        <v>1988</v>
      </c>
      <c r="C417" s="50" t="s">
        <v>3409</v>
      </c>
      <c r="D417" s="51">
        <v>5587</v>
      </c>
      <c r="E417" s="50" t="s">
        <v>2789</v>
      </c>
      <c r="F417" s="50">
        <v>5</v>
      </c>
      <c r="G417" s="56">
        <v>41044</v>
      </c>
    </row>
    <row r="418" spans="1:7" x14ac:dyDescent="0.2">
      <c r="A418" s="196">
        <v>40571</v>
      </c>
      <c r="B418" s="195" t="s">
        <v>1956</v>
      </c>
      <c r="C418" s="199" t="s">
        <v>3772</v>
      </c>
      <c r="D418" s="198">
        <v>7609</v>
      </c>
      <c r="E418" s="199"/>
      <c r="F418" s="50">
        <v>2</v>
      </c>
      <c r="G418" s="56">
        <v>41044</v>
      </c>
    </row>
    <row r="419" spans="1:7" x14ac:dyDescent="0.2">
      <c r="A419" s="48">
        <v>40586</v>
      </c>
      <c r="B419" s="49" t="s">
        <v>2426</v>
      </c>
      <c r="C419" s="50" t="s">
        <v>419</v>
      </c>
      <c r="D419" s="51">
        <v>7046</v>
      </c>
      <c r="F419" s="50">
        <v>3</v>
      </c>
      <c r="G419" s="56">
        <v>41044</v>
      </c>
    </row>
    <row r="420" spans="1:7" x14ac:dyDescent="0.2">
      <c r="A420" s="48">
        <v>40645</v>
      </c>
      <c r="B420" s="49" t="s">
        <v>1042</v>
      </c>
      <c r="C420" s="50" t="s">
        <v>1043</v>
      </c>
      <c r="D420" s="51">
        <v>7980</v>
      </c>
      <c r="E420" s="50" t="s">
        <v>2504</v>
      </c>
      <c r="F420" s="50">
        <v>1</v>
      </c>
      <c r="G420" s="56">
        <v>41044</v>
      </c>
    </row>
    <row r="421" spans="1:7" x14ac:dyDescent="0.2">
      <c r="A421" s="196">
        <v>40701</v>
      </c>
      <c r="B421" s="195" t="s">
        <v>1453</v>
      </c>
      <c r="C421" s="199" t="s">
        <v>3772</v>
      </c>
      <c r="D421" s="198">
        <v>7378</v>
      </c>
      <c r="E421" s="199" t="s">
        <v>3162</v>
      </c>
      <c r="F421" s="50">
        <v>2</v>
      </c>
      <c r="G421" s="56">
        <v>41044</v>
      </c>
    </row>
    <row r="422" spans="1:7" x14ac:dyDescent="0.2">
      <c r="A422" s="48">
        <v>40736</v>
      </c>
      <c r="B422" s="49" t="s">
        <v>1258</v>
      </c>
      <c r="C422" s="50" t="s">
        <v>1859</v>
      </c>
      <c r="D422" s="51">
        <v>8039</v>
      </c>
      <c r="E422" s="50" t="s">
        <v>952</v>
      </c>
      <c r="F422" s="50">
        <v>1</v>
      </c>
      <c r="G422" s="56">
        <v>41044</v>
      </c>
    </row>
    <row r="423" spans="1:7" x14ac:dyDescent="0.2">
      <c r="A423" s="48">
        <v>40746</v>
      </c>
      <c r="B423" s="49" t="s">
        <v>2827</v>
      </c>
      <c r="C423" s="50" t="s">
        <v>1600</v>
      </c>
      <c r="D423" s="51">
        <v>8043</v>
      </c>
      <c r="E423" s="50" t="s">
        <v>3482</v>
      </c>
      <c r="F423" s="50">
        <v>1</v>
      </c>
      <c r="G423" s="56">
        <v>41044</v>
      </c>
    </row>
    <row r="424" spans="1:7" x14ac:dyDescent="0.2">
      <c r="A424" s="196">
        <v>40749</v>
      </c>
      <c r="B424" s="195" t="s">
        <v>3276</v>
      </c>
      <c r="C424" s="199" t="s">
        <v>3514</v>
      </c>
      <c r="D424" s="198">
        <v>8056</v>
      </c>
      <c r="E424" s="199"/>
      <c r="F424" s="50" t="s">
        <v>2398</v>
      </c>
      <c r="G424" s="56">
        <v>41044</v>
      </c>
    </row>
    <row r="425" spans="1:7" x14ac:dyDescent="0.2">
      <c r="A425" s="48">
        <v>40749</v>
      </c>
      <c r="B425" s="49" t="s">
        <v>1150</v>
      </c>
      <c r="C425" s="50" t="s">
        <v>1151</v>
      </c>
      <c r="D425" s="51">
        <v>8053</v>
      </c>
      <c r="F425" s="50">
        <v>2</v>
      </c>
      <c r="G425" s="56">
        <v>41044</v>
      </c>
    </row>
    <row r="426" spans="1:7" x14ac:dyDescent="0.2">
      <c r="A426" s="48">
        <v>40843</v>
      </c>
      <c r="B426" s="49" t="s">
        <v>2470</v>
      </c>
      <c r="C426" s="50" t="s">
        <v>1043</v>
      </c>
      <c r="D426" s="51">
        <v>8365</v>
      </c>
      <c r="E426" s="50" t="s">
        <v>1669</v>
      </c>
      <c r="F426" s="50">
        <v>2</v>
      </c>
      <c r="G426" s="56">
        <v>41044</v>
      </c>
    </row>
    <row r="427" spans="1:7" x14ac:dyDescent="0.2">
      <c r="A427" s="48">
        <v>40870</v>
      </c>
      <c r="B427" s="49" t="s">
        <v>2814</v>
      </c>
      <c r="C427" s="50" t="s">
        <v>419</v>
      </c>
      <c r="D427" s="51">
        <v>8374</v>
      </c>
      <c r="F427" s="50">
        <v>1</v>
      </c>
      <c r="G427" s="56">
        <v>41044</v>
      </c>
    </row>
    <row r="428" spans="1:7" x14ac:dyDescent="0.2">
      <c r="A428" s="48">
        <v>40893</v>
      </c>
      <c r="B428" s="49" t="s">
        <v>2483</v>
      </c>
      <c r="C428" s="50" t="s">
        <v>419</v>
      </c>
      <c r="D428" s="51">
        <v>8381</v>
      </c>
      <c r="F428" s="50">
        <v>1</v>
      </c>
      <c r="G428" s="56">
        <v>41044</v>
      </c>
    </row>
    <row r="429" spans="1:7" x14ac:dyDescent="0.2">
      <c r="A429" s="48">
        <v>40896</v>
      </c>
      <c r="B429" s="49" t="s">
        <v>75</v>
      </c>
      <c r="C429" s="50" t="s">
        <v>1043</v>
      </c>
      <c r="D429" s="51">
        <v>8386</v>
      </c>
      <c r="F429" s="50">
        <v>1</v>
      </c>
      <c r="G429" s="56">
        <v>41044</v>
      </c>
    </row>
    <row r="430" spans="1:7" x14ac:dyDescent="0.2">
      <c r="A430" s="48">
        <v>40912</v>
      </c>
      <c r="B430" s="49" t="s">
        <v>1552</v>
      </c>
      <c r="D430" s="51">
        <v>8387</v>
      </c>
      <c r="F430" s="50">
        <v>1</v>
      </c>
      <c r="G430" s="56">
        <v>41044</v>
      </c>
    </row>
    <row r="431" spans="1:7" x14ac:dyDescent="0.2">
      <c r="A431" s="196">
        <v>41011</v>
      </c>
      <c r="B431" s="195" t="s">
        <v>1180</v>
      </c>
      <c r="C431" s="199" t="s">
        <v>3646</v>
      </c>
      <c r="D431" s="198">
        <v>8398</v>
      </c>
      <c r="E431" s="199"/>
      <c r="F431" s="50">
        <v>1</v>
      </c>
      <c r="G431" s="56">
        <v>41059</v>
      </c>
    </row>
    <row r="432" spans="1:7" x14ac:dyDescent="0.2">
      <c r="A432" s="48">
        <v>40835</v>
      </c>
      <c r="B432" s="49" t="s">
        <v>1936</v>
      </c>
      <c r="C432" s="50" t="s">
        <v>21</v>
      </c>
      <c r="D432" s="51">
        <v>8560</v>
      </c>
      <c r="E432" s="50" t="s">
        <v>3613</v>
      </c>
      <c r="F432" s="50">
        <v>1</v>
      </c>
      <c r="G432" s="56">
        <v>41066</v>
      </c>
    </row>
    <row r="433" spans="1:7" x14ac:dyDescent="0.2">
      <c r="A433" s="48">
        <v>41054</v>
      </c>
      <c r="B433" s="49" t="s">
        <v>1891</v>
      </c>
      <c r="C433" s="50" t="s">
        <v>419</v>
      </c>
      <c r="D433" s="51">
        <v>8978</v>
      </c>
      <c r="F433" s="50">
        <v>1</v>
      </c>
      <c r="G433" s="56">
        <v>41075</v>
      </c>
    </row>
    <row r="434" spans="1:7" x14ac:dyDescent="0.2">
      <c r="A434" s="48">
        <v>40962</v>
      </c>
      <c r="B434" s="49" t="s">
        <v>1603</v>
      </c>
      <c r="C434" s="50" t="s">
        <v>419</v>
      </c>
      <c r="D434" s="51">
        <v>8396</v>
      </c>
      <c r="F434" s="50">
        <v>1</v>
      </c>
      <c r="G434" s="56">
        <v>41087</v>
      </c>
    </row>
    <row r="435" spans="1:7" x14ac:dyDescent="0.2">
      <c r="A435" s="196">
        <v>41074</v>
      </c>
      <c r="B435" s="195" t="s">
        <v>3095</v>
      </c>
      <c r="C435" s="199" t="s">
        <v>1043</v>
      </c>
      <c r="D435" s="198">
        <v>9068</v>
      </c>
      <c r="E435" s="199"/>
      <c r="F435" s="50">
        <v>1</v>
      </c>
      <c r="G435" s="56">
        <v>41088</v>
      </c>
    </row>
    <row r="436" spans="1:7" x14ac:dyDescent="0.2">
      <c r="A436" s="196">
        <v>41054</v>
      </c>
      <c r="B436" s="195" t="s">
        <v>3094</v>
      </c>
      <c r="C436" s="199" t="s">
        <v>419</v>
      </c>
      <c r="D436" s="198">
        <v>8975</v>
      </c>
      <c r="E436" s="199"/>
      <c r="G436" s="56">
        <v>41088</v>
      </c>
    </row>
    <row r="437" spans="1:7" x14ac:dyDescent="0.2">
      <c r="A437" s="48">
        <v>41053</v>
      </c>
      <c r="B437" s="49" t="s">
        <v>3093</v>
      </c>
      <c r="C437" s="50" t="s">
        <v>419</v>
      </c>
      <c r="D437" s="51">
        <v>8985</v>
      </c>
      <c r="G437" s="56">
        <v>41088</v>
      </c>
    </row>
    <row r="438" spans="1:7" x14ac:dyDescent="0.2">
      <c r="A438" s="196">
        <v>41011</v>
      </c>
      <c r="B438" s="195" t="s">
        <v>429</v>
      </c>
      <c r="C438" s="199" t="s">
        <v>419</v>
      </c>
      <c r="D438" s="198">
        <v>8397</v>
      </c>
      <c r="E438" s="199"/>
      <c r="F438" s="50">
        <v>1</v>
      </c>
      <c r="G438" s="56">
        <v>41088</v>
      </c>
    </row>
    <row r="439" spans="1:7" x14ac:dyDescent="0.2">
      <c r="A439" s="196">
        <v>40749</v>
      </c>
      <c r="B439" s="195" t="s">
        <v>1149</v>
      </c>
      <c r="C439" s="199" t="s">
        <v>1431</v>
      </c>
      <c r="D439" s="198">
        <v>8050</v>
      </c>
      <c r="E439" s="199"/>
      <c r="F439" s="50">
        <v>2</v>
      </c>
      <c r="G439" s="56">
        <v>41088</v>
      </c>
    </row>
    <row r="440" spans="1:7" x14ac:dyDescent="0.2">
      <c r="A440" s="48">
        <v>40470</v>
      </c>
      <c r="B440" s="49" t="s">
        <v>3434</v>
      </c>
      <c r="D440" s="51">
        <v>6854</v>
      </c>
      <c r="F440" s="50">
        <v>5</v>
      </c>
      <c r="G440" s="56">
        <v>41089</v>
      </c>
    </row>
    <row r="441" spans="1:7" x14ac:dyDescent="0.2">
      <c r="A441" s="48">
        <v>41065</v>
      </c>
      <c r="B441" s="49" t="s">
        <v>1446</v>
      </c>
      <c r="C441" s="50" t="s">
        <v>419</v>
      </c>
      <c r="D441" s="51">
        <v>9113</v>
      </c>
      <c r="F441" s="50">
        <v>1</v>
      </c>
      <c r="G441" s="56">
        <v>41106</v>
      </c>
    </row>
    <row r="442" spans="1:7" x14ac:dyDescent="0.2">
      <c r="A442" s="48">
        <v>40871</v>
      </c>
      <c r="B442" s="49" t="s">
        <v>3751</v>
      </c>
      <c r="C442" s="50" t="s">
        <v>1043</v>
      </c>
      <c r="D442" s="51">
        <v>8375</v>
      </c>
      <c r="F442" s="50">
        <v>2</v>
      </c>
      <c r="G442" s="56">
        <v>41106</v>
      </c>
    </row>
    <row r="443" spans="1:7" x14ac:dyDescent="0.2">
      <c r="A443" s="48">
        <v>40555</v>
      </c>
      <c r="B443" s="49" t="s">
        <v>1535</v>
      </c>
      <c r="C443" s="50" t="s">
        <v>3772</v>
      </c>
      <c r="D443" s="51">
        <v>7620</v>
      </c>
      <c r="F443" s="50">
        <v>1</v>
      </c>
      <c r="G443" s="56">
        <v>41106</v>
      </c>
    </row>
    <row r="444" spans="1:7" x14ac:dyDescent="0.2">
      <c r="A444" s="196">
        <v>40687</v>
      </c>
      <c r="B444" s="195" t="s">
        <v>708</v>
      </c>
      <c r="C444" s="199"/>
      <c r="D444" s="198">
        <v>8004</v>
      </c>
      <c r="E444" s="199" t="s">
        <v>3162</v>
      </c>
      <c r="F444" s="50">
        <v>1</v>
      </c>
      <c r="G444" s="56">
        <v>41115</v>
      </c>
    </row>
    <row r="445" spans="1:7" x14ac:dyDescent="0.2">
      <c r="A445" s="196">
        <v>40736</v>
      </c>
      <c r="B445" s="195" t="s">
        <v>1257</v>
      </c>
      <c r="C445" s="199" t="s">
        <v>1859</v>
      </c>
      <c r="D445" s="198">
        <v>8045</v>
      </c>
      <c r="E445" s="199" t="s">
        <v>2494</v>
      </c>
      <c r="F445" s="50">
        <v>1</v>
      </c>
      <c r="G445" s="56">
        <v>41118</v>
      </c>
    </row>
    <row r="446" spans="1:7" x14ac:dyDescent="0.2">
      <c r="A446" s="196">
        <v>40357</v>
      </c>
      <c r="B446" s="195" t="s">
        <v>316</v>
      </c>
      <c r="C446" s="199" t="s">
        <v>1859</v>
      </c>
      <c r="D446" s="198">
        <v>6422</v>
      </c>
      <c r="E446" s="199" t="s">
        <v>3482</v>
      </c>
      <c r="F446" s="50">
        <v>2</v>
      </c>
      <c r="G446" s="56">
        <v>41118</v>
      </c>
    </row>
    <row r="447" spans="1:7" x14ac:dyDescent="0.2">
      <c r="A447" s="48">
        <v>39958</v>
      </c>
      <c r="B447" s="49" t="s">
        <v>1918</v>
      </c>
      <c r="C447" s="50" t="s">
        <v>3409</v>
      </c>
      <c r="D447" s="51">
        <v>1537</v>
      </c>
      <c r="E447" s="50" t="s">
        <v>3482</v>
      </c>
      <c r="F447" s="50">
        <v>4</v>
      </c>
      <c r="G447" s="56">
        <v>41118</v>
      </c>
    </row>
    <row r="448" spans="1:7" x14ac:dyDescent="0.2">
      <c r="A448" s="196">
        <v>41122</v>
      </c>
      <c r="B448" s="195" t="s">
        <v>707</v>
      </c>
      <c r="C448" s="199" t="s">
        <v>1043</v>
      </c>
      <c r="D448" s="198">
        <v>8710</v>
      </c>
      <c r="E448" s="199"/>
      <c r="F448" s="50">
        <v>1</v>
      </c>
      <c r="G448" s="56">
        <v>41128</v>
      </c>
    </row>
    <row r="449" spans="1:7" x14ac:dyDescent="0.2">
      <c r="A449" s="196">
        <v>41122</v>
      </c>
      <c r="B449" s="195" t="s">
        <v>702</v>
      </c>
      <c r="C449" s="199" t="s">
        <v>1043</v>
      </c>
      <c r="D449" s="198">
        <v>9172</v>
      </c>
      <c r="E449" s="199"/>
      <c r="F449" s="50">
        <v>1</v>
      </c>
      <c r="G449" s="56">
        <v>41128</v>
      </c>
    </row>
    <row r="450" spans="1:7" x14ac:dyDescent="0.2">
      <c r="A450" s="196">
        <v>41122</v>
      </c>
      <c r="B450" s="195" t="s">
        <v>705</v>
      </c>
      <c r="C450" s="199" t="s">
        <v>706</v>
      </c>
      <c r="D450" s="198">
        <v>8714</v>
      </c>
      <c r="E450" s="199"/>
      <c r="F450" s="50">
        <v>2</v>
      </c>
      <c r="G450" s="56">
        <v>41128</v>
      </c>
    </row>
    <row r="451" spans="1:7" x14ac:dyDescent="0.2">
      <c r="A451" s="48">
        <v>40833</v>
      </c>
      <c r="B451" s="49" t="s">
        <v>1644</v>
      </c>
      <c r="C451" s="50" t="s">
        <v>2877</v>
      </c>
      <c r="D451" s="51">
        <v>8586</v>
      </c>
      <c r="E451" s="50" t="s">
        <v>3597</v>
      </c>
      <c r="F451" s="50">
        <v>1</v>
      </c>
      <c r="G451" s="56">
        <v>41129</v>
      </c>
    </row>
    <row r="452" spans="1:7" x14ac:dyDescent="0.2">
      <c r="A452" s="48">
        <v>40736</v>
      </c>
      <c r="B452" s="49" t="s">
        <v>130</v>
      </c>
      <c r="C452" s="50" t="s">
        <v>2877</v>
      </c>
      <c r="D452" s="51">
        <v>8042</v>
      </c>
      <c r="E452" s="50" t="s">
        <v>3597</v>
      </c>
      <c r="F452" s="50">
        <v>1</v>
      </c>
      <c r="G452" s="56">
        <v>41129</v>
      </c>
    </row>
    <row r="453" spans="1:7" x14ac:dyDescent="0.2">
      <c r="A453" s="48">
        <v>40843</v>
      </c>
      <c r="B453" s="49" t="s">
        <v>3399</v>
      </c>
      <c r="C453" s="50" t="s">
        <v>1428</v>
      </c>
      <c r="D453" s="51">
        <v>8366</v>
      </c>
      <c r="F453" s="50">
        <v>2</v>
      </c>
      <c r="G453" s="56">
        <v>41141</v>
      </c>
    </row>
    <row r="454" spans="1:7" x14ac:dyDescent="0.2">
      <c r="A454" s="48">
        <v>41122</v>
      </c>
      <c r="B454" s="49" t="s">
        <v>704</v>
      </c>
      <c r="C454" s="50" t="s">
        <v>3646</v>
      </c>
      <c r="D454" s="51">
        <v>8713</v>
      </c>
      <c r="F454" s="50">
        <v>1</v>
      </c>
      <c r="G454" s="56">
        <v>41151</v>
      </c>
    </row>
    <row r="455" spans="1:7" x14ac:dyDescent="0.2">
      <c r="A455" s="48">
        <v>41122</v>
      </c>
      <c r="B455" s="49" t="s">
        <v>703</v>
      </c>
      <c r="C455" s="50" t="s">
        <v>419</v>
      </c>
      <c r="D455" s="51">
        <v>8718</v>
      </c>
      <c r="F455" s="50">
        <v>1</v>
      </c>
      <c r="G455" s="56">
        <v>41151</v>
      </c>
    </row>
    <row r="456" spans="1:7" x14ac:dyDescent="0.2">
      <c r="A456" s="48">
        <v>41116</v>
      </c>
      <c r="B456" s="49" t="s">
        <v>701</v>
      </c>
      <c r="C456" s="50" t="s">
        <v>419</v>
      </c>
      <c r="D456" s="51">
        <v>9171</v>
      </c>
      <c r="F456" s="50">
        <v>2</v>
      </c>
      <c r="G456" s="56">
        <v>41151</v>
      </c>
    </row>
    <row r="457" spans="1:7" x14ac:dyDescent="0.2">
      <c r="A457" s="48">
        <v>41068</v>
      </c>
      <c r="B457" s="49" t="s">
        <v>654</v>
      </c>
      <c r="C457" s="50" t="s">
        <v>3646</v>
      </c>
      <c r="D457" s="51">
        <v>9188</v>
      </c>
      <c r="F457" s="50">
        <v>2</v>
      </c>
      <c r="G457" s="56">
        <v>41151</v>
      </c>
    </row>
    <row r="458" spans="1:7" x14ac:dyDescent="0.2">
      <c r="A458" s="196">
        <v>41066</v>
      </c>
      <c r="B458" s="195" t="s">
        <v>894</v>
      </c>
      <c r="C458" s="199" t="s">
        <v>2877</v>
      </c>
      <c r="D458" s="198">
        <v>9112</v>
      </c>
      <c r="E458" s="199"/>
      <c r="F458" s="50">
        <v>2</v>
      </c>
      <c r="G458" s="56">
        <v>41156</v>
      </c>
    </row>
    <row r="459" spans="1:7" x14ac:dyDescent="0.2">
      <c r="A459" s="48">
        <v>40827</v>
      </c>
      <c r="B459" s="49" t="s">
        <v>2104</v>
      </c>
      <c r="C459" s="50" t="s">
        <v>3646</v>
      </c>
      <c r="D459" s="51">
        <v>8584</v>
      </c>
      <c r="E459" s="50" t="s">
        <v>3482</v>
      </c>
      <c r="F459" s="50">
        <v>1</v>
      </c>
      <c r="G459" s="56">
        <v>41156</v>
      </c>
    </row>
    <row r="460" spans="1:7" x14ac:dyDescent="0.2">
      <c r="A460" s="48">
        <v>40833</v>
      </c>
      <c r="B460" s="49" t="s">
        <v>1645</v>
      </c>
      <c r="C460" s="50" t="s">
        <v>1043</v>
      </c>
      <c r="D460" s="51">
        <v>8585</v>
      </c>
      <c r="E460" s="50" t="s">
        <v>4024</v>
      </c>
      <c r="F460" s="50">
        <v>1</v>
      </c>
      <c r="G460" s="56">
        <v>41156</v>
      </c>
    </row>
    <row r="461" spans="1:7" x14ac:dyDescent="0.2">
      <c r="A461" s="48">
        <v>40959</v>
      </c>
      <c r="B461" s="49" t="s">
        <v>825</v>
      </c>
      <c r="C461" s="50" t="s">
        <v>3646</v>
      </c>
      <c r="D461" s="51">
        <v>8393</v>
      </c>
      <c r="F461" s="50">
        <v>1</v>
      </c>
      <c r="G461" s="56">
        <v>41157</v>
      </c>
    </row>
    <row r="462" spans="1:7" x14ac:dyDescent="0.2">
      <c r="A462" s="48">
        <v>41156</v>
      </c>
      <c r="B462" s="49" t="s">
        <v>974</v>
      </c>
      <c r="C462" s="50" t="s">
        <v>419</v>
      </c>
      <c r="D462" s="51">
        <v>8957</v>
      </c>
      <c r="F462" s="50">
        <v>1</v>
      </c>
      <c r="G462" s="56">
        <v>41162</v>
      </c>
    </row>
    <row r="463" spans="1:7" x14ac:dyDescent="0.2">
      <c r="A463" s="48">
        <v>40760</v>
      </c>
      <c r="B463" s="49" t="s">
        <v>2488</v>
      </c>
      <c r="C463" s="50" t="s">
        <v>3646</v>
      </c>
      <c r="D463" s="51">
        <v>7517</v>
      </c>
      <c r="E463" s="50" t="s">
        <v>2494</v>
      </c>
      <c r="F463" s="50">
        <v>1</v>
      </c>
      <c r="G463" s="56">
        <v>41162</v>
      </c>
    </row>
    <row r="464" spans="1:7" x14ac:dyDescent="0.2">
      <c r="A464" s="196">
        <v>40746</v>
      </c>
      <c r="B464" s="195" t="s">
        <v>1522</v>
      </c>
      <c r="C464" s="199" t="s">
        <v>1600</v>
      </c>
      <c r="D464" s="198">
        <v>8028</v>
      </c>
      <c r="E464" s="199"/>
      <c r="F464" s="50" t="s">
        <v>2398</v>
      </c>
      <c r="G464" s="56">
        <v>41162</v>
      </c>
    </row>
    <row r="465" spans="1:7" x14ac:dyDescent="0.2">
      <c r="A465" s="196">
        <v>40388</v>
      </c>
      <c r="B465" s="195" t="s">
        <v>3718</v>
      </c>
      <c r="C465" s="199" t="s">
        <v>1859</v>
      </c>
      <c r="D465" s="198">
        <v>6662</v>
      </c>
      <c r="E465" s="199"/>
      <c r="F465" s="50">
        <v>5</v>
      </c>
      <c r="G465" s="56">
        <v>41169</v>
      </c>
    </row>
    <row r="466" spans="1:7" x14ac:dyDescent="0.2">
      <c r="A466" s="48">
        <v>40473</v>
      </c>
      <c r="B466" s="49" t="s">
        <v>2721</v>
      </c>
      <c r="C466" s="50" t="s">
        <v>419</v>
      </c>
      <c r="D466" s="51">
        <v>6857</v>
      </c>
      <c r="F466" s="50">
        <v>3</v>
      </c>
      <c r="G466" s="56">
        <v>41171</v>
      </c>
    </row>
    <row r="467" spans="1:7" x14ac:dyDescent="0.2">
      <c r="A467" s="196">
        <v>40434</v>
      </c>
      <c r="B467" s="195" t="s">
        <v>1670</v>
      </c>
      <c r="C467" s="199" t="s">
        <v>2160</v>
      </c>
      <c r="D467" s="198">
        <v>6710</v>
      </c>
      <c r="E467" s="199" t="s">
        <v>1669</v>
      </c>
      <c r="F467" s="50">
        <v>3</v>
      </c>
      <c r="G467" s="56">
        <v>41171</v>
      </c>
    </row>
    <row r="468" spans="1:7" x14ac:dyDescent="0.2">
      <c r="A468" s="48">
        <v>40721</v>
      </c>
      <c r="B468" s="49" t="s">
        <v>712</v>
      </c>
      <c r="C468" s="50" t="s">
        <v>3772</v>
      </c>
      <c r="D468" s="51">
        <v>8034</v>
      </c>
      <c r="F468" s="50" t="s">
        <v>2398</v>
      </c>
      <c r="G468" s="56">
        <v>41173</v>
      </c>
    </row>
    <row r="469" spans="1:7" x14ac:dyDescent="0.2">
      <c r="A469" s="48">
        <v>40885</v>
      </c>
      <c r="B469" s="49" t="s">
        <v>2457</v>
      </c>
      <c r="C469" s="50" t="s">
        <v>1043</v>
      </c>
      <c r="D469" s="51">
        <v>8380</v>
      </c>
      <c r="F469" s="50">
        <v>1</v>
      </c>
      <c r="G469" s="56">
        <v>41177</v>
      </c>
    </row>
    <row r="470" spans="1:7" x14ac:dyDescent="0.2">
      <c r="A470" s="196">
        <v>40855</v>
      </c>
      <c r="B470" s="195" t="s">
        <v>2927</v>
      </c>
      <c r="C470" s="199" t="s">
        <v>419</v>
      </c>
      <c r="D470" s="198">
        <v>8369</v>
      </c>
      <c r="E470" s="199"/>
      <c r="F470" s="50">
        <v>1</v>
      </c>
      <c r="G470" s="56">
        <v>41179</v>
      </c>
    </row>
    <row r="471" spans="1:7" x14ac:dyDescent="0.2">
      <c r="A471" s="196">
        <v>40834</v>
      </c>
      <c r="B471" s="195" t="s">
        <v>414</v>
      </c>
      <c r="C471" s="199" t="s">
        <v>419</v>
      </c>
      <c r="D471" s="198">
        <v>7506</v>
      </c>
      <c r="E471" s="199" t="s">
        <v>1669</v>
      </c>
      <c r="F471" s="50">
        <v>1</v>
      </c>
      <c r="G471" s="56">
        <v>41179</v>
      </c>
    </row>
    <row r="472" spans="1:7" x14ac:dyDescent="0.2">
      <c r="A472" s="48">
        <v>40137</v>
      </c>
      <c r="B472" s="49" t="s">
        <v>3700</v>
      </c>
      <c r="C472" s="50" t="s">
        <v>3646</v>
      </c>
      <c r="D472" s="51">
        <v>6051</v>
      </c>
      <c r="E472" s="50" t="s">
        <v>3175</v>
      </c>
      <c r="F472" s="50">
        <v>5</v>
      </c>
      <c r="G472" s="56">
        <v>41179</v>
      </c>
    </row>
    <row r="473" spans="1:7" x14ac:dyDescent="0.2">
      <c r="A473" s="48">
        <v>41157</v>
      </c>
      <c r="B473" s="49" t="s">
        <v>1430</v>
      </c>
      <c r="C473" s="50" t="s">
        <v>1431</v>
      </c>
      <c r="D473" s="51">
        <v>8959</v>
      </c>
      <c r="G473" s="56">
        <v>41187</v>
      </c>
    </row>
    <row r="474" spans="1:7" x14ac:dyDescent="0.2">
      <c r="A474" s="196">
        <v>41200</v>
      </c>
      <c r="B474" s="195" t="s">
        <v>2046</v>
      </c>
      <c r="C474" s="199" t="s">
        <v>21</v>
      </c>
      <c r="D474" s="198">
        <v>8882</v>
      </c>
      <c r="E474" s="199"/>
      <c r="F474" s="50">
        <v>3</v>
      </c>
      <c r="G474" s="56">
        <v>41213</v>
      </c>
    </row>
    <row r="475" spans="1:7" x14ac:dyDescent="0.2">
      <c r="A475" s="196">
        <v>40751</v>
      </c>
      <c r="B475" s="195" t="s">
        <v>1406</v>
      </c>
      <c r="C475" s="199" t="s">
        <v>1431</v>
      </c>
      <c r="D475" s="198">
        <v>8059</v>
      </c>
      <c r="E475" s="199"/>
      <c r="F475" s="50">
        <v>2</v>
      </c>
      <c r="G475" s="56">
        <v>41213</v>
      </c>
    </row>
    <row r="476" spans="1:7" x14ac:dyDescent="0.2">
      <c r="A476" s="196">
        <v>41122</v>
      </c>
      <c r="B476" s="195" t="s">
        <v>2889</v>
      </c>
      <c r="C476" s="199" t="s">
        <v>1043</v>
      </c>
      <c r="D476" s="198">
        <v>8715</v>
      </c>
      <c r="E476" s="199"/>
      <c r="F476" s="50">
        <v>3</v>
      </c>
      <c r="G476" s="56">
        <v>41213</v>
      </c>
    </row>
    <row r="477" spans="1:7" x14ac:dyDescent="0.2">
      <c r="A477" s="48">
        <v>41157</v>
      </c>
      <c r="B477" s="49" t="s">
        <v>2842</v>
      </c>
      <c r="C477" s="50" t="s">
        <v>1043</v>
      </c>
      <c r="D477" s="51">
        <v>8956</v>
      </c>
      <c r="G477" s="56">
        <v>41213</v>
      </c>
    </row>
    <row r="478" spans="1:7" x14ac:dyDescent="0.2">
      <c r="A478" s="48">
        <v>40333</v>
      </c>
      <c r="B478" s="49" t="s">
        <v>318</v>
      </c>
      <c r="C478" s="50" t="s">
        <v>1859</v>
      </c>
      <c r="D478" s="51">
        <v>6382</v>
      </c>
      <c r="E478" s="50" t="s">
        <v>1669</v>
      </c>
      <c r="F478" s="50">
        <v>1</v>
      </c>
      <c r="G478" s="56">
        <v>41213</v>
      </c>
    </row>
    <row r="479" spans="1:7" x14ac:dyDescent="0.2">
      <c r="A479" s="196">
        <v>40746</v>
      </c>
      <c r="B479" s="195" t="s">
        <v>1523</v>
      </c>
      <c r="C479" s="199" t="s">
        <v>1600</v>
      </c>
      <c r="D479" s="198">
        <v>8031</v>
      </c>
      <c r="E479" s="199"/>
      <c r="F479" s="50" t="s">
        <v>2398</v>
      </c>
      <c r="G479" s="56">
        <v>41213</v>
      </c>
    </row>
    <row r="480" spans="1:7" x14ac:dyDescent="0.2">
      <c r="A480" s="48">
        <v>41086</v>
      </c>
      <c r="B480" s="49" t="s">
        <v>2818</v>
      </c>
      <c r="C480" s="50" t="s">
        <v>419</v>
      </c>
      <c r="D480" s="51">
        <v>9177</v>
      </c>
      <c r="F480" s="50">
        <v>2</v>
      </c>
      <c r="G480" s="56">
        <v>41215</v>
      </c>
    </row>
    <row r="481" spans="1:7" x14ac:dyDescent="0.2">
      <c r="A481" s="48">
        <v>41204</v>
      </c>
      <c r="B481" s="49" t="s">
        <v>2047</v>
      </c>
      <c r="C481" s="50" t="s">
        <v>1043</v>
      </c>
      <c r="D481" s="51">
        <v>8166</v>
      </c>
      <c r="F481" s="50">
        <v>2</v>
      </c>
      <c r="G481" s="56">
        <v>41243</v>
      </c>
    </row>
    <row r="482" spans="1:7" x14ac:dyDescent="0.2">
      <c r="A482" s="48">
        <v>40746</v>
      </c>
      <c r="B482" s="49" t="s">
        <v>1520</v>
      </c>
      <c r="C482" s="50" t="s">
        <v>1600</v>
      </c>
      <c r="D482" s="51">
        <v>8040</v>
      </c>
      <c r="F482" s="50">
        <v>1</v>
      </c>
      <c r="G482" s="56">
        <v>41255</v>
      </c>
    </row>
    <row r="483" spans="1:7" x14ac:dyDescent="0.2">
      <c r="A483" s="48" t="s">
        <v>3197</v>
      </c>
      <c r="B483" s="49" t="s">
        <v>3195</v>
      </c>
      <c r="C483" s="50" t="s">
        <v>3196</v>
      </c>
      <c r="D483" s="51">
        <v>8555</v>
      </c>
      <c r="G483" s="56">
        <v>41255</v>
      </c>
    </row>
    <row r="484" spans="1:7" x14ac:dyDescent="0.2">
      <c r="A484" s="196" t="s">
        <v>3197</v>
      </c>
      <c r="B484" s="195" t="s">
        <v>3198</v>
      </c>
      <c r="C484" s="199"/>
      <c r="D484" s="198">
        <v>9999</v>
      </c>
      <c r="E484" s="199"/>
      <c r="G484" s="56">
        <v>41255</v>
      </c>
    </row>
    <row r="485" spans="1:7" x14ac:dyDescent="0.2">
      <c r="A485" s="48">
        <v>41191</v>
      </c>
      <c r="B485" s="49" t="s">
        <v>3900</v>
      </c>
      <c r="C485" s="50" t="s">
        <v>3646</v>
      </c>
      <c r="D485" s="51">
        <v>8170</v>
      </c>
      <c r="G485" s="56">
        <v>41260</v>
      </c>
    </row>
    <row r="486" spans="1:7" x14ac:dyDescent="0.2">
      <c r="A486" s="48">
        <v>40833</v>
      </c>
      <c r="B486" s="49" t="s">
        <v>2065</v>
      </c>
      <c r="C486" s="50" t="s">
        <v>419</v>
      </c>
      <c r="D486" s="51">
        <v>8588</v>
      </c>
      <c r="E486" s="50" t="s">
        <v>3482</v>
      </c>
      <c r="F486" s="50">
        <v>1</v>
      </c>
      <c r="G486" s="56">
        <v>41260</v>
      </c>
    </row>
    <row r="487" spans="1:7" x14ac:dyDescent="0.2">
      <c r="A487" s="48">
        <v>40833</v>
      </c>
      <c r="B487" s="49" t="s">
        <v>2066</v>
      </c>
      <c r="C487" s="50" t="s">
        <v>419</v>
      </c>
      <c r="D487" s="51">
        <v>8587</v>
      </c>
      <c r="E487" s="50" t="s">
        <v>3482</v>
      </c>
      <c r="F487" s="50">
        <v>1</v>
      </c>
      <c r="G487" s="56">
        <v>41260</v>
      </c>
    </row>
    <row r="488" spans="1:7" x14ac:dyDescent="0.2">
      <c r="A488" s="48">
        <v>41234</v>
      </c>
      <c r="B488" s="49" t="s">
        <v>1342</v>
      </c>
      <c r="C488" s="50" t="s">
        <v>419</v>
      </c>
      <c r="D488" s="51">
        <v>9386</v>
      </c>
      <c r="E488" s="50" t="s">
        <v>711</v>
      </c>
      <c r="F488" s="50">
        <v>2</v>
      </c>
      <c r="G488" s="56">
        <v>41260</v>
      </c>
    </row>
    <row r="489" spans="1:7" x14ac:dyDescent="0.2">
      <c r="A489" s="48">
        <v>41191</v>
      </c>
      <c r="B489" s="49" t="s">
        <v>1423</v>
      </c>
      <c r="C489" s="50" t="s">
        <v>3646</v>
      </c>
      <c r="D489" s="51">
        <v>8173</v>
      </c>
      <c r="F489" s="50">
        <v>2</v>
      </c>
      <c r="G489" s="56">
        <v>41260</v>
      </c>
    </row>
    <row r="490" spans="1:7" x14ac:dyDescent="0.2">
      <c r="A490" s="48">
        <v>41242</v>
      </c>
      <c r="B490" s="49" t="s">
        <v>2916</v>
      </c>
      <c r="C490" s="50" t="s">
        <v>1043</v>
      </c>
      <c r="D490" s="51">
        <v>9379</v>
      </c>
      <c r="E490" s="50" t="s">
        <v>838</v>
      </c>
      <c r="F490" s="50">
        <v>2</v>
      </c>
      <c r="G490" s="56">
        <v>41281</v>
      </c>
    </row>
    <row r="491" spans="1:7" x14ac:dyDescent="0.2">
      <c r="A491" s="48">
        <v>41242</v>
      </c>
      <c r="B491" s="49" t="s">
        <v>2914</v>
      </c>
      <c r="C491" s="50" t="s">
        <v>1043</v>
      </c>
      <c r="D491" s="51">
        <v>9377</v>
      </c>
      <c r="F491" s="50">
        <v>1</v>
      </c>
      <c r="G491" s="56">
        <v>41281</v>
      </c>
    </row>
    <row r="492" spans="1:7" x14ac:dyDescent="0.2">
      <c r="A492" s="48">
        <v>41262</v>
      </c>
      <c r="B492" s="49" t="s">
        <v>2533</v>
      </c>
      <c r="C492" s="50" t="s">
        <v>419</v>
      </c>
      <c r="D492" s="51">
        <v>9372</v>
      </c>
      <c r="F492" s="50">
        <v>1</v>
      </c>
      <c r="G492" s="56">
        <v>41297</v>
      </c>
    </row>
    <row r="493" spans="1:7" x14ac:dyDescent="0.2">
      <c r="A493" s="48">
        <v>41225</v>
      </c>
      <c r="B493" s="49" t="s">
        <v>2409</v>
      </c>
      <c r="C493" s="50" t="s">
        <v>1043</v>
      </c>
      <c r="D493" s="51">
        <v>8879</v>
      </c>
      <c r="G493" s="56">
        <v>41326</v>
      </c>
    </row>
    <row r="494" spans="1:7" x14ac:dyDescent="0.2">
      <c r="A494" s="48">
        <v>41157</v>
      </c>
      <c r="B494" s="49" t="s">
        <v>1425</v>
      </c>
      <c r="C494" s="50" t="s">
        <v>1043</v>
      </c>
      <c r="D494" s="51">
        <v>8963</v>
      </c>
      <c r="F494" s="50">
        <v>2</v>
      </c>
      <c r="G494" s="56">
        <v>41333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3" r:id="rId1"/>
  <headerFooter alignWithMargins="0">
    <oddHeader>&amp;Lsuivi des travaux de maintenance&amp;C&amp;"Arial,Gras"&amp;12&amp;EParc à grumes Urmatt
Fait&amp;R&amp;D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tabColor indexed="42"/>
  </sheetPr>
  <dimension ref="A1:K30"/>
  <sheetViews>
    <sheetView view="pageBreakPreview" zoomScale="145" zoomScaleNormal="75" zoomScaleSheetLayoutView="115" workbookViewId="0">
      <pane ySplit="1" topLeftCell="A2" activePane="bottomLeft" state="frozen"/>
      <selection activeCell="A63" sqref="A63:IV63"/>
      <selection pane="bottomLeft" activeCell="B30" sqref="B30"/>
    </sheetView>
  </sheetViews>
  <sheetFormatPr baseColWidth="10" defaultRowHeight="12" x14ac:dyDescent="0.2"/>
  <cols>
    <col min="1" max="1" width="8.7109375" style="30" customWidth="1"/>
    <col min="2" max="2" width="80.7109375" style="32" customWidth="1"/>
    <col min="3" max="3" width="15.5703125" style="34" bestFit="1" customWidth="1"/>
    <col min="4" max="4" width="7.7109375" style="36" customWidth="1"/>
    <col min="5" max="5" width="12.42578125" style="34" bestFit="1" customWidth="1"/>
    <col min="6" max="6" width="11" style="167" customWidth="1"/>
    <col min="7" max="7" width="10.5703125" style="169" customWidth="1"/>
    <col min="8" max="8" width="18.28515625" style="168" customWidth="1"/>
    <col min="9" max="9" width="14.140625" style="168" customWidth="1"/>
    <col min="10" max="10" width="19.5703125" style="168" bestFit="1" customWidth="1"/>
    <col min="11" max="11" width="20.28515625" style="168" bestFit="1" customWidth="1"/>
    <col min="12" max="12" width="11.42578125" style="1"/>
    <col min="13" max="13" width="33.140625" style="1" customWidth="1"/>
    <col min="14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1" ht="24" x14ac:dyDescent="0.2">
      <c r="A2" s="30">
        <v>39589</v>
      </c>
      <c r="B2" s="32" t="s">
        <v>185</v>
      </c>
      <c r="C2" s="34" t="s">
        <v>3433</v>
      </c>
      <c r="D2" s="36">
        <v>3171</v>
      </c>
      <c r="E2" s="34" t="s">
        <v>3478</v>
      </c>
      <c r="F2" s="167" t="s">
        <v>3506</v>
      </c>
      <c r="G2" s="169" t="s">
        <v>3406</v>
      </c>
      <c r="I2" s="169"/>
    </row>
    <row r="3" spans="1:11" x14ac:dyDescent="0.2">
      <c r="A3" s="30">
        <v>40606</v>
      </c>
      <c r="B3" s="32" t="s">
        <v>659</v>
      </c>
      <c r="C3" s="34" t="s">
        <v>2156</v>
      </c>
      <c r="D3" s="36">
        <v>7123</v>
      </c>
      <c r="E3" s="34" t="s">
        <v>2504</v>
      </c>
      <c r="F3" s="167">
        <v>2</v>
      </c>
      <c r="G3" s="169" t="s">
        <v>3406</v>
      </c>
      <c r="H3" s="168" t="s">
        <v>2732</v>
      </c>
      <c r="I3" s="169"/>
    </row>
    <row r="4" spans="1:11" x14ac:dyDescent="0.2">
      <c r="A4" s="30">
        <v>40731</v>
      </c>
      <c r="B4" s="32" t="s">
        <v>1828</v>
      </c>
      <c r="C4" s="34" t="s">
        <v>1401</v>
      </c>
      <c r="D4" s="36">
        <v>7280</v>
      </c>
      <c r="F4" s="167">
        <v>5</v>
      </c>
      <c r="G4" s="169" t="s">
        <v>3406</v>
      </c>
    </row>
    <row r="5" spans="1:11" x14ac:dyDescent="0.2">
      <c r="A5" s="30">
        <v>40745</v>
      </c>
      <c r="B5" s="32" t="s">
        <v>37</v>
      </c>
      <c r="C5" s="34" t="s">
        <v>38</v>
      </c>
      <c r="D5" s="36">
        <v>7432</v>
      </c>
      <c r="E5" s="34" t="s">
        <v>3162</v>
      </c>
      <c r="F5" s="167">
        <v>2012</v>
      </c>
      <c r="G5" s="169" t="s">
        <v>3406</v>
      </c>
    </row>
    <row r="6" spans="1:11" x14ac:dyDescent="0.2">
      <c r="A6" s="30">
        <v>40745</v>
      </c>
      <c r="B6" s="218" t="s">
        <v>2032</v>
      </c>
      <c r="C6" s="34" t="s">
        <v>2033</v>
      </c>
      <c r="D6" s="36">
        <v>7909</v>
      </c>
      <c r="E6" s="34" t="s">
        <v>2494</v>
      </c>
      <c r="F6" s="167" t="s">
        <v>2398</v>
      </c>
      <c r="G6" s="169" t="s">
        <v>3406</v>
      </c>
    </row>
    <row r="7" spans="1:11" x14ac:dyDescent="0.2">
      <c r="A7" s="30">
        <v>40746</v>
      </c>
      <c r="B7" s="218" t="s">
        <v>1229</v>
      </c>
      <c r="C7" s="34" t="s">
        <v>2669</v>
      </c>
      <c r="D7" s="36">
        <v>7493</v>
      </c>
      <c r="E7" s="34" t="s">
        <v>3162</v>
      </c>
      <c r="F7" s="167" t="s">
        <v>2398</v>
      </c>
      <c r="G7" s="169" t="s">
        <v>3406</v>
      </c>
    </row>
    <row r="8" spans="1:11" x14ac:dyDescent="0.2">
      <c r="A8" s="188">
        <v>40749</v>
      </c>
      <c r="B8" s="220" t="s">
        <v>1153</v>
      </c>
      <c r="C8" s="189" t="s">
        <v>3892</v>
      </c>
      <c r="D8" s="190">
        <v>7357</v>
      </c>
      <c r="E8" s="189" t="s">
        <v>2494</v>
      </c>
      <c r="F8" s="191">
        <v>2</v>
      </c>
      <c r="G8" s="192" t="s">
        <v>3406</v>
      </c>
      <c r="H8" s="193"/>
      <c r="I8" s="193"/>
      <c r="J8" s="193"/>
      <c r="K8" s="193"/>
    </row>
    <row r="9" spans="1:11" ht="24" x14ac:dyDescent="0.2">
      <c r="A9" s="30">
        <v>40798</v>
      </c>
      <c r="B9" s="32" t="s">
        <v>2955</v>
      </c>
      <c r="C9" s="34" t="s">
        <v>2956</v>
      </c>
      <c r="D9" s="36">
        <v>7561</v>
      </c>
      <c r="E9" s="34" t="s">
        <v>931</v>
      </c>
      <c r="F9" s="167">
        <v>1</v>
      </c>
      <c r="G9" s="169" t="s">
        <v>3406</v>
      </c>
    </row>
    <row r="10" spans="1:11" x14ac:dyDescent="0.2">
      <c r="A10" s="30">
        <v>41080</v>
      </c>
      <c r="B10" s="244" t="s">
        <v>2542</v>
      </c>
      <c r="C10" s="34" t="s">
        <v>474</v>
      </c>
      <c r="D10" s="36">
        <v>8211</v>
      </c>
    </row>
    <row r="11" spans="1:11" x14ac:dyDescent="0.2">
      <c r="A11" s="30">
        <v>41122</v>
      </c>
      <c r="B11" s="32" t="s">
        <v>2890</v>
      </c>
      <c r="C11" s="34" t="s">
        <v>2891</v>
      </c>
      <c r="D11" s="36">
        <v>9147</v>
      </c>
    </row>
    <row r="12" spans="1:11" ht="24" x14ac:dyDescent="0.2">
      <c r="A12" s="30">
        <v>41180</v>
      </c>
      <c r="B12" s="32" t="s">
        <v>550</v>
      </c>
      <c r="C12" s="34" t="s">
        <v>3305</v>
      </c>
      <c r="D12" s="36">
        <v>9120</v>
      </c>
    </row>
    <row r="13" spans="1:11" x14ac:dyDescent="0.2">
      <c r="A13" s="30">
        <v>41247</v>
      </c>
      <c r="B13" s="32" t="s">
        <v>3310</v>
      </c>
      <c r="C13" s="34" t="s">
        <v>1401</v>
      </c>
      <c r="D13" s="36">
        <v>8814</v>
      </c>
    </row>
    <row r="14" spans="1:11" x14ac:dyDescent="0.2">
      <c r="A14" s="30">
        <v>41278</v>
      </c>
      <c r="B14" s="32" t="s">
        <v>2535</v>
      </c>
      <c r="C14" s="34" t="s">
        <v>392</v>
      </c>
      <c r="D14" s="36">
        <v>8144</v>
      </c>
    </row>
    <row r="15" spans="1:11" ht="14.25" x14ac:dyDescent="0.2">
      <c r="A15" s="30">
        <v>41283</v>
      </c>
      <c r="B15" s="32" t="s">
        <v>2537</v>
      </c>
      <c r="C15" s="34" t="s">
        <v>392</v>
      </c>
      <c r="D15" s="36">
        <v>8801</v>
      </c>
      <c r="I15" s="221"/>
    </row>
    <row r="16" spans="1:11" x14ac:dyDescent="0.2">
      <c r="A16" s="30">
        <v>41284</v>
      </c>
      <c r="B16" s="32" t="s">
        <v>1582</v>
      </c>
      <c r="D16" s="36">
        <v>8902</v>
      </c>
    </row>
    <row r="17" spans="1:8" x14ac:dyDescent="0.2">
      <c r="A17" s="30">
        <v>41284</v>
      </c>
      <c r="B17" s="32" t="s">
        <v>1583</v>
      </c>
      <c r="C17" s="34" t="s">
        <v>392</v>
      </c>
      <c r="D17" s="36">
        <v>8909</v>
      </c>
    </row>
    <row r="18" spans="1:8" x14ac:dyDescent="0.2">
      <c r="A18" s="30">
        <v>41284</v>
      </c>
      <c r="B18" s="32" t="s">
        <v>1584</v>
      </c>
      <c r="C18" s="34" t="s">
        <v>392</v>
      </c>
      <c r="D18" s="36">
        <v>8906</v>
      </c>
      <c r="F18" s="167">
        <v>1</v>
      </c>
    </row>
    <row r="19" spans="1:8" x14ac:dyDescent="0.2">
      <c r="A19" s="30">
        <v>41284</v>
      </c>
      <c r="B19" s="32" t="s">
        <v>1585</v>
      </c>
      <c r="C19" s="34" t="s">
        <v>392</v>
      </c>
      <c r="D19" s="36">
        <v>8903</v>
      </c>
      <c r="F19" s="167">
        <v>1</v>
      </c>
    </row>
    <row r="20" spans="1:8" x14ac:dyDescent="0.2">
      <c r="A20" s="30">
        <v>41284</v>
      </c>
      <c r="B20" s="32" t="s">
        <v>1586</v>
      </c>
      <c r="C20" s="34" t="s">
        <v>392</v>
      </c>
      <c r="D20" s="36">
        <v>8910</v>
      </c>
      <c r="F20" s="167">
        <v>1</v>
      </c>
    </row>
    <row r="21" spans="1:8" x14ac:dyDescent="0.2">
      <c r="A21" s="30">
        <v>41284</v>
      </c>
      <c r="B21" s="32" t="s">
        <v>1587</v>
      </c>
      <c r="C21" s="34" t="s">
        <v>392</v>
      </c>
      <c r="D21" s="36">
        <v>8913</v>
      </c>
      <c r="F21" s="167">
        <v>1</v>
      </c>
    </row>
    <row r="22" spans="1:8" x14ac:dyDescent="0.2">
      <c r="A22" s="30">
        <v>41283</v>
      </c>
      <c r="B22" s="32" t="s">
        <v>1589</v>
      </c>
      <c r="C22" s="34" t="s">
        <v>392</v>
      </c>
      <c r="D22" s="36">
        <v>8908</v>
      </c>
      <c r="E22" s="34" t="s">
        <v>1758</v>
      </c>
      <c r="F22" s="167">
        <v>1</v>
      </c>
      <c r="H22" s="168" t="s">
        <v>903</v>
      </c>
    </row>
    <row r="23" spans="1:8" x14ac:dyDescent="0.2">
      <c r="A23" s="30">
        <v>41285</v>
      </c>
      <c r="B23" s="32" t="s">
        <v>1986</v>
      </c>
      <c r="C23" s="34" t="s">
        <v>392</v>
      </c>
      <c r="D23" s="36">
        <v>9314</v>
      </c>
      <c r="F23" s="167">
        <v>1</v>
      </c>
    </row>
    <row r="24" spans="1:8" x14ac:dyDescent="0.2">
      <c r="A24" s="30">
        <v>41290</v>
      </c>
      <c r="B24" s="32" t="s">
        <v>2275</v>
      </c>
      <c r="C24" s="34" t="s">
        <v>1819</v>
      </c>
      <c r="D24" s="36">
        <v>8363</v>
      </c>
    </row>
    <row r="25" spans="1:8" x14ac:dyDescent="0.2">
      <c r="A25" s="30">
        <v>41290</v>
      </c>
      <c r="B25" s="32" t="s">
        <v>2276</v>
      </c>
      <c r="C25" s="34" t="s">
        <v>474</v>
      </c>
      <c r="D25" s="36">
        <v>8352</v>
      </c>
    </row>
    <row r="26" spans="1:8" x14ac:dyDescent="0.2">
      <c r="A26" s="30">
        <v>41303</v>
      </c>
      <c r="B26" s="32" t="s">
        <v>1216</v>
      </c>
      <c r="C26" s="34" t="s">
        <v>474</v>
      </c>
      <c r="D26" s="36">
        <v>8145</v>
      </c>
    </row>
    <row r="27" spans="1:8" x14ac:dyDescent="0.2">
      <c r="A27" s="30">
        <v>41303</v>
      </c>
      <c r="B27" s="32" t="s">
        <v>1217</v>
      </c>
      <c r="C27" s="34" t="s">
        <v>2144</v>
      </c>
      <c r="D27" s="36">
        <v>8148</v>
      </c>
    </row>
    <row r="28" spans="1:8" x14ac:dyDescent="0.2">
      <c r="A28" s="30">
        <v>41303</v>
      </c>
      <c r="B28" s="32" t="s">
        <v>1218</v>
      </c>
      <c r="C28" s="34" t="s">
        <v>3390</v>
      </c>
      <c r="D28" s="36">
        <v>8149</v>
      </c>
    </row>
    <row r="29" spans="1:8" x14ac:dyDescent="0.2">
      <c r="A29" s="30">
        <v>41303</v>
      </c>
      <c r="B29" s="32" t="s">
        <v>1219</v>
      </c>
      <c r="C29" s="34" t="s">
        <v>2144</v>
      </c>
      <c r="D29" s="36">
        <v>8359</v>
      </c>
    </row>
    <row r="30" spans="1:8" x14ac:dyDescent="0.2">
      <c r="A30" s="30">
        <v>41310</v>
      </c>
      <c r="B30" s="32" t="s">
        <v>2787</v>
      </c>
      <c r="C30" s="34" t="s">
        <v>3892</v>
      </c>
      <c r="D30" s="36">
        <v>8791</v>
      </c>
    </row>
  </sheetData>
  <autoFilter ref="A1:F11"/>
  <phoneticPr fontId="0" type="noConversion"/>
  <conditionalFormatting sqref="I1:I1048576">
    <cfRule type="cellIs" dxfId="19" priority="4" stopIfTrue="1" operator="equal">
      <formula>"Ok"</formula>
    </cfRule>
  </conditionalFormatting>
  <conditionalFormatting sqref="F1:F1048576">
    <cfRule type="cellIs" dxfId="18" priority="1" stopIfTrue="1" operator="equal">
      <formula>1</formula>
    </cfRule>
    <cfRule type="cellIs" dxfId="17" priority="2" stopIfTrue="1" operator="equal">
      <formula>2</formula>
    </cfRule>
    <cfRule type="cellIs" dxfId="16" priority="3" stopIfTrue="1" operator="equal">
      <formula>3</formula>
    </cfRule>
  </conditionalFormatting>
  <pageMargins left="0.15748031496062992" right="0.15748031496062992" top="0.47244094488188981" bottom="0.23622047244094491" header="0.19685039370078741" footer="0.15748031496062992"/>
  <pageSetup paperSize="9" scale="67" orientation="landscape" horizontalDpi="4294967293" r:id="rId1"/>
  <headerFooter alignWithMargins="0">
    <oddHeader>&amp;Lsuivi des travaux de maintenance&amp;C&amp;"Arial,Gras"&amp;12&amp;ESCIERIE
à faire&amp;R&amp;D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 enableFormatConditionsCalculation="0">
    <tabColor indexed="42"/>
  </sheetPr>
  <dimension ref="A1:H1020"/>
  <sheetViews>
    <sheetView workbookViewId="0">
      <pane ySplit="1" topLeftCell="A993" activePane="bottomLeft" state="frozen"/>
      <selection activeCell="B17" sqref="B17"/>
      <selection pane="bottomLeft" activeCell="A1020" sqref="A1020:F1020"/>
    </sheetView>
  </sheetViews>
  <sheetFormatPr baseColWidth="10" defaultRowHeight="12.75" x14ac:dyDescent="0.2"/>
  <cols>
    <col min="1" max="1" width="11.5703125" style="48" customWidth="1"/>
    <col min="2" max="2" width="89.85546875" style="49" customWidth="1"/>
    <col min="3" max="3" width="16.7109375" style="50" bestFit="1" customWidth="1"/>
    <col min="4" max="4" width="7.7109375" style="51" customWidth="1"/>
    <col min="5" max="5" width="8.7109375" style="50" customWidth="1"/>
    <col min="6" max="6" width="8.140625" style="50" customWidth="1"/>
    <col min="7" max="7" width="15.28515625" style="41" bestFit="1" customWidth="1"/>
    <col min="8" max="8" width="17.5703125" bestFit="1" customWidth="1"/>
  </cols>
  <sheetData>
    <row r="1" spans="1:8" ht="13.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8" s="1" customFormat="1" hidden="1" x14ac:dyDescent="0.2">
      <c r="A2" s="78">
        <v>39007</v>
      </c>
      <c r="B2" s="79" t="s">
        <v>992</v>
      </c>
      <c r="C2" s="156" t="s">
        <v>451</v>
      </c>
      <c r="D2" s="81">
        <v>977</v>
      </c>
      <c r="E2" s="80" t="s">
        <v>3481</v>
      </c>
      <c r="F2" s="80"/>
      <c r="G2" s="80"/>
    </row>
    <row r="3" spans="1:8" s="1" customFormat="1" x14ac:dyDescent="0.2">
      <c r="A3" s="48">
        <v>40649</v>
      </c>
      <c r="B3" s="49" t="s">
        <v>2423</v>
      </c>
      <c r="C3" s="50" t="s">
        <v>1401</v>
      </c>
      <c r="D3" s="51">
        <v>2</v>
      </c>
      <c r="E3" s="50" t="s">
        <v>3482</v>
      </c>
      <c r="F3" s="50">
        <v>2</v>
      </c>
      <c r="G3" s="56">
        <v>40731</v>
      </c>
      <c r="H3"/>
    </row>
    <row r="4" spans="1:8" x14ac:dyDescent="0.2">
      <c r="A4" s="126">
        <v>38786</v>
      </c>
      <c r="B4" s="127" t="s">
        <v>1880</v>
      </c>
      <c r="C4" s="130" t="s">
        <v>2007</v>
      </c>
      <c r="D4" s="129">
        <v>47</v>
      </c>
      <c r="E4" s="130" t="s">
        <v>3486</v>
      </c>
      <c r="G4" s="56">
        <v>39568</v>
      </c>
      <c r="H4" s="1"/>
    </row>
    <row r="5" spans="1:8" s="1" customFormat="1" x14ac:dyDescent="0.2">
      <c r="A5" s="48">
        <v>38918</v>
      </c>
      <c r="B5" s="49" t="s">
        <v>3838</v>
      </c>
      <c r="C5" s="50" t="s">
        <v>1843</v>
      </c>
      <c r="D5" s="51">
        <v>216</v>
      </c>
      <c r="E5" s="50" t="s">
        <v>3176</v>
      </c>
      <c r="F5" s="50"/>
      <c r="G5" s="56">
        <v>39582</v>
      </c>
    </row>
    <row r="6" spans="1:8" s="1" customFormat="1" x14ac:dyDescent="0.2">
      <c r="A6" s="48">
        <v>38916</v>
      </c>
      <c r="B6" s="49" t="s">
        <v>2788</v>
      </c>
      <c r="C6" s="50" t="s">
        <v>2479</v>
      </c>
      <c r="D6" s="51">
        <v>226</v>
      </c>
      <c r="E6" s="50" t="s">
        <v>3485</v>
      </c>
      <c r="F6" s="50"/>
      <c r="G6" s="56">
        <v>39877</v>
      </c>
      <c r="H6"/>
    </row>
    <row r="7" spans="1:8" s="1" customFormat="1" x14ac:dyDescent="0.2">
      <c r="A7" s="48">
        <v>38954</v>
      </c>
      <c r="B7" s="49" t="s">
        <v>2309</v>
      </c>
      <c r="C7" s="50" t="s">
        <v>1819</v>
      </c>
      <c r="D7" s="51">
        <v>956</v>
      </c>
      <c r="E7" s="50" t="s">
        <v>1562</v>
      </c>
      <c r="F7" s="50"/>
      <c r="G7" s="56">
        <v>39877</v>
      </c>
      <c r="H7"/>
    </row>
    <row r="8" spans="1:8" x14ac:dyDescent="0.2">
      <c r="A8" s="48">
        <v>39050</v>
      </c>
      <c r="B8" s="49" t="s">
        <v>1240</v>
      </c>
      <c r="C8" s="50" t="s">
        <v>2877</v>
      </c>
      <c r="D8" s="51">
        <v>1124</v>
      </c>
      <c r="E8" s="50" t="s">
        <v>3486</v>
      </c>
      <c r="G8" s="56">
        <v>39561</v>
      </c>
    </row>
    <row r="9" spans="1:8" s="1" customFormat="1" x14ac:dyDescent="0.2">
      <c r="A9" s="196">
        <v>40746</v>
      </c>
      <c r="B9" s="195" t="s">
        <v>2821</v>
      </c>
      <c r="C9" s="199" t="s">
        <v>1967</v>
      </c>
      <c r="D9" s="198">
        <v>7490</v>
      </c>
      <c r="E9" s="199"/>
      <c r="F9" s="50" t="s">
        <v>2398</v>
      </c>
      <c r="G9" s="56">
        <v>40785</v>
      </c>
      <c r="H9"/>
    </row>
    <row r="10" spans="1:8" s="1" customFormat="1" x14ac:dyDescent="0.2">
      <c r="A10" s="126">
        <v>39111</v>
      </c>
      <c r="B10" s="127" t="s">
        <v>966</v>
      </c>
      <c r="C10" s="130" t="s">
        <v>1819</v>
      </c>
      <c r="D10" s="129">
        <v>1518</v>
      </c>
      <c r="E10" s="130" t="s">
        <v>433</v>
      </c>
      <c r="F10" s="50"/>
      <c r="G10" s="56">
        <v>39877</v>
      </c>
      <c r="H10"/>
    </row>
    <row r="11" spans="1:8" s="1" customFormat="1" x14ac:dyDescent="0.2">
      <c r="A11" s="48">
        <v>39175</v>
      </c>
      <c r="B11" s="49" t="s">
        <v>2191</v>
      </c>
      <c r="C11" s="50" t="s">
        <v>451</v>
      </c>
      <c r="D11" s="51">
        <v>1593</v>
      </c>
      <c r="E11" s="50" t="s">
        <v>3480</v>
      </c>
      <c r="F11" s="50"/>
      <c r="G11" s="56">
        <v>39875</v>
      </c>
      <c r="H11"/>
    </row>
    <row r="12" spans="1:8" s="1" customFormat="1" x14ac:dyDescent="0.2">
      <c r="A12" s="126">
        <v>39238</v>
      </c>
      <c r="B12" s="127" t="s">
        <v>3886</v>
      </c>
      <c r="C12" s="130" t="s">
        <v>4027</v>
      </c>
      <c r="D12" s="129">
        <v>1715</v>
      </c>
      <c r="E12" s="130" t="s">
        <v>3482</v>
      </c>
      <c r="F12" s="50"/>
      <c r="G12" s="56">
        <v>39875</v>
      </c>
      <c r="H12"/>
    </row>
    <row r="13" spans="1:8" s="1" customFormat="1" x14ac:dyDescent="0.2">
      <c r="A13" s="126">
        <v>39371</v>
      </c>
      <c r="B13" s="127" t="s">
        <v>2830</v>
      </c>
      <c r="C13" s="130" t="s">
        <v>2877</v>
      </c>
      <c r="D13" s="129">
        <v>1725</v>
      </c>
      <c r="E13" s="130" t="s">
        <v>3478</v>
      </c>
      <c r="F13" s="50"/>
      <c r="G13" s="56">
        <v>39708</v>
      </c>
      <c r="H13"/>
    </row>
    <row r="14" spans="1:8" s="1" customFormat="1" x14ac:dyDescent="0.2">
      <c r="A14" s="48">
        <v>39360</v>
      </c>
      <c r="B14" s="49" t="s">
        <v>1993</v>
      </c>
      <c r="C14" s="50" t="s">
        <v>451</v>
      </c>
      <c r="D14" s="51">
        <v>1729</v>
      </c>
      <c r="E14" s="50" t="s">
        <v>3480</v>
      </c>
      <c r="F14" s="50"/>
      <c r="G14" s="56">
        <v>39828</v>
      </c>
      <c r="H14"/>
    </row>
    <row r="15" spans="1:8" x14ac:dyDescent="0.2">
      <c r="A15" s="126">
        <v>39381</v>
      </c>
      <c r="B15" s="127" t="s">
        <v>1817</v>
      </c>
      <c r="C15" s="130" t="s">
        <v>3355</v>
      </c>
      <c r="D15" s="129">
        <v>1751</v>
      </c>
      <c r="E15" s="130" t="s">
        <v>3478</v>
      </c>
      <c r="G15" s="56">
        <v>39828</v>
      </c>
    </row>
    <row r="16" spans="1:8" s="1" customFormat="1" x14ac:dyDescent="0.2">
      <c r="A16" s="48">
        <v>39372</v>
      </c>
      <c r="B16" s="49" t="s">
        <v>3073</v>
      </c>
      <c r="C16" s="50" t="s">
        <v>1819</v>
      </c>
      <c r="D16" s="51">
        <v>1757</v>
      </c>
      <c r="E16" s="50" t="s">
        <v>3714</v>
      </c>
      <c r="F16" s="50"/>
      <c r="G16" s="56">
        <v>39708</v>
      </c>
    </row>
    <row r="17" spans="1:8" s="1" customFormat="1" x14ac:dyDescent="0.2">
      <c r="A17" s="126">
        <v>39273</v>
      </c>
      <c r="B17" s="127" t="s">
        <v>3380</v>
      </c>
      <c r="C17" s="130" t="s">
        <v>451</v>
      </c>
      <c r="D17" s="129">
        <v>1763</v>
      </c>
      <c r="E17" s="130" t="s">
        <v>3523</v>
      </c>
      <c r="F17" s="50"/>
      <c r="G17" s="56">
        <v>39708</v>
      </c>
      <c r="H17"/>
    </row>
    <row r="18" spans="1:8" s="1" customFormat="1" x14ac:dyDescent="0.2">
      <c r="A18" s="126">
        <v>39273</v>
      </c>
      <c r="B18" s="127" t="s">
        <v>1359</v>
      </c>
      <c r="C18" s="130" t="s">
        <v>451</v>
      </c>
      <c r="D18" s="129">
        <v>1764</v>
      </c>
      <c r="E18" s="130" t="s">
        <v>433</v>
      </c>
      <c r="F18" s="50"/>
      <c r="G18" s="56">
        <v>39993</v>
      </c>
      <c r="H18"/>
    </row>
    <row r="19" spans="1:8" x14ac:dyDescent="0.2">
      <c r="A19" s="126">
        <v>39254</v>
      </c>
      <c r="B19" s="127" t="s">
        <v>1221</v>
      </c>
      <c r="C19" s="130" t="s">
        <v>4027</v>
      </c>
      <c r="D19" s="129">
        <v>1765</v>
      </c>
      <c r="E19" s="130" t="s">
        <v>3485</v>
      </c>
      <c r="G19" s="56">
        <v>39708</v>
      </c>
    </row>
    <row r="20" spans="1:8" x14ac:dyDescent="0.2">
      <c r="A20" s="48">
        <v>39337</v>
      </c>
      <c r="B20" s="49" t="s">
        <v>881</v>
      </c>
      <c r="C20" s="50" t="s">
        <v>1819</v>
      </c>
      <c r="D20" s="51">
        <v>2137</v>
      </c>
      <c r="E20" s="50" t="s">
        <v>2504</v>
      </c>
      <c r="G20" s="56">
        <v>39708</v>
      </c>
    </row>
    <row r="21" spans="1:8" x14ac:dyDescent="0.2">
      <c r="A21" s="126">
        <v>39345</v>
      </c>
      <c r="B21" s="127" t="s">
        <v>2529</v>
      </c>
      <c r="C21" s="130" t="s">
        <v>451</v>
      </c>
      <c r="D21" s="129">
        <v>2149</v>
      </c>
      <c r="E21" s="130" t="s">
        <v>3485</v>
      </c>
      <c r="G21" s="56">
        <v>39708</v>
      </c>
      <c r="H21" s="1"/>
    </row>
    <row r="22" spans="1:8" x14ac:dyDescent="0.2">
      <c r="A22" s="48">
        <v>39346</v>
      </c>
      <c r="B22" s="49" t="s">
        <v>1047</v>
      </c>
      <c r="C22" s="50" t="s">
        <v>451</v>
      </c>
      <c r="D22" s="51">
        <v>2153</v>
      </c>
      <c r="E22" s="50" t="s">
        <v>3485</v>
      </c>
      <c r="G22" s="56">
        <v>39581</v>
      </c>
    </row>
    <row r="23" spans="1:8" x14ac:dyDescent="0.2">
      <c r="A23" s="126">
        <v>39349</v>
      </c>
      <c r="B23" s="127" t="s">
        <v>1741</v>
      </c>
      <c r="C23" s="130" t="s">
        <v>451</v>
      </c>
      <c r="D23" s="129">
        <v>2155</v>
      </c>
      <c r="E23" s="130" t="s">
        <v>3485</v>
      </c>
      <c r="G23" s="56">
        <v>39708</v>
      </c>
    </row>
    <row r="24" spans="1:8" s="1" customFormat="1" x14ac:dyDescent="0.2">
      <c r="A24" s="48">
        <v>39371</v>
      </c>
      <c r="B24" s="49" t="s">
        <v>3661</v>
      </c>
      <c r="C24" s="50" t="s">
        <v>4027</v>
      </c>
      <c r="D24" s="51">
        <v>2299</v>
      </c>
      <c r="E24" s="50" t="s">
        <v>3480</v>
      </c>
      <c r="F24" s="50"/>
      <c r="G24" s="56">
        <v>39828</v>
      </c>
      <c r="H24"/>
    </row>
    <row r="25" spans="1:8" x14ac:dyDescent="0.2">
      <c r="A25" s="126">
        <v>39393</v>
      </c>
      <c r="B25" s="127" t="s">
        <v>2939</v>
      </c>
      <c r="C25" s="130" t="s">
        <v>2877</v>
      </c>
      <c r="D25" s="129">
        <v>2591</v>
      </c>
      <c r="E25" s="130" t="s">
        <v>3162</v>
      </c>
      <c r="G25" s="56">
        <v>39877</v>
      </c>
    </row>
    <row r="26" spans="1:8" x14ac:dyDescent="0.2">
      <c r="A26" s="48">
        <v>39400</v>
      </c>
      <c r="B26" s="49" t="s">
        <v>2372</v>
      </c>
      <c r="C26" s="50" t="s">
        <v>1843</v>
      </c>
      <c r="D26" s="51">
        <v>2606</v>
      </c>
      <c r="E26" s="50" t="s">
        <v>3482</v>
      </c>
      <c r="G26" s="56">
        <v>39828</v>
      </c>
    </row>
    <row r="27" spans="1:8" x14ac:dyDescent="0.2">
      <c r="A27" s="48">
        <v>39400</v>
      </c>
      <c r="B27" s="49" t="s">
        <v>262</v>
      </c>
      <c r="C27" s="50" t="s">
        <v>1843</v>
      </c>
      <c r="D27" s="51">
        <v>2607</v>
      </c>
      <c r="E27" s="50" t="s">
        <v>3482</v>
      </c>
      <c r="G27" s="56">
        <v>39582</v>
      </c>
    </row>
    <row r="28" spans="1:8" x14ac:dyDescent="0.2">
      <c r="A28" s="126">
        <v>39400</v>
      </c>
      <c r="B28" s="127" t="s">
        <v>2724</v>
      </c>
      <c r="C28" s="130" t="s">
        <v>1819</v>
      </c>
      <c r="D28" s="129">
        <v>2612</v>
      </c>
      <c r="E28" s="130" t="s">
        <v>3478</v>
      </c>
      <c r="G28" s="56">
        <v>39555</v>
      </c>
      <c r="H28" s="1"/>
    </row>
    <row r="29" spans="1:8" x14ac:dyDescent="0.2">
      <c r="A29" s="48">
        <v>39419</v>
      </c>
      <c r="B29" s="49" t="s">
        <v>366</v>
      </c>
      <c r="C29" s="50" t="s">
        <v>3433</v>
      </c>
      <c r="D29" s="51">
        <v>2698</v>
      </c>
      <c r="E29" s="50" t="s">
        <v>3480</v>
      </c>
      <c r="G29" s="56">
        <v>39561</v>
      </c>
      <c r="H29" s="1"/>
    </row>
    <row r="30" spans="1:8" x14ac:dyDescent="0.2">
      <c r="A30" s="48">
        <v>39419</v>
      </c>
      <c r="B30" s="49" t="s">
        <v>2860</v>
      </c>
      <c r="C30" s="50" t="s">
        <v>451</v>
      </c>
      <c r="D30" s="51">
        <v>2699</v>
      </c>
      <c r="E30" s="50" t="s">
        <v>2504</v>
      </c>
      <c r="G30" s="56">
        <v>39857</v>
      </c>
    </row>
    <row r="31" spans="1:8" s="1" customFormat="1" x14ac:dyDescent="0.2">
      <c r="A31" s="126">
        <v>39465</v>
      </c>
      <c r="B31" s="127" t="s">
        <v>3103</v>
      </c>
      <c r="C31" s="130" t="s">
        <v>1819</v>
      </c>
      <c r="D31" s="129">
        <v>2702</v>
      </c>
      <c r="E31" s="130" t="s">
        <v>3479</v>
      </c>
      <c r="F31" s="50"/>
      <c r="G31" s="56">
        <v>39993</v>
      </c>
      <c r="H31"/>
    </row>
    <row r="32" spans="1:8" x14ac:dyDescent="0.2">
      <c r="A32" s="126">
        <v>39461</v>
      </c>
      <c r="B32" s="127" t="s">
        <v>1344</v>
      </c>
      <c r="C32" s="130" t="s">
        <v>1819</v>
      </c>
      <c r="D32" s="129">
        <v>2706</v>
      </c>
      <c r="E32" s="130" t="s">
        <v>2376</v>
      </c>
      <c r="G32" s="56">
        <v>39764</v>
      </c>
    </row>
    <row r="33" spans="1:8" s="1" customFormat="1" x14ac:dyDescent="0.2">
      <c r="A33" s="126">
        <v>39480</v>
      </c>
      <c r="B33" s="127" t="s">
        <v>4028</v>
      </c>
      <c r="C33" s="130" t="s">
        <v>451</v>
      </c>
      <c r="D33" s="129">
        <v>2709</v>
      </c>
      <c r="E33" s="130" t="s">
        <v>2789</v>
      </c>
      <c r="F33" s="50" t="s">
        <v>3506</v>
      </c>
      <c r="G33" s="56">
        <v>40086</v>
      </c>
      <c r="H33"/>
    </row>
    <row r="34" spans="1:8" x14ac:dyDescent="0.2">
      <c r="A34" s="126">
        <v>39493</v>
      </c>
      <c r="B34" s="127" t="s">
        <v>1174</v>
      </c>
      <c r="C34" s="130" t="s">
        <v>451</v>
      </c>
      <c r="D34" s="129">
        <v>2710</v>
      </c>
      <c r="E34" s="130" t="s">
        <v>3486</v>
      </c>
      <c r="G34" s="56">
        <v>39708</v>
      </c>
    </row>
    <row r="35" spans="1:8" s="1" customFormat="1" x14ac:dyDescent="0.2">
      <c r="A35" s="48">
        <v>39493</v>
      </c>
      <c r="B35" s="49" t="s">
        <v>3825</v>
      </c>
      <c r="C35" s="50" t="s">
        <v>1843</v>
      </c>
      <c r="D35" s="51">
        <v>2711</v>
      </c>
      <c r="E35" s="50" t="s">
        <v>2789</v>
      </c>
      <c r="F35" s="50"/>
      <c r="G35" s="56">
        <v>39581</v>
      </c>
    </row>
    <row r="36" spans="1:8" s="16" customFormat="1" x14ac:dyDescent="0.2">
      <c r="A36" s="48">
        <v>39493</v>
      </c>
      <c r="B36" s="49" t="s">
        <v>3826</v>
      </c>
      <c r="C36" s="50" t="s">
        <v>4027</v>
      </c>
      <c r="D36" s="51">
        <v>2712</v>
      </c>
      <c r="E36" s="50" t="s">
        <v>3176</v>
      </c>
      <c r="F36" s="50"/>
      <c r="G36" s="56">
        <v>39769</v>
      </c>
      <c r="H36"/>
    </row>
    <row r="37" spans="1:8" s="1" customFormat="1" x14ac:dyDescent="0.2">
      <c r="A37" s="126">
        <v>39573</v>
      </c>
      <c r="B37" s="127" t="s">
        <v>1538</v>
      </c>
      <c r="C37" s="50" t="s">
        <v>3433</v>
      </c>
      <c r="D37" s="129">
        <v>2717</v>
      </c>
      <c r="E37" s="130" t="s">
        <v>3482</v>
      </c>
      <c r="F37" s="50"/>
      <c r="G37" s="56">
        <v>39624</v>
      </c>
    </row>
    <row r="38" spans="1:8" x14ac:dyDescent="0.2">
      <c r="A38" s="48">
        <v>39596</v>
      </c>
      <c r="B38" s="49" t="s">
        <v>3670</v>
      </c>
      <c r="C38" s="50" t="s">
        <v>1819</v>
      </c>
      <c r="D38" s="51">
        <v>2718</v>
      </c>
      <c r="E38" s="50" t="s">
        <v>3482</v>
      </c>
      <c r="G38" s="56">
        <v>39622</v>
      </c>
    </row>
    <row r="39" spans="1:8" s="1" customFormat="1" x14ac:dyDescent="0.2">
      <c r="A39" s="48">
        <v>39600</v>
      </c>
      <c r="B39" s="49" t="s">
        <v>3239</v>
      </c>
      <c r="C39" s="50" t="s">
        <v>1819</v>
      </c>
      <c r="D39" s="51">
        <v>2719</v>
      </c>
      <c r="E39" s="50" t="s">
        <v>3165</v>
      </c>
      <c r="F39" s="50"/>
      <c r="G39" s="56">
        <v>39622</v>
      </c>
    </row>
    <row r="40" spans="1:8" s="1" customFormat="1" x14ac:dyDescent="0.2">
      <c r="A40" s="48">
        <v>39598</v>
      </c>
      <c r="B40" s="49" t="s">
        <v>1975</v>
      </c>
      <c r="C40" s="50" t="s">
        <v>3433</v>
      </c>
      <c r="D40" s="51">
        <v>2720</v>
      </c>
      <c r="E40" s="50" t="s">
        <v>3485</v>
      </c>
      <c r="F40" s="50"/>
      <c r="G40" s="56">
        <v>39769</v>
      </c>
      <c r="H40"/>
    </row>
    <row r="41" spans="1:8" s="1" customFormat="1" x14ac:dyDescent="0.2">
      <c r="A41" s="48">
        <v>39596</v>
      </c>
      <c r="B41" s="49" t="s">
        <v>332</v>
      </c>
      <c r="C41" s="50" t="s">
        <v>4027</v>
      </c>
      <c r="D41" s="51">
        <v>2721</v>
      </c>
      <c r="E41" s="50" t="s">
        <v>1562</v>
      </c>
      <c r="F41" s="50"/>
      <c r="G41" s="56">
        <v>39638</v>
      </c>
      <c r="H41"/>
    </row>
    <row r="42" spans="1:8" x14ac:dyDescent="0.2">
      <c r="A42" s="48">
        <v>39597</v>
      </c>
      <c r="B42" s="49" t="s">
        <v>254</v>
      </c>
      <c r="C42" s="50" t="s">
        <v>1819</v>
      </c>
      <c r="D42" s="51">
        <v>2722</v>
      </c>
      <c r="E42" s="50" t="s">
        <v>1562</v>
      </c>
      <c r="G42" s="56">
        <v>39623</v>
      </c>
      <c r="H42" s="1"/>
    </row>
    <row r="43" spans="1:8" x14ac:dyDescent="0.2">
      <c r="A43" s="48">
        <v>39599</v>
      </c>
      <c r="B43" s="49" t="s">
        <v>3349</v>
      </c>
      <c r="C43" s="50" t="s">
        <v>1819</v>
      </c>
      <c r="D43" s="51">
        <v>2724</v>
      </c>
      <c r="E43" s="50" t="s">
        <v>3119</v>
      </c>
      <c r="G43" s="56">
        <v>39623</v>
      </c>
      <c r="H43" s="1"/>
    </row>
    <row r="44" spans="1:8" x14ac:dyDescent="0.2">
      <c r="A44" s="126">
        <v>39602</v>
      </c>
      <c r="B44" s="127" t="s">
        <v>1780</v>
      </c>
      <c r="C44" s="130" t="s">
        <v>1819</v>
      </c>
      <c r="D44" s="129">
        <v>2726</v>
      </c>
      <c r="E44" s="130" t="s">
        <v>1758</v>
      </c>
      <c r="G44" s="56">
        <v>39707</v>
      </c>
    </row>
    <row r="45" spans="1:8" x14ac:dyDescent="0.2">
      <c r="A45" s="126">
        <v>39421</v>
      </c>
      <c r="B45" s="127" t="s">
        <v>2895</v>
      </c>
      <c r="C45" s="50" t="s">
        <v>2877</v>
      </c>
      <c r="D45" s="129">
        <v>2729</v>
      </c>
      <c r="E45" s="130" t="s">
        <v>1562</v>
      </c>
      <c r="G45" s="56">
        <v>39566</v>
      </c>
      <c r="H45" s="1"/>
    </row>
    <row r="46" spans="1:8" x14ac:dyDescent="0.2">
      <c r="A46" s="126">
        <v>39512</v>
      </c>
      <c r="B46" s="127" t="s">
        <v>3044</v>
      </c>
      <c r="C46" s="130" t="s">
        <v>1819</v>
      </c>
      <c r="D46" s="129">
        <v>2731</v>
      </c>
      <c r="E46" s="130" t="s">
        <v>3162</v>
      </c>
      <c r="G46" s="56">
        <v>39708</v>
      </c>
    </row>
    <row r="47" spans="1:8" s="1" customFormat="1" ht="25.5" x14ac:dyDescent="0.2">
      <c r="A47" s="48">
        <v>39512</v>
      </c>
      <c r="B47" s="49" t="s">
        <v>300</v>
      </c>
      <c r="C47" s="50" t="s">
        <v>1819</v>
      </c>
      <c r="D47" s="51">
        <v>2733</v>
      </c>
      <c r="E47" s="50"/>
      <c r="F47" s="50"/>
      <c r="G47" s="56">
        <v>39638</v>
      </c>
      <c r="H47"/>
    </row>
    <row r="48" spans="1:8" s="1" customFormat="1" x14ac:dyDescent="0.2">
      <c r="A48" s="126">
        <v>39517</v>
      </c>
      <c r="B48" s="127" t="s">
        <v>2272</v>
      </c>
      <c r="C48" s="130" t="s">
        <v>451</v>
      </c>
      <c r="D48" s="129">
        <v>2738</v>
      </c>
      <c r="E48" s="130" t="s">
        <v>3486</v>
      </c>
      <c r="F48" s="50"/>
      <c r="G48" s="56">
        <v>39857</v>
      </c>
      <c r="H48"/>
    </row>
    <row r="49" spans="1:8" x14ac:dyDescent="0.2">
      <c r="A49" s="126">
        <v>39524</v>
      </c>
      <c r="B49" s="127" t="s">
        <v>3516</v>
      </c>
      <c r="C49" s="130" t="s">
        <v>1819</v>
      </c>
      <c r="D49" s="129">
        <v>2739</v>
      </c>
      <c r="E49" s="130" t="s">
        <v>3482</v>
      </c>
      <c r="G49" s="56">
        <v>39818</v>
      </c>
    </row>
    <row r="50" spans="1:8" x14ac:dyDescent="0.2">
      <c r="A50" s="48">
        <v>39527</v>
      </c>
      <c r="B50" s="49" t="s">
        <v>2060</v>
      </c>
      <c r="C50" s="50" t="s">
        <v>2877</v>
      </c>
      <c r="D50" s="51">
        <v>2741</v>
      </c>
      <c r="E50" s="50" t="s">
        <v>2069</v>
      </c>
      <c r="G50" s="56">
        <v>39624</v>
      </c>
    </row>
    <row r="51" spans="1:8" s="1" customFormat="1" x14ac:dyDescent="0.2">
      <c r="A51" s="48">
        <v>39527</v>
      </c>
      <c r="B51" s="49" t="s">
        <v>3307</v>
      </c>
      <c r="C51" s="50" t="s">
        <v>1819</v>
      </c>
      <c r="D51" s="51">
        <v>2742</v>
      </c>
      <c r="E51" s="50" t="s">
        <v>3753</v>
      </c>
      <c r="F51" s="50"/>
      <c r="G51" s="56">
        <v>39769</v>
      </c>
      <c r="H51"/>
    </row>
    <row r="52" spans="1:8" s="1" customFormat="1" x14ac:dyDescent="0.2">
      <c r="A52" s="48">
        <v>39532</v>
      </c>
      <c r="B52" s="49" t="s">
        <v>1161</v>
      </c>
      <c r="C52" s="50" t="s">
        <v>2877</v>
      </c>
      <c r="D52" s="51">
        <v>2744</v>
      </c>
      <c r="E52" s="50" t="s">
        <v>3483</v>
      </c>
      <c r="F52" s="50"/>
      <c r="G52" s="56">
        <v>39555</v>
      </c>
    </row>
    <row r="53" spans="1:8" x14ac:dyDescent="0.2">
      <c r="A53" s="48">
        <v>39532</v>
      </c>
      <c r="B53" s="49" t="s">
        <v>3988</v>
      </c>
      <c r="C53" s="50" t="s">
        <v>2877</v>
      </c>
      <c r="D53" s="51">
        <v>2745</v>
      </c>
      <c r="E53" s="50" t="s">
        <v>3480</v>
      </c>
      <c r="G53" s="56">
        <v>39828</v>
      </c>
    </row>
    <row r="54" spans="1:8" s="1" customFormat="1" x14ac:dyDescent="0.2">
      <c r="A54" s="48">
        <v>39563</v>
      </c>
      <c r="B54" s="49" t="s">
        <v>2743</v>
      </c>
      <c r="C54" s="50" t="s">
        <v>1819</v>
      </c>
      <c r="D54" s="51">
        <v>2746</v>
      </c>
      <c r="E54" s="50" t="s">
        <v>3032</v>
      </c>
      <c r="F54" s="50"/>
      <c r="G54" s="56">
        <v>39849</v>
      </c>
      <c r="H54"/>
    </row>
    <row r="55" spans="1:8" s="1" customFormat="1" x14ac:dyDescent="0.2">
      <c r="A55" s="48">
        <v>39534</v>
      </c>
      <c r="B55" s="49" t="s">
        <v>3593</v>
      </c>
      <c r="C55" s="130" t="s">
        <v>1819</v>
      </c>
      <c r="D55" s="51">
        <v>2747</v>
      </c>
      <c r="E55" s="50" t="s">
        <v>2069</v>
      </c>
      <c r="F55" s="50"/>
      <c r="G55" s="56">
        <v>39557</v>
      </c>
    </row>
    <row r="56" spans="1:8" x14ac:dyDescent="0.2">
      <c r="A56" s="126">
        <v>39535</v>
      </c>
      <c r="B56" s="127" t="s">
        <v>2105</v>
      </c>
      <c r="C56" s="130" t="s">
        <v>1819</v>
      </c>
      <c r="D56" s="129">
        <v>2749</v>
      </c>
      <c r="E56" s="130" t="s">
        <v>3483</v>
      </c>
      <c r="G56" s="56">
        <v>39945</v>
      </c>
    </row>
    <row r="57" spans="1:8" x14ac:dyDescent="0.2">
      <c r="A57" s="126">
        <v>39545</v>
      </c>
      <c r="B57" s="127" t="s">
        <v>1673</v>
      </c>
      <c r="C57" s="130" t="s">
        <v>451</v>
      </c>
      <c r="D57" s="129">
        <v>2751</v>
      </c>
      <c r="E57" s="130" t="s">
        <v>3483</v>
      </c>
      <c r="G57" s="56">
        <v>39595</v>
      </c>
    </row>
    <row r="58" spans="1:8" s="1" customFormat="1" x14ac:dyDescent="0.2">
      <c r="A58" s="48">
        <v>39564</v>
      </c>
      <c r="B58" s="49" t="s">
        <v>1496</v>
      </c>
      <c r="C58" s="50" t="s">
        <v>1819</v>
      </c>
      <c r="D58" s="51">
        <v>2752</v>
      </c>
      <c r="E58" s="50" t="s">
        <v>2069</v>
      </c>
      <c r="F58" s="50"/>
      <c r="G58" s="56">
        <v>39644</v>
      </c>
    </row>
    <row r="59" spans="1:8" x14ac:dyDescent="0.2">
      <c r="A59" s="48">
        <v>39562</v>
      </c>
      <c r="B59" s="49" t="s">
        <v>2680</v>
      </c>
      <c r="C59" s="50" t="s">
        <v>1819</v>
      </c>
      <c r="D59" s="51">
        <v>2753</v>
      </c>
      <c r="E59" s="50" t="s">
        <v>3480</v>
      </c>
      <c r="G59" s="56">
        <v>39848</v>
      </c>
    </row>
    <row r="60" spans="1:8" x14ac:dyDescent="0.2">
      <c r="A60" s="48">
        <v>39563</v>
      </c>
      <c r="B60" s="49" t="s">
        <v>2742</v>
      </c>
      <c r="C60" s="50" t="s">
        <v>1819</v>
      </c>
      <c r="D60" s="51">
        <v>2754</v>
      </c>
      <c r="E60" s="50" t="s">
        <v>3483</v>
      </c>
      <c r="G60" s="56">
        <v>39708</v>
      </c>
    </row>
    <row r="61" spans="1:8" s="1" customFormat="1" x14ac:dyDescent="0.2">
      <c r="A61" s="48">
        <v>39562</v>
      </c>
      <c r="B61" s="49" t="s">
        <v>263</v>
      </c>
      <c r="C61" s="50" t="s">
        <v>451</v>
      </c>
      <c r="D61" s="51">
        <v>2755</v>
      </c>
      <c r="E61" s="50" t="s">
        <v>3480</v>
      </c>
      <c r="F61" s="50"/>
      <c r="G61" s="56">
        <v>39828</v>
      </c>
      <c r="H61"/>
    </row>
    <row r="62" spans="1:8" x14ac:dyDescent="0.2">
      <c r="A62" s="48">
        <v>39566</v>
      </c>
      <c r="B62" s="49" t="s">
        <v>2321</v>
      </c>
      <c r="C62" s="50" t="s">
        <v>1819</v>
      </c>
      <c r="D62" s="51">
        <v>2756</v>
      </c>
      <c r="E62" s="50" t="s">
        <v>3478</v>
      </c>
      <c r="G62" s="56">
        <v>39581</v>
      </c>
      <c r="H62" s="1"/>
    </row>
    <row r="63" spans="1:8" x14ac:dyDescent="0.2">
      <c r="A63" s="48">
        <v>39573</v>
      </c>
      <c r="B63" s="49" t="s">
        <v>1767</v>
      </c>
      <c r="C63" s="50" t="s">
        <v>3433</v>
      </c>
      <c r="D63" s="51">
        <v>2757</v>
      </c>
      <c r="E63" s="50" t="s">
        <v>3486</v>
      </c>
      <c r="G63" s="56">
        <v>39581</v>
      </c>
      <c r="H63" s="1"/>
    </row>
    <row r="64" spans="1:8" x14ac:dyDescent="0.2">
      <c r="A64" s="126">
        <v>39574</v>
      </c>
      <c r="B64" s="127" t="s">
        <v>103</v>
      </c>
      <c r="C64" s="130" t="s">
        <v>4027</v>
      </c>
      <c r="D64" s="129">
        <v>2758</v>
      </c>
      <c r="E64" s="130" t="s">
        <v>3478</v>
      </c>
      <c r="G64" s="56">
        <v>39699</v>
      </c>
    </row>
    <row r="65" spans="1:8" x14ac:dyDescent="0.2">
      <c r="A65" s="48">
        <v>39574</v>
      </c>
      <c r="B65" s="49" t="s">
        <v>407</v>
      </c>
      <c r="C65" s="50" t="s">
        <v>408</v>
      </c>
      <c r="D65" s="51">
        <v>2759</v>
      </c>
      <c r="E65" s="50" t="s">
        <v>3483</v>
      </c>
      <c r="G65" s="56">
        <v>39881</v>
      </c>
    </row>
    <row r="66" spans="1:8" x14ac:dyDescent="0.2">
      <c r="A66" s="126">
        <v>39575</v>
      </c>
      <c r="B66" s="127" t="s">
        <v>104</v>
      </c>
      <c r="C66" s="130" t="s">
        <v>4027</v>
      </c>
      <c r="D66" s="129">
        <v>2760</v>
      </c>
      <c r="E66" s="130" t="s">
        <v>105</v>
      </c>
      <c r="G66" s="56">
        <v>39827</v>
      </c>
    </row>
    <row r="67" spans="1:8" x14ac:dyDescent="0.2">
      <c r="A67" s="48">
        <v>39575</v>
      </c>
      <c r="B67" s="49" t="s">
        <v>3127</v>
      </c>
      <c r="C67" s="50" t="s">
        <v>4027</v>
      </c>
      <c r="D67" s="51">
        <v>2761</v>
      </c>
      <c r="E67" s="50" t="s">
        <v>3480</v>
      </c>
      <c r="G67" s="56">
        <v>39638</v>
      </c>
      <c r="H67" s="1"/>
    </row>
    <row r="68" spans="1:8" x14ac:dyDescent="0.2">
      <c r="A68" s="48">
        <v>39583</v>
      </c>
      <c r="B68" s="49" t="s">
        <v>1566</v>
      </c>
      <c r="C68" s="50" t="s">
        <v>4027</v>
      </c>
      <c r="D68" s="51">
        <v>2762</v>
      </c>
      <c r="E68" s="50" t="s">
        <v>1562</v>
      </c>
      <c r="G68" s="56">
        <v>39638</v>
      </c>
      <c r="H68" s="1"/>
    </row>
    <row r="69" spans="1:8" x14ac:dyDescent="0.2">
      <c r="A69" s="48">
        <v>39587</v>
      </c>
      <c r="B69" s="49" t="s">
        <v>2496</v>
      </c>
      <c r="C69" s="50" t="s">
        <v>4027</v>
      </c>
      <c r="D69" s="51">
        <v>2763</v>
      </c>
      <c r="E69" s="50" t="s">
        <v>3486</v>
      </c>
      <c r="G69" s="56">
        <v>39624</v>
      </c>
    </row>
    <row r="70" spans="1:8" x14ac:dyDescent="0.2">
      <c r="A70" s="126">
        <v>39591</v>
      </c>
      <c r="B70" s="127" t="s">
        <v>3240</v>
      </c>
      <c r="C70" s="130" t="s">
        <v>3433</v>
      </c>
      <c r="D70" s="129">
        <v>2766</v>
      </c>
      <c r="E70" s="130" t="s">
        <v>3485</v>
      </c>
      <c r="G70" s="56">
        <v>39622</v>
      </c>
      <c r="H70" s="1"/>
    </row>
    <row r="71" spans="1:8" x14ac:dyDescent="0.2">
      <c r="A71" s="48">
        <v>39591</v>
      </c>
      <c r="B71" s="49" t="s">
        <v>301</v>
      </c>
      <c r="C71" s="50" t="s">
        <v>3433</v>
      </c>
      <c r="D71" s="51">
        <v>2767</v>
      </c>
      <c r="E71" s="50" t="s">
        <v>3482</v>
      </c>
      <c r="G71" s="56">
        <v>39769</v>
      </c>
    </row>
    <row r="72" spans="1:8" x14ac:dyDescent="0.2">
      <c r="A72" s="48">
        <v>39603</v>
      </c>
      <c r="B72" s="49" t="s">
        <v>2295</v>
      </c>
      <c r="C72" s="50" t="s">
        <v>1819</v>
      </c>
      <c r="D72" s="51">
        <v>2768</v>
      </c>
      <c r="E72" s="50" t="s">
        <v>1499</v>
      </c>
      <c r="G72" s="56">
        <v>39623</v>
      </c>
      <c r="H72" s="1"/>
    </row>
    <row r="73" spans="1:8" x14ac:dyDescent="0.2">
      <c r="A73" s="126">
        <v>39476</v>
      </c>
      <c r="B73" s="127" t="s">
        <v>3218</v>
      </c>
      <c r="C73" s="130" t="s">
        <v>1819</v>
      </c>
      <c r="D73" s="129">
        <v>2776</v>
      </c>
      <c r="E73" s="130"/>
      <c r="G73" s="56">
        <v>39818</v>
      </c>
    </row>
    <row r="74" spans="1:8" x14ac:dyDescent="0.2">
      <c r="A74" s="126">
        <v>39419</v>
      </c>
      <c r="B74" s="127" t="s">
        <v>615</v>
      </c>
      <c r="C74" s="130" t="s">
        <v>451</v>
      </c>
      <c r="D74" s="129">
        <v>2785</v>
      </c>
      <c r="E74" s="130" t="s">
        <v>3485</v>
      </c>
      <c r="G74" s="56">
        <v>39708</v>
      </c>
    </row>
    <row r="75" spans="1:8" x14ac:dyDescent="0.2">
      <c r="A75" s="126">
        <v>39418</v>
      </c>
      <c r="B75" s="127" t="s">
        <v>1222</v>
      </c>
      <c r="C75" s="130" t="s">
        <v>1843</v>
      </c>
      <c r="D75" s="129">
        <v>2861</v>
      </c>
      <c r="E75" s="130"/>
      <c r="G75" s="56">
        <v>39877</v>
      </c>
    </row>
    <row r="76" spans="1:8" x14ac:dyDescent="0.2">
      <c r="A76" s="48">
        <v>39437</v>
      </c>
      <c r="B76" s="49" t="s">
        <v>2506</v>
      </c>
      <c r="C76" s="50" t="s">
        <v>1819</v>
      </c>
      <c r="D76" s="51">
        <v>2868</v>
      </c>
      <c r="E76" s="50" t="s">
        <v>2504</v>
      </c>
      <c r="G76" s="56">
        <v>39828</v>
      </c>
    </row>
    <row r="77" spans="1:8" x14ac:dyDescent="0.2">
      <c r="A77" s="48">
        <v>39958</v>
      </c>
      <c r="B77" s="49" t="s">
        <v>3490</v>
      </c>
      <c r="C77" s="50" t="s">
        <v>3408</v>
      </c>
      <c r="D77" s="51">
        <v>2890</v>
      </c>
      <c r="E77" s="50" t="s">
        <v>3479</v>
      </c>
      <c r="G77" s="56">
        <v>39975</v>
      </c>
    </row>
    <row r="78" spans="1:8" s="1" customFormat="1" x14ac:dyDescent="0.2">
      <c r="A78" s="48">
        <v>39461</v>
      </c>
      <c r="B78" s="49" t="s">
        <v>362</v>
      </c>
      <c r="C78" s="50" t="s">
        <v>4027</v>
      </c>
      <c r="D78" s="51">
        <v>2892</v>
      </c>
      <c r="E78" s="50" t="s">
        <v>3480</v>
      </c>
      <c r="F78" s="50"/>
      <c r="G78" s="56">
        <v>39708</v>
      </c>
      <c r="H78"/>
    </row>
    <row r="79" spans="1:8" ht="25.5" x14ac:dyDescent="0.2">
      <c r="A79" s="126">
        <v>39471</v>
      </c>
      <c r="B79" s="127" t="s">
        <v>2100</v>
      </c>
      <c r="C79" s="130" t="s">
        <v>2877</v>
      </c>
      <c r="D79" s="129">
        <v>2899</v>
      </c>
      <c r="E79" s="130" t="s">
        <v>3175</v>
      </c>
      <c r="G79" s="56">
        <v>39860</v>
      </c>
    </row>
    <row r="80" spans="1:8" x14ac:dyDescent="0.2">
      <c r="A80" s="126">
        <v>39482</v>
      </c>
      <c r="B80" s="127" t="s">
        <v>141</v>
      </c>
      <c r="C80" s="130" t="s">
        <v>451</v>
      </c>
      <c r="D80" s="129">
        <v>2910</v>
      </c>
      <c r="E80" s="130" t="s">
        <v>3480</v>
      </c>
      <c r="G80" s="56">
        <v>39568</v>
      </c>
      <c r="H80" s="1"/>
    </row>
    <row r="81" spans="1:8" x14ac:dyDescent="0.2">
      <c r="A81" s="48">
        <v>39506</v>
      </c>
      <c r="B81" s="49" t="s">
        <v>899</v>
      </c>
      <c r="C81" s="50" t="s">
        <v>4027</v>
      </c>
      <c r="D81" s="51">
        <v>2936</v>
      </c>
      <c r="E81" s="50" t="s">
        <v>1562</v>
      </c>
      <c r="G81" s="56">
        <v>39638</v>
      </c>
    </row>
    <row r="82" spans="1:8" x14ac:dyDescent="0.2">
      <c r="A82" s="48">
        <v>39484</v>
      </c>
      <c r="B82" s="49" t="s">
        <v>1518</v>
      </c>
      <c r="C82" s="50" t="s">
        <v>451</v>
      </c>
      <c r="D82" s="51">
        <v>2946</v>
      </c>
      <c r="E82" s="50" t="s">
        <v>3162</v>
      </c>
      <c r="G82" s="56">
        <v>39582</v>
      </c>
    </row>
    <row r="83" spans="1:8" x14ac:dyDescent="0.2">
      <c r="A83" s="126">
        <v>39498</v>
      </c>
      <c r="B83" s="127" t="s">
        <v>2893</v>
      </c>
      <c r="C83" s="130" t="s">
        <v>2877</v>
      </c>
      <c r="D83" s="129">
        <v>2951</v>
      </c>
      <c r="E83" s="130" t="s">
        <v>3176</v>
      </c>
      <c r="G83" s="56">
        <v>39708</v>
      </c>
    </row>
    <row r="84" spans="1:8" s="1" customFormat="1" x14ac:dyDescent="0.2">
      <c r="A84" s="126">
        <v>39500</v>
      </c>
      <c r="B84" s="127" t="s">
        <v>3951</v>
      </c>
      <c r="C84" s="130" t="s">
        <v>1819</v>
      </c>
      <c r="D84" s="129">
        <v>2955</v>
      </c>
      <c r="E84" s="130" t="s">
        <v>3485</v>
      </c>
      <c r="F84" s="50"/>
      <c r="G84" s="56">
        <v>39708</v>
      </c>
      <c r="H84"/>
    </row>
    <row r="85" spans="1:8" s="1" customFormat="1" x14ac:dyDescent="0.2">
      <c r="A85" s="126">
        <v>39503</v>
      </c>
      <c r="B85" s="127" t="s">
        <v>1185</v>
      </c>
      <c r="C85" s="130" t="s">
        <v>451</v>
      </c>
      <c r="D85" s="129">
        <v>2958</v>
      </c>
      <c r="E85" s="130" t="s">
        <v>3478</v>
      </c>
      <c r="F85" s="50"/>
      <c r="G85" s="56">
        <v>39594</v>
      </c>
      <c r="H85"/>
    </row>
    <row r="86" spans="1:8" ht="25.5" x14ac:dyDescent="0.2">
      <c r="A86" s="126">
        <v>39503</v>
      </c>
      <c r="B86" s="127" t="s">
        <v>2829</v>
      </c>
      <c r="C86" s="130" t="s">
        <v>2877</v>
      </c>
      <c r="D86" s="129">
        <v>2959</v>
      </c>
      <c r="E86" s="130" t="s">
        <v>3478</v>
      </c>
      <c r="G86" s="56">
        <v>39708</v>
      </c>
    </row>
    <row r="87" spans="1:8" s="1" customFormat="1" x14ac:dyDescent="0.2">
      <c r="A87" s="126">
        <v>39503</v>
      </c>
      <c r="B87" s="127" t="s">
        <v>1206</v>
      </c>
      <c r="C87" s="130" t="s">
        <v>451</v>
      </c>
      <c r="D87" s="129">
        <v>2960</v>
      </c>
      <c r="E87" s="130" t="s">
        <v>3162</v>
      </c>
      <c r="F87" s="50"/>
      <c r="G87" s="56">
        <v>39708</v>
      </c>
      <c r="H87"/>
    </row>
    <row r="88" spans="1:8" s="1" customFormat="1" x14ac:dyDescent="0.2">
      <c r="A88" s="126">
        <v>39503</v>
      </c>
      <c r="B88" s="127" t="s">
        <v>1264</v>
      </c>
      <c r="C88" s="130" t="s">
        <v>451</v>
      </c>
      <c r="D88" s="129">
        <v>2961</v>
      </c>
      <c r="E88" s="130" t="s">
        <v>3485</v>
      </c>
      <c r="F88" s="50"/>
      <c r="G88" s="56">
        <v>39708</v>
      </c>
      <c r="H88"/>
    </row>
    <row r="89" spans="1:8" x14ac:dyDescent="0.2">
      <c r="A89" s="126">
        <v>39517</v>
      </c>
      <c r="B89" s="127" t="s">
        <v>97</v>
      </c>
      <c r="C89" s="130" t="s">
        <v>1819</v>
      </c>
      <c r="D89" s="129">
        <v>2962</v>
      </c>
      <c r="E89" s="130" t="s">
        <v>3478</v>
      </c>
      <c r="G89" s="56">
        <v>39909</v>
      </c>
    </row>
    <row r="90" spans="1:8" x14ac:dyDescent="0.2">
      <c r="A90" s="126">
        <v>39517</v>
      </c>
      <c r="B90" s="127" t="s">
        <v>1748</v>
      </c>
      <c r="C90" s="50" t="s">
        <v>3433</v>
      </c>
      <c r="D90" s="129">
        <v>2974</v>
      </c>
      <c r="E90" s="130" t="s">
        <v>3482</v>
      </c>
      <c r="G90" s="56">
        <v>39561</v>
      </c>
      <c r="H90" s="1"/>
    </row>
    <row r="91" spans="1:8" x14ac:dyDescent="0.2">
      <c r="A91" s="126">
        <v>39517</v>
      </c>
      <c r="B91" s="127" t="s">
        <v>1883</v>
      </c>
      <c r="C91" s="50" t="s">
        <v>3433</v>
      </c>
      <c r="D91" s="129">
        <v>2975</v>
      </c>
      <c r="E91" s="130" t="s">
        <v>3482</v>
      </c>
      <c r="G91" s="56">
        <v>39561</v>
      </c>
      <c r="H91" s="1"/>
    </row>
    <row r="92" spans="1:8" x14ac:dyDescent="0.2">
      <c r="A92" s="126">
        <v>39517</v>
      </c>
      <c r="B92" s="127" t="s">
        <v>184</v>
      </c>
      <c r="C92" s="130" t="s">
        <v>451</v>
      </c>
      <c r="D92" s="129">
        <v>2976</v>
      </c>
      <c r="E92" s="130" t="s">
        <v>3162</v>
      </c>
      <c r="G92" s="56">
        <v>39708</v>
      </c>
    </row>
    <row r="93" spans="1:8" x14ac:dyDescent="0.2">
      <c r="A93" s="126">
        <v>39517</v>
      </c>
      <c r="B93" s="127" t="s">
        <v>1048</v>
      </c>
      <c r="C93" s="130" t="s">
        <v>451</v>
      </c>
      <c r="D93" s="129">
        <v>2977</v>
      </c>
      <c r="E93" s="130" t="s">
        <v>3162</v>
      </c>
      <c r="G93" s="56">
        <v>39708</v>
      </c>
    </row>
    <row r="94" spans="1:8" x14ac:dyDescent="0.2">
      <c r="A94" s="126">
        <v>39526</v>
      </c>
      <c r="B94" s="127" t="s">
        <v>2876</v>
      </c>
      <c r="C94" s="130" t="s">
        <v>1819</v>
      </c>
      <c r="D94" s="129">
        <v>2981</v>
      </c>
      <c r="E94" s="130" t="s">
        <v>2069</v>
      </c>
      <c r="G94" s="56">
        <v>39708</v>
      </c>
    </row>
    <row r="95" spans="1:8" x14ac:dyDescent="0.2">
      <c r="A95" s="126">
        <v>39510</v>
      </c>
      <c r="B95" s="127" t="s">
        <v>675</v>
      </c>
      <c r="C95" s="130" t="s">
        <v>408</v>
      </c>
      <c r="D95" s="129">
        <v>2996</v>
      </c>
      <c r="E95" s="130" t="s">
        <v>3483</v>
      </c>
      <c r="G95" s="56">
        <v>39708</v>
      </c>
    </row>
    <row r="96" spans="1:8" x14ac:dyDescent="0.2">
      <c r="A96" s="126">
        <v>39588</v>
      </c>
      <c r="B96" s="127" t="s">
        <v>884</v>
      </c>
      <c r="C96" s="130" t="s">
        <v>885</v>
      </c>
      <c r="D96" s="129">
        <v>3030</v>
      </c>
      <c r="E96" s="130" t="s">
        <v>2069</v>
      </c>
      <c r="G96" s="56">
        <v>39624</v>
      </c>
      <c r="H96" s="1"/>
    </row>
    <row r="97" spans="1:8" x14ac:dyDescent="0.2">
      <c r="A97" s="126">
        <v>39632</v>
      </c>
      <c r="B97" s="127" t="s">
        <v>2422</v>
      </c>
      <c r="C97" s="130" t="s">
        <v>4027</v>
      </c>
      <c r="D97" s="129">
        <v>3036</v>
      </c>
      <c r="E97" s="130"/>
      <c r="G97" s="56">
        <v>39818</v>
      </c>
    </row>
    <row r="98" spans="1:8" x14ac:dyDescent="0.2">
      <c r="A98" s="126">
        <v>39632</v>
      </c>
      <c r="B98" s="127" t="s">
        <v>450</v>
      </c>
      <c r="C98" s="130" t="s">
        <v>4027</v>
      </c>
      <c r="D98" s="129">
        <v>3039</v>
      </c>
      <c r="E98" s="130" t="s">
        <v>3478</v>
      </c>
      <c r="G98" s="56">
        <v>39708</v>
      </c>
    </row>
    <row r="99" spans="1:8" x14ac:dyDescent="0.2">
      <c r="A99" s="126">
        <v>39609</v>
      </c>
      <c r="B99" s="127" t="s">
        <v>559</v>
      </c>
      <c r="C99" s="130" t="s">
        <v>634</v>
      </c>
      <c r="D99" s="129">
        <v>3040</v>
      </c>
      <c r="E99" s="130" t="s">
        <v>3483</v>
      </c>
      <c r="G99" s="56">
        <v>39644</v>
      </c>
      <c r="H99" s="1"/>
    </row>
    <row r="100" spans="1:8" x14ac:dyDescent="0.2">
      <c r="A100" s="48">
        <v>39632</v>
      </c>
      <c r="B100" s="49" t="s">
        <v>3229</v>
      </c>
      <c r="C100" s="50" t="s">
        <v>4027</v>
      </c>
      <c r="D100" s="51">
        <v>3042</v>
      </c>
      <c r="E100" s="50" t="s">
        <v>3486</v>
      </c>
      <c r="G100" s="56">
        <v>39828</v>
      </c>
    </row>
    <row r="101" spans="1:8" x14ac:dyDescent="0.2">
      <c r="A101" s="48">
        <v>39573</v>
      </c>
      <c r="B101" s="49" t="s">
        <v>3727</v>
      </c>
      <c r="C101" s="50" t="s">
        <v>3433</v>
      </c>
      <c r="D101" s="51">
        <v>3059</v>
      </c>
      <c r="E101" s="50" t="s">
        <v>3485</v>
      </c>
      <c r="G101" s="56">
        <v>39582</v>
      </c>
    </row>
    <row r="102" spans="1:8" x14ac:dyDescent="0.2">
      <c r="A102" s="48">
        <v>39633</v>
      </c>
      <c r="B102" s="49" t="s">
        <v>1769</v>
      </c>
      <c r="C102" s="50" t="s">
        <v>3433</v>
      </c>
      <c r="D102" s="51">
        <v>3061</v>
      </c>
      <c r="E102" s="50" t="s">
        <v>3165</v>
      </c>
      <c r="G102" s="56">
        <v>39769</v>
      </c>
    </row>
    <row r="103" spans="1:8" x14ac:dyDescent="0.2">
      <c r="A103" s="48">
        <v>39573</v>
      </c>
      <c r="B103" s="49" t="s">
        <v>3727</v>
      </c>
      <c r="C103" s="50" t="s">
        <v>3433</v>
      </c>
      <c r="D103" s="51">
        <v>3062</v>
      </c>
      <c r="E103" s="50" t="s">
        <v>3485</v>
      </c>
      <c r="G103" s="56">
        <v>39582</v>
      </c>
    </row>
    <row r="104" spans="1:8" x14ac:dyDescent="0.2">
      <c r="A104" s="126">
        <v>39545</v>
      </c>
      <c r="B104" s="127" t="s">
        <v>715</v>
      </c>
      <c r="C104" s="130" t="s">
        <v>2877</v>
      </c>
      <c r="D104" s="129">
        <v>3066</v>
      </c>
      <c r="E104" s="130" t="s">
        <v>3480</v>
      </c>
      <c r="G104" s="56">
        <v>39708</v>
      </c>
    </row>
    <row r="105" spans="1:8" x14ac:dyDescent="0.2">
      <c r="A105" s="48">
        <v>39593</v>
      </c>
      <c r="B105" s="49" t="s">
        <v>3235</v>
      </c>
      <c r="C105" s="50" t="s">
        <v>1819</v>
      </c>
      <c r="D105" s="51">
        <v>3073</v>
      </c>
      <c r="E105" s="50" t="s">
        <v>3478</v>
      </c>
      <c r="G105" s="56">
        <v>39855</v>
      </c>
    </row>
    <row r="106" spans="1:8" x14ac:dyDescent="0.2">
      <c r="A106" s="126">
        <v>39556</v>
      </c>
      <c r="B106" s="127" t="s">
        <v>616</v>
      </c>
      <c r="C106" s="130" t="s">
        <v>451</v>
      </c>
      <c r="D106" s="129">
        <v>3080</v>
      </c>
      <c r="E106" s="130" t="s">
        <v>3162</v>
      </c>
      <c r="G106" s="56">
        <v>39624</v>
      </c>
    </row>
    <row r="107" spans="1:8" x14ac:dyDescent="0.2">
      <c r="A107" s="126">
        <v>39556</v>
      </c>
      <c r="B107" s="127" t="s">
        <v>1855</v>
      </c>
      <c r="C107" s="130" t="s">
        <v>451</v>
      </c>
      <c r="D107" s="129">
        <v>3081</v>
      </c>
      <c r="E107" s="130" t="s">
        <v>3485</v>
      </c>
      <c r="G107" s="56">
        <v>39568</v>
      </c>
      <c r="H107" s="1"/>
    </row>
    <row r="108" spans="1:8" hidden="1" x14ac:dyDescent="0.2">
      <c r="A108" s="39">
        <v>39024</v>
      </c>
      <c r="B108" s="40" t="s">
        <v>1028</v>
      </c>
      <c r="C108" s="42" t="s">
        <v>544</v>
      </c>
      <c r="D108" s="43">
        <v>855</v>
      </c>
      <c r="E108" s="41" t="s">
        <v>2780</v>
      </c>
      <c r="F108" s="41"/>
    </row>
    <row r="109" spans="1:8" x14ac:dyDescent="0.2">
      <c r="A109" s="48">
        <v>39556</v>
      </c>
      <c r="B109" s="49" t="s">
        <v>2942</v>
      </c>
      <c r="C109" s="50" t="s">
        <v>451</v>
      </c>
      <c r="D109" s="51">
        <v>3092</v>
      </c>
      <c r="E109" s="50" t="s">
        <v>3162</v>
      </c>
      <c r="G109" s="56">
        <v>39582</v>
      </c>
    </row>
    <row r="110" spans="1:8" x14ac:dyDescent="0.2">
      <c r="A110" s="126">
        <v>39584</v>
      </c>
      <c r="B110" s="127" t="s">
        <v>742</v>
      </c>
      <c r="C110" s="130" t="s">
        <v>1819</v>
      </c>
      <c r="D110" s="129">
        <v>3095</v>
      </c>
      <c r="E110" s="130" t="s">
        <v>2504</v>
      </c>
      <c r="G110" s="56">
        <v>39597</v>
      </c>
      <c r="H110" s="1"/>
    </row>
    <row r="111" spans="1:8" x14ac:dyDescent="0.2">
      <c r="A111" s="126">
        <v>39589</v>
      </c>
      <c r="B111" s="127" t="s">
        <v>2161</v>
      </c>
      <c r="C111" s="130" t="s">
        <v>1819</v>
      </c>
      <c r="D111" s="129">
        <v>3096</v>
      </c>
      <c r="E111" s="130" t="s">
        <v>2162</v>
      </c>
      <c r="G111" s="56">
        <v>39764</v>
      </c>
    </row>
    <row r="112" spans="1:8" x14ac:dyDescent="0.2">
      <c r="A112" s="126">
        <v>39568</v>
      </c>
      <c r="B112" s="127" t="s">
        <v>48</v>
      </c>
      <c r="C112" s="130" t="s">
        <v>4027</v>
      </c>
      <c r="D112" s="129">
        <v>3099</v>
      </c>
      <c r="E112" s="130" t="s">
        <v>3478</v>
      </c>
      <c r="G112" s="56">
        <v>39708</v>
      </c>
    </row>
    <row r="113" spans="1:8" x14ac:dyDescent="0.2">
      <c r="A113" s="126">
        <v>39587</v>
      </c>
      <c r="B113" s="127" t="s">
        <v>1875</v>
      </c>
      <c r="C113" s="130" t="s">
        <v>3433</v>
      </c>
      <c r="D113" s="129">
        <v>3101</v>
      </c>
      <c r="E113" s="130" t="s">
        <v>3485</v>
      </c>
      <c r="G113" s="56">
        <v>39597</v>
      </c>
    </row>
    <row r="114" spans="1:8" x14ac:dyDescent="0.2">
      <c r="A114" s="48">
        <v>39587</v>
      </c>
      <c r="B114" s="49" t="s">
        <v>883</v>
      </c>
      <c r="C114" s="50" t="s">
        <v>3433</v>
      </c>
      <c r="D114" s="51">
        <v>3104</v>
      </c>
      <c r="E114" s="50" t="s">
        <v>3485</v>
      </c>
      <c r="G114" s="56">
        <v>39597</v>
      </c>
    </row>
    <row r="115" spans="1:8" x14ac:dyDescent="0.2">
      <c r="A115" s="48">
        <v>39584</v>
      </c>
      <c r="B115" s="49" t="s">
        <v>1439</v>
      </c>
      <c r="C115" s="50" t="s">
        <v>3433</v>
      </c>
      <c r="D115" s="51">
        <v>3105</v>
      </c>
      <c r="E115" s="50" t="s">
        <v>2504</v>
      </c>
      <c r="G115" s="56">
        <v>39624</v>
      </c>
    </row>
    <row r="116" spans="1:8" x14ac:dyDescent="0.2">
      <c r="A116" s="48">
        <v>39601</v>
      </c>
      <c r="B116" s="49" t="s">
        <v>3738</v>
      </c>
      <c r="C116" s="50" t="s">
        <v>3433</v>
      </c>
      <c r="D116" s="51">
        <v>3114</v>
      </c>
      <c r="E116" s="50" t="s">
        <v>3162</v>
      </c>
      <c r="G116" s="56">
        <v>39877</v>
      </c>
    </row>
    <row r="117" spans="1:8" x14ac:dyDescent="0.2">
      <c r="A117" s="126">
        <v>39622</v>
      </c>
      <c r="B117" s="127" t="s">
        <v>2421</v>
      </c>
      <c r="C117" s="130" t="s">
        <v>4027</v>
      </c>
      <c r="D117" s="129">
        <v>3115</v>
      </c>
      <c r="E117" s="130"/>
      <c r="G117" s="56">
        <v>39818</v>
      </c>
    </row>
    <row r="118" spans="1:8" hidden="1" x14ac:dyDescent="0.2">
      <c r="A118" s="39">
        <v>39007</v>
      </c>
      <c r="B118" s="40" t="s">
        <v>1532</v>
      </c>
      <c r="C118" s="42" t="s">
        <v>1819</v>
      </c>
      <c r="D118" s="43">
        <v>987</v>
      </c>
      <c r="E118" s="41" t="s">
        <v>3175</v>
      </c>
      <c r="F118" s="41"/>
    </row>
    <row r="119" spans="1:8" x14ac:dyDescent="0.2">
      <c r="A119" s="48">
        <v>39618</v>
      </c>
      <c r="B119" s="49" t="s">
        <v>1083</v>
      </c>
      <c r="C119" s="50" t="s">
        <v>1404</v>
      </c>
      <c r="D119" s="51">
        <v>3124</v>
      </c>
      <c r="G119" s="56">
        <v>39940</v>
      </c>
    </row>
    <row r="120" spans="1:8" x14ac:dyDescent="0.2">
      <c r="A120" s="48">
        <v>39603</v>
      </c>
      <c r="B120" s="49" t="s">
        <v>473</v>
      </c>
      <c r="C120" s="50" t="s">
        <v>474</v>
      </c>
      <c r="D120" s="51">
        <v>3126</v>
      </c>
      <c r="E120" s="50" t="s">
        <v>3480</v>
      </c>
      <c r="G120" s="56">
        <v>39769</v>
      </c>
    </row>
    <row r="121" spans="1:8" x14ac:dyDescent="0.2">
      <c r="A121" s="126">
        <v>39603</v>
      </c>
      <c r="B121" s="127" t="s">
        <v>2577</v>
      </c>
      <c r="C121" s="130" t="s">
        <v>1819</v>
      </c>
      <c r="D121" s="129">
        <v>3127</v>
      </c>
      <c r="E121" s="130" t="s">
        <v>564</v>
      </c>
      <c r="G121" s="56">
        <v>39609</v>
      </c>
    </row>
    <row r="122" spans="1:8" x14ac:dyDescent="0.2">
      <c r="A122" s="39">
        <v>39993</v>
      </c>
      <c r="B122" s="40" t="s">
        <v>762</v>
      </c>
      <c r="C122" s="41" t="s">
        <v>1819</v>
      </c>
      <c r="D122" s="43">
        <v>3128</v>
      </c>
      <c r="E122" s="41" t="s">
        <v>1758</v>
      </c>
      <c r="F122" s="41"/>
      <c r="G122" s="56">
        <v>39685</v>
      </c>
    </row>
    <row r="123" spans="1:8" x14ac:dyDescent="0.2">
      <c r="A123" s="126">
        <v>39602</v>
      </c>
      <c r="B123" s="127" t="s">
        <v>957</v>
      </c>
      <c r="C123" s="130" t="s">
        <v>3433</v>
      </c>
      <c r="D123" s="129">
        <v>3129</v>
      </c>
      <c r="E123" s="130" t="s">
        <v>2080</v>
      </c>
      <c r="G123" s="56">
        <v>39623</v>
      </c>
      <c r="H123" s="1"/>
    </row>
    <row r="124" spans="1:8" x14ac:dyDescent="0.2">
      <c r="A124" s="48">
        <v>39603</v>
      </c>
      <c r="B124" s="49" t="s">
        <v>3244</v>
      </c>
      <c r="C124" s="50" t="s">
        <v>1819</v>
      </c>
      <c r="D124" s="51">
        <v>3130</v>
      </c>
      <c r="E124" s="50" t="s">
        <v>3332</v>
      </c>
      <c r="G124" s="56">
        <v>39622</v>
      </c>
      <c r="H124" s="16"/>
    </row>
    <row r="125" spans="1:8" x14ac:dyDescent="0.2">
      <c r="A125" s="48">
        <v>39632</v>
      </c>
      <c r="B125" s="49" t="s">
        <v>3228</v>
      </c>
      <c r="C125" s="50" t="s">
        <v>3433</v>
      </c>
      <c r="D125" s="51">
        <v>3131</v>
      </c>
      <c r="E125" s="50" t="s">
        <v>3482</v>
      </c>
      <c r="G125" s="56">
        <v>39769</v>
      </c>
    </row>
    <row r="126" spans="1:8" x14ac:dyDescent="0.2">
      <c r="A126" s="48">
        <v>39602</v>
      </c>
      <c r="B126" s="49" t="s">
        <v>2671</v>
      </c>
      <c r="C126" s="50" t="s">
        <v>3433</v>
      </c>
      <c r="D126" s="51">
        <v>3132</v>
      </c>
      <c r="E126" s="50" t="s">
        <v>3162</v>
      </c>
      <c r="G126" s="56">
        <v>39875</v>
      </c>
    </row>
    <row r="127" spans="1:8" s="1" customFormat="1" x14ac:dyDescent="0.2">
      <c r="A127" s="48">
        <v>39636</v>
      </c>
      <c r="B127" s="49" t="s">
        <v>1435</v>
      </c>
      <c r="C127" s="50" t="s">
        <v>1819</v>
      </c>
      <c r="D127" s="51">
        <v>3134</v>
      </c>
      <c r="E127" s="50" t="s">
        <v>3482</v>
      </c>
      <c r="F127" s="50"/>
      <c r="G127" s="56">
        <v>39769</v>
      </c>
      <c r="H127"/>
    </row>
    <row r="128" spans="1:8" x14ac:dyDescent="0.2">
      <c r="A128" s="48">
        <v>39602</v>
      </c>
      <c r="B128" s="49" t="s">
        <v>2301</v>
      </c>
      <c r="C128" s="50" t="s">
        <v>3433</v>
      </c>
      <c r="D128" s="51">
        <v>3135</v>
      </c>
      <c r="E128" s="50" t="s">
        <v>3483</v>
      </c>
      <c r="G128" s="56">
        <v>39828</v>
      </c>
    </row>
    <row r="129" spans="1:8" x14ac:dyDescent="0.2">
      <c r="A129" s="48">
        <v>39610</v>
      </c>
      <c r="B129" s="49" t="s">
        <v>2163</v>
      </c>
      <c r="C129" s="50" t="s">
        <v>4027</v>
      </c>
      <c r="D129" s="51">
        <v>3137</v>
      </c>
      <c r="E129" s="50" t="s">
        <v>3486</v>
      </c>
      <c r="G129" s="56">
        <v>39764</v>
      </c>
    </row>
    <row r="130" spans="1:8" x14ac:dyDescent="0.2">
      <c r="A130" s="48">
        <v>39602</v>
      </c>
      <c r="B130" s="49" t="s">
        <v>870</v>
      </c>
      <c r="C130" s="50" t="s">
        <v>3433</v>
      </c>
      <c r="D130" s="51">
        <v>3138</v>
      </c>
      <c r="E130" s="50" t="s">
        <v>3162</v>
      </c>
      <c r="G130" s="56">
        <v>39764</v>
      </c>
    </row>
    <row r="131" spans="1:8" x14ac:dyDescent="0.2">
      <c r="A131" s="48">
        <v>39603</v>
      </c>
      <c r="B131" s="49" t="s">
        <v>416</v>
      </c>
      <c r="C131" s="50" t="s">
        <v>3433</v>
      </c>
      <c r="D131" s="51">
        <v>3139</v>
      </c>
      <c r="E131" s="50" t="s">
        <v>304</v>
      </c>
      <c r="G131" s="56">
        <v>39856</v>
      </c>
    </row>
    <row r="132" spans="1:8" x14ac:dyDescent="0.2">
      <c r="A132" s="48">
        <v>39542</v>
      </c>
      <c r="B132" s="49" t="s">
        <v>2572</v>
      </c>
      <c r="C132" s="50" t="s">
        <v>3433</v>
      </c>
      <c r="D132" s="51">
        <v>3140</v>
      </c>
      <c r="G132" s="56">
        <v>39764</v>
      </c>
    </row>
    <row r="133" spans="1:8" x14ac:dyDescent="0.2">
      <c r="A133" s="126">
        <v>39647</v>
      </c>
      <c r="B133" s="127" t="s">
        <v>1504</v>
      </c>
      <c r="C133" s="130" t="s">
        <v>1819</v>
      </c>
      <c r="D133" s="129">
        <v>3142</v>
      </c>
      <c r="E133" s="130" t="s">
        <v>3162</v>
      </c>
      <c r="G133" s="56">
        <v>39741</v>
      </c>
    </row>
    <row r="134" spans="1:8" x14ac:dyDescent="0.2">
      <c r="A134" s="48">
        <v>39589</v>
      </c>
      <c r="B134" s="49" t="s">
        <v>303</v>
      </c>
      <c r="C134" s="50" t="s">
        <v>3433</v>
      </c>
      <c r="D134" s="51">
        <v>3162</v>
      </c>
      <c r="E134" s="50" t="s">
        <v>304</v>
      </c>
      <c r="G134" s="56">
        <v>39769</v>
      </c>
    </row>
    <row r="135" spans="1:8" x14ac:dyDescent="0.2">
      <c r="A135" s="126">
        <v>39589</v>
      </c>
      <c r="B135" s="127" t="s">
        <v>3505</v>
      </c>
      <c r="C135" s="50" t="s">
        <v>3433</v>
      </c>
      <c r="D135" s="129">
        <v>3165</v>
      </c>
      <c r="E135" s="130"/>
      <c r="F135" s="50" t="s">
        <v>3506</v>
      </c>
      <c r="G135" s="56">
        <v>39708</v>
      </c>
      <c r="H135" s="1"/>
    </row>
    <row r="136" spans="1:8" x14ac:dyDescent="0.2">
      <c r="A136" s="126">
        <v>39541</v>
      </c>
      <c r="B136" s="127" t="s">
        <v>3820</v>
      </c>
      <c r="C136" s="50" t="s">
        <v>2877</v>
      </c>
      <c r="D136" s="129">
        <v>3175</v>
      </c>
      <c r="E136" s="130" t="s">
        <v>3478</v>
      </c>
      <c r="G136" s="56">
        <v>39555</v>
      </c>
    </row>
    <row r="137" spans="1:8" x14ac:dyDescent="0.2">
      <c r="A137" s="126">
        <v>39601</v>
      </c>
      <c r="B137" s="127" t="s">
        <v>3348</v>
      </c>
      <c r="C137" s="130" t="s">
        <v>1841</v>
      </c>
      <c r="D137" s="129">
        <v>3186</v>
      </c>
      <c r="E137" s="130" t="s">
        <v>3162</v>
      </c>
      <c r="G137" s="56">
        <v>39623</v>
      </c>
    </row>
    <row r="138" spans="1:8" x14ac:dyDescent="0.2">
      <c r="A138" s="48">
        <v>39638</v>
      </c>
      <c r="B138" s="49" t="s">
        <v>2412</v>
      </c>
      <c r="C138" s="50" t="s">
        <v>1819</v>
      </c>
      <c r="D138" s="51">
        <v>3230</v>
      </c>
      <c r="E138" s="50" t="s">
        <v>3478</v>
      </c>
      <c r="G138" s="56">
        <v>39748</v>
      </c>
    </row>
    <row r="139" spans="1:8" x14ac:dyDescent="0.2">
      <c r="A139" s="48">
        <v>39623</v>
      </c>
      <c r="B139" s="49" t="s">
        <v>302</v>
      </c>
      <c r="C139" s="50" t="s">
        <v>1819</v>
      </c>
      <c r="D139" s="51">
        <v>3231</v>
      </c>
      <c r="E139" s="50" t="s">
        <v>1758</v>
      </c>
      <c r="G139" s="56">
        <v>39769</v>
      </c>
      <c r="H139" s="1"/>
    </row>
    <row r="140" spans="1:8" x14ac:dyDescent="0.2">
      <c r="A140" s="126">
        <v>39639</v>
      </c>
      <c r="B140" s="127" t="s">
        <v>1503</v>
      </c>
      <c r="C140" s="130" t="s">
        <v>1819</v>
      </c>
      <c r="D140" s="129">
        <v>3232</v>
      </c>
      <c r="E140" s="130" t="s">
        <v>3479</v>
      </c>
      <c r="G140" s="56">
        <v>39741</v>
      </c>
    </row>
    <row r="141" spans="1:8" x14ac:dyDescent="0.2">
      <c r="A141" s="48">
        <v>39638</v>
      </c>
      <c r="B141" s="49" t="s">
        <v>3062</v>
      </c>
      <c r="C141" s="50" t="s">
        <v>1819</v>
      </c>
      <c r="D141" s="51">
        <v>3236</v>
      </c>
      <c r="E141" s="50" t="s">
        <v>3480</v>
      </c>
      <c r="G141" s="56">
        <v>39769</v>
      </c>
    </row>
    <row r="142" spans="1:8" x14ac:dyDescent="0.2">
      <c r="A142" s="126">
        <v>39608</v>
      </c>
      <c r="B142" s="127" t="s">
        <v>959</v>
      </c>
      <c r="C142" s="130" t="s">
        <v>3433</v>
      </c>
      <c r="D142" s="129">
        <v>3241</v>
      </c>
      <c r="E142" s="130" t="s">
        <v>3485</v>
      </c>
      <c r="G142" s="56">
        <v>39623</v>
      </c>
    </row>
    <row r="143" spans="1:8" x14ac:dyDescent="0.2">
      <c r="A143" s="48">
        <v>39547</v>
      </c>
      <c r="B143" s="49" t="s">
        <v>1906</v>
      </c>
      <c r="C143" s="50" t="s">
        <v>1843</v>
      </c>
      <c r="D143" s="51">
        <v>3243</v>
      </c>
      <c r="E143" s="50" t="s">
        <v>3479</v>
      </c>
      <c r="G143" s="56">
        <v>39595</v>
      </c>
    </row>
    <row r="144" spans="1:8" x14ac:dyDescent="0.2">
      <c r="A144" s="126">
        <v>39639</v>
      </c>
      <c r="B144" s="127" t="s">
        <v>2523</v>
      </c>
      <c r="C144" s="130" t="s">
        <v>1819</v>
      </c>
      <c r="D144" s="129">
        <v>3249</v>
      </c>
      <c r="E144" s="130" t="s">
        <v>3837</v>
      </c>
      <c r="G144" s="56">
        <v>39818</v>
      </c>
    </row>
    <row r="145" spans="1:8" x14ac:dyDescent="0.2">
      <c r="A145" s="48">
        <v>39602</v>
      </c>
      <c r="B145" s="49" t="s">
        <v>349</v>
      </c>
      <c r="C145" s="50" t="s">
        <v>1819</v>
      </c>
      <c r="D145" s="51">
        <v>3250</v>
      </c>
      <c r="E145" s="50" t="s">
        <v>3483</v>
      </c>
      <c r="G145" s="56">
        <v>39860</v>
      </c>
    </row>
    <row r="146" spans="1:8" s="16" customFormat="1" x14ac:dyDescent="0.2">
      <c r="A146" s="48">
        <v>39632</v>
      </c>
      <c r="B146" s="49" t="s">
        <v>3228</v>
      </c>
      <c r="C146" s="50" t="s">
        <v>3433</v>
      </c>
      <c r="D146" s="51">
        <v>3252</v>
      </c>
      <c r="E146" s="50" t="s">
        <v>3482</v>
      </c>
      <c r="F146" s="50"/>
      <c r="G146" s="56">
        <v>39769</v>
      </c>
      <c r="H146"/>
    </row>
    <row r="147" spans="1:8" x14ac:dyDescent="0.2">
      <c r="A147" s="48">
        <v>39608</v>
      </c>
      <c r="B147" s="49" t="s">
        <v>2209</v>
      </c>
      <c r="C147" s="50" t="s">
        <v>408</v>
      </c>
      <c r="D147" s="51">
        <v>3253</v>
      </c>
      <c r="E147" s="50" t="s">
        <v>433</v>
      </c>
      <c r="G147" s="56">
        <v>39769</v>
      </c>
    </row>
    <row r="148" spans="1:8" x14ac:dyDescent="0.2">
      <c r="A148" s="48">
        <v>39540</v>
      </c>
      <c r="B148" s="49" t="s">
        <v>2769</v>
      </c>
      <c r="C148" s="50" t="s">
        <v>1819</v>
      </c>
      <c r="D148" s="51">
        <v>3279</v>
      </c>
      <c r="E148" s="50" t="s">
        <v>3483</v>
      </c>
      <c r="G148" s="56">
        <v>39583</v>
      </c>
    </row>
    <row r="149" spans="1:8" x14ac:dyDescent="0.2">
      <c r="A149" s="126">
        <v>39538</v>
      </c>
      <c r="B149" s="127" t="s">
        <v>1768</v>
      </c>
      <c r="C149" s="130" t="s">
        <v>1819</v>
      </c>
      <c r="D149" s="129">
        <v>3294</v>
      </c>
      <c r="E149" s="130" t="s">
        <v>3482</v>
      </c>
      <c r="G149" s="56">
        <v>39708</v>
      </c>
    </row>
    <row r="150" spans="1:8" x14ac:dyDescent="0.2">
      <c r="A150" s="48">
        <v>39545</v>
      </c>
      <c r="B150" s="49" t="s">
        <v>2765</v>
      </c>
      <c r="C150" s="50" t="s">
        <v>1819</v>
      </c>
      <c r="D150" s="51">
        <v>3299</v>
      </c>
      <c r="E150" s="50" t="s">
        <v>3162</v>
      </c>
      <c r="G150" s="56">
        <v>39818</v>
      </c>
    </row>
    <row r="151" spans="1:8" x14ac:dyDescent="0.2">
      <c r="A151" s="48">
        <v>39665</v>
      </c>
      <c r="B151" s="49" t="s">
        <v>872</v>
      </c>
      <c r="C151" s="50" t="s">
        <v>3433</v>
      </c>
      <c r="D151" s="51">
        <v>4015</v>
      </c>
      <c r="E151" s="50" t="s">
        <v>2504</v>
      </c>
      <c r="G151" s="56">
        <v>39927</v>
      </c>
    </row>
    <row r="152" spans="1:8" x14ac:dyDescent="0.2">
      <c r="A152" s="126">
        <v>39695</v>
      </c>
      <c r="B152" s="127" t="s">
        <v>3231</v>
      </c>
      <c r="C152" s="130" t="s">
        <v>1404</v>
      </c>
      <c r="D152" s="129">
        <v>4018</v>
      </c>
      <c r="E152" s="130" t="s">
        <v>3162</v>
      </c>
      <c r="G152" s="56">
        <v>39708</v>
      </c>
      <c r="H152" s="1"/>
    </row>
    <row r="153" spans="1:8" x14ac:dyDescent="0.2">
      <c r="A153" s="126">
        <v>39713</v>
      </c>
      <c r="B153" s="127" t="s">
        <v>3114</v>
      </c>
      <c r="C153" s="130" t="s">
        <v>3963</v>
      </c>
      <c r="D153" s="129">
        <v>4071</v>
      </c>
      <c r="E153" s="130" t="s">
        <v>3162</v>
      </c>
      <c r="G153" s="56">
        <v>39818</v>
      </c>
    </row>
    <row r="154" spans="1:8" x14ac:dyDescent="0.2">
      <c r="A154" s="126">
        <v>39735</v>
      </c>
      <c r="B154" s="127" t="s">
        <v>1571</v>
      </c>
      <c r="C154" s="130" t="s">
        <v>3963</v>
      </c>
      <c r="D154" s="129">
        <v>4084</v>
      </c>
      <c r="E154" s="130" t="s">
        <v>1021</v>
      </c>
      <c r="G154" s="56">
        <v>39748</v>
      </c>
    </row>
    <row r="155" spans="1:8" x14ac:dyDescent="0.2">
      <c r="A155" s="48">
        <v>39644</v>
      </c>
      <c r="B155" s="49" t="s">
        <v>3259</v>
      </c>
      <c r="C155" s="50" t="s">
        <v>451</v>
      </c>
      <c r="D155" s="51">
        <v>4090</v>
      </c>
      <c r="E155" s="50" t="s">
        <v>3478</v>
      </c>
      <c r="G155" s="56">
        <v>39960</v>
      </c>
    </row>
    <row r="156" spans="1:8" x14ac:dyDescent="0.2">
      <c r="A156" s="126">
        <v>39650</v>
      </c>
      <c r="B156" s="127" t="s">
        <v>2320</v>
      </c>
      <c r="C156" s="130" t="s">
        <v>3433</v>
      </c>
      <c r="D156" s="129">
        <v>4111</v>
      </c>
      <c r="E156" s="130" t="s">
        <v>3162</v>
      </c>
      <c r="G156" s="56">
        <v>39741</v>
      </c>
    </row>
    <row r="157" spans="1:8" x14ac:dyDescent="0.2">
      <c r="A157" s="48">
        <v>39650</v>
      </c>
      <c r="B157" s="49" t="s">
        <v>1349</v>
      </c>
      <c r="C157" s="50" t="s">
        <v>1819</v>
      </c>
      <c r="D157" s="51">
        <v>4112</v>
      </c>
      <c r="E157" s="50" t="s">
        <v>3162</v>
      </c>
      <c r="G157" s="56">
        <v>39828</v>
      </c>
    </row>
    <row r="158" spans="1:8" x14ac:dyDescent="0.2">
      <c r="A158" s="126">
        <v>39652</v>
      </c>
      <c r="B158" s="127" t="s">
        <v>824</v>
      </c>
      <c r="C158" s="130" t="s">
        <v>4027</v>
      </c>
      <c r="D158" s="129">
        <v>4113</v>
      </c>
      <c r="E158" s="130" t="s">
        <v>3480</v>
      </c>
      <c r="G158" s="56">
        <v>39769</v>
      </c>
    </row>
    <row r="159" spans="1:8" x14ac:dyDescent="0.2">
      <c r="A159" s="48">
        <v>39654</v>
      </c>
      <c r="B159" s="49" t="s">
        <v>2571</v>
      </c>
      <c r="C159" s="50" t="s">
        <v>1819</v>
      </c>
      <c r="D159" s="51">
        <v>4114</v>
      </c>
      <c r="E159" s="50" t="s">
        <v>838</v>
      </c>
      <c r="G159" s="56">
        <v>39877</v>
      </c>
    </row>
    <row r="160" spans="1:8" x14ac:dyDescent="0.2">
      <c r="A160" s="48">
        <v>39661</v>
      </c>
      <c r="B160" s="49" t="s">
        <v>1976</v>
      </c>
      <c r="C160" s="50" t="s">
        <v>3433</v>
      </c>
      <c r="D160" s="51">
        <v>4118</v>
      </c>
      <c r="E160" s="50" t="s">
        <v>3485</v>
      </c>
      <c r="G160" s="56">
        <v>39769</v>
      </c>
    </row>
    <row r="161" spans="1:8" x14ac:dyDescent="0.2">
      <c r="A161" s="48">
        <v>39661</v>
      </c>
      <c r="B161" s="49" t="s">
        <v>3662</v>
      </c>
      <c r="C161" s="50" t="s">
        <v>4027</v>
      </c>
      <c r="D161" s="51">
        <v>4119</v>
      </c>
      <c r="E161" s="50" t="s">
        <v>3175</v>
      </c>
      <c r="G161" s="56">
        <v>39764</v>
      </c>
    </row>
    <row r="162" spans="1:8" x14ac:dyDescent="0.2">
      <c r="A162" s="48">
        <v>39661</v>
      </c>
      <c r="B162" s="49" t="s">
        <v>394</v>
      </c>
      <c r="C162" s="50" t="s">
        <v>1819</v>
      </c>
      <c r="D162" s="51">
        <v>4120</v>
      </c>
      <c r="E162" s="50" t="s">
        <v>3162</v>
      </c>
      <c r="G162" s="56">
        <v>39764</v>
      </c>
    </row>
    <row r="163" spans="1:8" x14ac:dyDescent="0.2">
      <c r="A163" s="126">
        <v>39569</v>
      </c>
      <c r="B163" s="127" t="s">
        <v>1526</v>
      </c>
      <c r="C163" s="130" t="s">
        <v>3433</v>
      </c>
      <c r="D163" s="129">
        <v>4121</v>
      </c>
      <c r="E163" s="130" t="s">
        <v>3162</v>
      </c>
      <c r="G163" s="56">
        <v>39841</v>
      </c>
    </row>
    <row r="164" spans="1:8" x14ac:dyDescent="0.2">
      <c r="A164" s="48">
        <v>39665</v>
      </c>
      <c r="B164" s="49" t="s">
        <v>2478</v>
      </c>
      <c r="C164" s="50" t="s">
        <v>4027</v>
      </c>
      <c r="D164" s="51">
        <v>4122</v>
      </c>
      <c r="E164" s="50" t="s">
        <v>3478</v>
      </c>
      <c r="G164" s="56">
        <v>39855</v>
      </c>
    </row>
    <row r="165" spans="1:8" x14ac:dyDescent="0.2">
      <c r="A165" s="126">
        <v>39689</v>
      </c>
      <c r="B165" s="127" t="s">
        <v>1904</v>
      </c>
      <c r="C165" s="130" t="s">
        <v>3433</v>
      </c>
      <c r="D165" s="129">
        <v>4124</v>
      </c>
      <c r="E165" s="130" t="s">
        <v>2504</v>
      </c>
      <c r="G165" s="56">
        <v>39828</v>
      </c>
    </row>
    <row r="166" spans="1:8" x14ac:dyDescent="0.2">
      <c r="A166" s="126">
        <v>39690</v>
      </c>
      <c r="B166" s="127" t="s">
        <v>1930</v>
      </c>
      <c r="C166" s="130" t="s">
        <v>3433</v>
      </c>
      <c r="D166" s="129">
        <v>4125</v>
      </c>
      <c r="E166" s="130" t="s">
        <v>3480</v>
      </c>
      <c r="G166" s="56">
        <v>39877</v>
      </c>
    </row>
    <row r="167" spans="1:8" x14ac:dyDescent="0.2">
      <c r="A167" s="126">
        <v>39690</v>
      </c>
      <c r="B167" s="127" t="s">
        <v>156</v>
      </c>
      <c r="C167" s="130" t="s">
        <v>3433</v>
      </c>
      <c r="D167" s="129">
        <v>4126</v>
      </c>
      <c r="E167" s="130" t="s">
        <v>3162</v>
      </c>
      <c r="G167" s="56">
        <v>39855</v>
      </c>
    </row>
    <row r="168" spans="1:8" x14ac:dyDescent="0.2">
      <c r="A168" s="126">
        <v>39693</v>
      </c>
      <c r="B168" s="127" t="s">
        <v>2615</v>
      </c>
      <c r="C168" s="130" t="s">
        <v>3433</v>
      </c>
      <c r="D168" s="129">
        <v>4127</v>
      </c>
      <c r="E168" s="130" t="s">
        <v>3480</v>
      </c>
      <c r="G168" s="56">
        <v>39748</v>
      </c>
    </row>
    <row r="169" spans="1:8" x14ac:dyDescent="0.2">
      <c r="A169" s="48">
        <v>39693</v>
      </c>
      <c r="B169" s="49" t="s">
        <v>3653</v>
      </c>
      <c r="C169" s="50" t="s">
        <v>4027</v>
      </c>
      <c r="D169" s="51">
        <v>4129</v>
      </c>
      <c r="E169" s="50" t="s">
        <v>2789</v>
      </c>
      <c r="G169" s="56">
        <v>39818</v>
      </c>
      <c r="H169" s="16"/>
    </row>
    <row r="170" spans="1:8" x14ac:dyDescent="0.2">
      <c r="A170" s="126">
        <v>39693</v>
      </c>
      <c r="B170" s="127" t="s">
        <v>267</v>
      </c>
      <c r="C170" s="130" t="s">
        <v>4027</v>
      </c>
      <c r="D170" s="129">
        <v>4130</v>
      </c>
      <c r="E170" s="130" t="s">
        <v>3478</v>
      </c>
      <c r="G170" s="56">
        <v>39828</v>
      </c>
    </row>
    <row r="171" spans="1:8" x14ac:dyDescent="0.2">
      <c r="A171" s="126">
        <v>39696</v>
      </c>
      <c r="B171" s="127" t="s">
        <v>2120</v>
      </c>
      <c r="C171" s="130" t="s">
        <v>408</v>
      </c>
      <c r="D171" s="129">
        <v>4131</v>
      </c>
      <c r="E171" s="130" t="s">
        <v>3486</v>
      </c>
      <c r="G171" s="56">
        <v>39741</v>
      </c>
    </row>
    <row r="172" spans="1:8" x14ac:dyDescent="0.2">
      <c r="A172" s="48">
        <v>39696</v>
      </c>
      <c r="B172" s="49" t="s">
        <v>2670</v>
      </c>
      <c r="C172" s="50" t="s">
        <v>1819</v>
      </c>
      <c r="D172" s="51">
        <v>4132</v>
      </c>
      <c r="G172" s="56">
        <v>39776</v>
      </c>
    </row>
    <row r="173" spans="1:8" x14ac:dyDescent="0.2">
      <c r="A173" s="126">
        <v>39699</v>
      </c>
      <c r="B173" s="127" t="s">
        <v>1556</v>
      </c>
      <c r="C173" s="130" t="s">
        <v>1557</v>
      </c>
      <c r="D173" s="129">
        <v>4133</v>
      </c>
      <c r="E173" s="130" t="s">
        <v>2789</v>
      </c>
      <c r="G173" s="56">
        <v>39818</v>
      </c>
    </row>
    <row r="174" spans="1:8" x14ac:dyDescent="0.2">
      <c r="A174" s="126">
        <v>39699</v>
      </c>
      <c r="B174" s="127" t="s">
        <v>3940</v>
      </c>
      <c r="C174" s="130" t="s">
        <v>408</v>
      </c>
      <c r="D174" s="129">
        <v>4134</v>
      </c>
      <c r="E174" s="130" t="s">
        <v>3486</v>
      </c>
      <c r="G174" s="56">
        <v>39708</v>
      </c>
      <c r="H174" s="1"/>
    </row>
    <row r="175" spans="1:8" x14ac:dyDescent="0.2">
      <c r="A175" s="126">
        <v>39700</v>
      </c>
      <c r="B175" s="127" t="s">
        <v>1949</v>
      </c>
      <c r="C175" s="130" t="s">
        <v>3433</v>
      </c>
      <c r="D175" s="129">
        <v>4135</v>
      </c>
      <c r="E175" s="130" t="s">
        <v>3162</v>
      </c>
      <c r="G175" s="56">
        <v>39741</v>
      </c>
      <c r="H175" s="1"/>
    </row>
    <row r="176" spans="1:8" x14ac:dyDescent="0.2">
      <c r="A176" s="126">
        <v>39707</v>
      </c>
      <c r="B176" s="127" t="s">
        <v>395</v>
      </c>
      <c r="C176" s="130" t="s">
        <v>3433</v>
      </c>
      <c r="D176" s="129">
        <v>4137</v>
      </c>
      <c r="E176" s="130" t="s">
        <v>2789</v>
      </c>
      <c r="G176" s="56">
        <v>40080</v>
      </c>
    </row>
    <row r="177" spans="1:7" x14ac:dyDescent="0.2">
      <c r="A177" s="48">
        <v>39707</v>
      </c>
      <c r="B177" s="49" t="s">
        <v>3691</v>
      </c>
      <c r="C177" s="50" t="s">
        <v>4027</v>
      </c>
      <c r="D177" s="51">
        <v>4138</v>
      </c>
      <c r="E177" s="50" t="s">
        <v>3483</v>
      </c>
      <c r="G177" s="56">
        <v>39748</v>
      </c>
    </row>
    <row r="178" spans="1:7" x14ac:dyDescent="0.2">
      <c r="A178" s="48">
        <v>39709</v>
      </c>
      <c r="B178" s="49" t="s">
        <v>3113</v>
      </c>
      <c r="C178" s="50" t="s">
        <v>1819</v>
      </c>
      <c r="D178" s="51">
        <v>4139</v>
      </c>
      <c r="E178" s="50" t="s">
        <v>3162</v>
      </c>
      <c r="G178" s="56">
        <v>39748</v>
      </c>
    </row>
    <row r="179" spans="1:7" x14ac:dyDescent="0.2">
      <c r="A179" s="126">
        <v>39713</v>
      </c>
      <c r="B179" s="127" t="s">
        <v>2084</v>
      </c>
      <c r="C179" s="130" t="s">
        <v>3433</v>
      </c>
      <c r="D179" s="129">
        <v>4140</v>
      </c>
      <c r="E179" s="130" t="s">
        <v>758</v>
      </c>
      <c r="G179" s="56">
        <v>39854</v>
      </c>
    </row>
    <row r="180" spans="1:7" x14ac:dyDescent="0.2">
      <c r="A180" s="48">
        <v>39713</v>
      </c>
      <c r="B180" s="49" t="s">
        <v>2101</v>
      </c>
      <c r="C180" s="50" t="s">
        <v>1843</v>
      </c>
      <c r="D180" s="51">
        <v>4141</v>
      </c>
      <c r="E180" s="50" t="s">
        <v>3486</v>
      </c>
      <c r="G180" s="56">
        <v>39945</v>
      </c>
    </row>
    <row r="181" spans="1:7" x14ac:dyDescent="0.2">
      <c r="A181" s="48">
        <v>39713</v>
      </c>
      <c r="B181" s="49" t="s">
        <v>3780</v>
      </c>
      <c r="C181" s="50" t="s">
        <v>3433</v>
      </c>
      <c r="D181" s="51">
        <v>4142</v>
      </c>
      <c r="E181" s="50" t="s">
        <v>3837</v>
      </c>
      <c r="G181" s="56">
        <v>39903</v>
      </c>
    </row>
    <row r="182" spans="1:7" x14ac:dyDescent="0.2">
      <c r="A182" s="126">
        <v>39714</v>
      </c>
      <c r="B182" s="127" t="s">
        <v>3644</v>
      </c>
      <c r="C182" s="130" t="s">
        <v>3433</v>
      </c>
      <c r="D182" s="129">
        <v>4143</v>
      </c>
      <c r="E182" s="130" t="s">
        <v>1562</v>
      </c>
      <c r="G182" s="56">
        <v>39769</v>
      </c>
    </row>
    <row r="183" spans="1:7" x14ac:dyDescent="0.2">
      <c r="A183" s="126">
        <v>39721</v>
      </c>
      <c r="B183" s="127" t="s">
        <v>761</v>
      </c>
      <c r="C183" s="130" t="s">
        <v>4027</v>
      </c>
      <c r="D183" s="129">
        <v>4144</v>
      </c>
      <c r="E183" s="130" t="s">
        <v>3480</v>
      </c>
      <c r="G183" s="56">
        <v>39769</v>
      </c>
    </row>
    <row r="184" spans="1:7" x14ac:dyDescent="0.2">
      <c r="A184" s="126">
        <v>39732</v>
      </c>
      <c r="B184" s="127" t="s">
        <v>756</v>
      </c>
      <c r="C184" s="130" t="s">
        <v>3433</v>
      </c>
      <c r="D184" s="129">
        <v>4145</v>
      </c>
      <c r="E184" s="130" t="s">
        <v>3485</v>
      </c>
      <c r="G184" s="56">
        <v>39748</v>
      </c>
    </row>
    <row r="185" spans="1:7" x14ac:dyDescent="0.2">
      <c r="A185" s="126">
        <v>39723</v>
      </c>
      <c r="B185" s="127" t="s">
        <v>1919</v>
      </c>
      <c r="C185" s="130" t="s">
        <v>1819</v>
      </c>
      <c r="D185" s="129">
        <v>4146</v>
      </c>
      <c r="E185" s="130" t="s">
        <v>3165</v>
      </c>
      <c r="G185" s="56">
        <v>39818</v>
      </c>
    </row>
    <row r="186" spans="1:7" x14ac:dyDescent="0.2">
      <c r="A186" s="48">
        <v>39730</v>
      </c>
      <c r="B186" s="49" t="s">
        <v>2782</v>
      </c>
      <c r="C186" s="50" t="s">
        <v>1819</v>
      </c>
      <c r="D186" s="51">
        <v>4147</v>
      </c>
      <c r="E186" s="50" t="s">
        <v>3480</v>
      </c>
      <c r="G186" s="56">
        <v>39748</v>
      </c>
    </row>
    <row r="187" spans="1:7" x14ac:dyDescent="0.2">
      <c r="A187" s="48">
        <v>39730</v>
      </c>
      <c r="B187" s="49" t="s">
        <v>989</v>
      </c>
      <c r="C187" s="50" t="s">
        <v>1819</v>
      </c>
      <c r="D187" s="51">
        <v>4148</v>
      </c>
      <c r="E187" s="50" t="s">
        <v>3162</v>
      </c>
      <c r="G187" s="56">
        <v>39748</v>
      </c>
    </row>
    <row r="188" spans="1:7" x14ac:dyDescent="0.2">
      <c r="A188" s="48">
        <v>39730</v>
      </c>
      <c r="B188" s="49" t="s">
        <v>435</v>
      </c>
      <c r="C188" s="50" t="s">
        <v>1819</v>
      </c>
      <c r="D188" s="51">
        <v>4149</v>
      </c>
      <c r="E188" s="50" t="s">
        <v>3165</v>
      </c>
      <c r="G188" s="56">
        <v>39748</v>
      </c>
    </row>
    <row r="189" spans="1:7" x14ac:dyDescent="0.2">
      <c r="A189" s="48">
        <v>39730</v>
      </c>
      <c r="B189" s="49" t="s">
        <v>2443</v>
      </c>
      <c r="C189" s="50" t="s">
        <v>2877</v>
      </c>
      <c r="D189" s="51">
        <v>4150</v>
      </c>
      <c r="E189" s="50" t="s">
        <v>1021</v>
      </c>
      <c r="G189" s="56">
        <v>39883</v>
      </c>
    </row>
    <row r="190" spans="1:7" x14ac:dyDescent="0.2">
      <c r="A190" s="48">
        <v>39731</v>
      </c>
      <c r="B190" s="49" t="s">
        <v>2168</v>
      </c>
      <c r="C190" s="50" t="s">
        <v>3433</v>
      </c>
      <c r="D190" s="51">
        <v>4151</v>
      </c>
      <c r="E190" s="50" t="s">
        <v>3162</v>
      </c>
      <c r="G190" s="56">
        <v>39748</v>
      </c>
    </row>
    <row r="191" spans="1:7" x14ac:dyDescent="0.2">
      <c r="A191" s="48">
        <v>39741</v>
      </c>
      <c r="B191" s="49" t="s">
        <v>2444</v>
      </c>
      <c r="C191" s="50" t="s">
        <v>4027</v>
      </c>
      <c r="D191" s="51">
        <v>4152</v>
      </c>
      <c r="E191" s="50" t="s">
        <v>758</v>
      </c>
      <c r="G191" s="56">
        <v>39748</v>
      </c>
    </row>
    <row r="192" spans="1:7" x14ac:dyDescent="0.2">
      <c r="A192" s="48">
        <v>39742</v>
      </c>
      <c r="B192" s="49" t="s">
        <v>3629</v>
      </c>
      <c r="C192" s="50" t="s">
        <v>1404</v>
      </c>
      <c r="D192" s="51">
        <v>4153</v>
      </c>
      <c r="E192" s="50" t="s">
        <v>3480</v>
      </c>
      <c r="G192" s="56">
        <v>39940</v>
      </c>
    </row>
    <row r="193" spans="1:8" x14ac:dyDescent="0.2">
      <c r="A193" s="126">
        <v>39686</v>
      </c>
      <c r="B193" s="127" t="s">
        <v>1762</v>
      </c>
      <c r="C193" s="130" t="s">
        <v>3433</v>
      </c>
      <c r="D193" s="129">
        <v>4155</v>
      </c>
      <c r="E193" s="130" t="s">
        <v>1562</v>
      </c>
      <c r="G193" s="56">
        <v>39707</v>
      </c>
      <c r="H193" s="1"/>
    </row>
    <row r="194" spans="1:8" x14ac:dyDescent="0.2">
      <c r="A194" s="126">
        <v>39734</v>
      </c>
      <c r="B194" s="127" t="s">
        <v>2324</v>
      </c>
      <c r="C194" s="130" t="s">
        <v>1819</v>
      </c>
      <c r="D194" s="129">
        <v>4168</v>
      </c>
      <c r="E194" s="130" t="s">
        <v>3478</v>
      </c>
      <c r="G194" s="56">
        <v>39748</v>
      </c>
    </row>
    <row r="195" spans="1:8" x14ac:dyDescent="0.2">
      <c r="A195" s="48">
        <v>39734</v>
      </c>
      <c r="B195" s="49" t="s">
        <v>1285</v>
      </c>
      <c r="C195" s="50" t="s">
        <v>2566</v>
      </c>
      <c r="D195" s="51">
        <v>4169</v>
      </c>
      <c r="E195" s="50" t="s">
        <v>3482</v>
      </c>
      <c r="G195" s="56">
        <v>39748</v>
      </c>
    </row>
    <row r="196" spans="1:8" x14ac:dyDescent="0.2">
      <c r="A196" s="126">
        <v>39730</v>
      </c>
      <c r="B196" s="127" t="s">
        <v>915</v>
      </c>
      <c r="C196" s="130" t="s">
        <v>1819</v>
      </c>
      <c r="D196" s="129">
        <v>4175</v>
      </c>
      <c r="E196" s="130" t="s">
        <v>1562</v>
      </c>
      <c r="G196" s="56">
        <v>39927</v>
      </c>
    </row>
    <row r="197" spans="1:8" x14ac:dyDescent="0.2">
      <c r="A197" s="126">
        <v>39820</v>
      </c>
      <c r="B197" s="127" t="s">
        <v>2673</v>
      </c>
      <c r="C197" s="130" t="s">
        <v>1819</v>
      </c>
      <c r="D197" s="129">
        <v>4233</v>
      </c>
      <c r="E197" s="130" t="s">
        <v>3162</v>
      </c>
      <c r="G197" s="56">
        <v>39841</v>
      </c>
    </row>
    <row r="198" spans="1:8" x14ac:dyDescent="0.2">
      <c r="A198" s="126">
        <v>39801</v>
      </c>
      <c r="B198" s="127" t="s">
        <v>1376</v>
      </c>
      <c r="C198" s="130" t="s">
        <v>451</v>
      </c>
      <c r="D198" s="129">
        <v>4254</v>
      </c>
      <c r="E198" s="130" t="s">
        <v>3162</v>
      </c>
      <c r="G198" s="56">
        <v>39857</v>
      </c>
    </row>
    <row r="199" spans="1:8" x14ac:dyDescent="0.2">
      <c r="A199" s="48">
        <v>39801</v>
      </c>
      <c r="B199" s="49" t="s">
        <v>385</v>
      </c>
      <c r="C199" s="50" t="s">
        <v>408</v>
      </c>
      <c r="D199" s="51">
        <v>4257</v>
      </c>
      <c r="E199" s="50" t="s">
        <v>2504</v>
      </c>
      <c r="G199" s="56">
        <v>39909</v>
      </c>
    </row>
    <row r="200" spans="1:8" x14ac:dyDescent="0.2">
      <c r="A200" s="126">
        <v>39791</v>
      </c>
      <c r="B200" s="127" t="s">
        <v>1633</v>
      </c>
      <c r="C200" s="130" t="s">
        <v>3433</v>
      </c>
      <c r="D200" s="129">
        <v>4265</v>
      </c>
      <c r="E200" s="130" t="s">
        <v>3480</v>
      </c>
      <c r="G200" s="56">
        <v>39875</v>
      </c>
    </row>
    <row r="201" spans="1:8" x14ac:dyDescent="0.2">
      <c r="A201" s="48">
        <v>39801</v>
      </c>
      <c r="B201" s="49" t="s">
        <v>1015</v>
      </c>
      <c r="C201" s="50" t="s">
        <v>1404</v>
      </c>
      <c r="D201" s="51">
        <v>4268</v>
      </c>
      <c r="E201" s="50" t="s">
        <v>3480</v>
      </c>
      <c r="G201" s="56">
        <v>39832</v>
      </c>
    </row>
    <row r="202" spans="1:8" x14ac:dyDescent="0.2">
      <c r="A202" s="126">
        <v>39821</v>
      </c>
      <c r="B202" s="127" t="s">
        <v>384</v>
      </c>
      <c r="C202" s="130" t="s">
        <v>1819</v>
      </c>
      <c r="D202" s="129">
        <v>4280</v>
      </c>
      <c r="E202" s="130" t="s">
        <v>3478</v>
      </c>
      <c r="G202" s="56">
        <v>39855</v>
      </c>
    </row>
    <row r="203" spans="1:8" x14ac:dyDescent="0.2">
      <c r="A203" s="48">
        <v>39995</v>
      </c>
      <c r="B203" s="49" t="s">
        <v>1018</v>
      </c>
      <c r="C203" s="50" t="s">
        <v>3433</v>
      </c>
      <c r="D203" s="51">
        <v>4281</v>
      </c>
      <c r="E203" s="50" t="s">
        <v>433</v>
      </c>
      <c r="G203" s="56">
        <v>39996</v>
      </c>
    </row>
    <row r="204" spans="1:8" x14ac:dyDescent="0.2">
      <c r="A204" s="126">
        <v>39793</v>
      </c>
      <c r="B204" s="127" t="s">
        <v>3013</v>
      </c>
      <c r="C204" s="130" t="s">
        <v>4027</v>
      </c>
      <c r="D204" s="129">
        <v>4282</v>
      </c>
      <c r="E204" s="130"/>
      <c r="G204" s="56">
        <v>39818</v>
      </c>
    </row>
    <row r="205" spans="1:8" x14ac:dyDescent="0.2">
      <c r="A205" s="126">
        <v>39783</v>
      </c>
      <c r="B205" s="127" t="s">
        <v>2420</v>
      </c>
      <c r="C205" s="130" t="s">
        <v>1819</v>
      </c>
      <c r="D205" s="129">
        <v>4284</v>
      </c>
      <c r="E205" s="130" t="s">
        <v>2069</v>
      </c>
      <c r="G205" s="56">
        <v>39818</v>
      </c>
    </row>
    <row r="206" spans="1:8" x14ac:dyDescent="0.2">
      <c r="A206" s="48">
        <v>39848</v>
      </c>
      <c r="B206" s="49" t="s">
        <v>1013</v>
      </c>
      <c r="C206" s="50" t="s">
        <v>3433</v>
      </c>
      <c r="D206" s="51">
        <v>4286</v>
      </c>
      <c r="E206" s="50" t="s">
        <v>3162</v>
      </c>
      <c r="G206" s="56">
        <v>39861</v>
      </c>
    </row>
    <row r="207" spans="1:8" x14ac:dyDescent="0.2">
      <c r="A207" s="126">
        <v>39853</v>
      </c>
      <c r="B207" s="127" t="s">
        <v>424</v>
      </c>
      <c r="C207" s="130" t="s">
        <v>2007</v>
      </c>
      <c r="D207" s="129">
        <v>4289</v>
      </c>
      <c r="E207" s="130" t="s">
        <v>3175</v>
      </c>
      <c r="G207" s="56">
        <v>39927</v>
      </c>
    </row>
    <row r="208" spans="1:8" x14ac:dyDescent="0.2">
      <c r="A208" s="126">
        <v>39848</v>
      </c>
      <c r="B208" s="127" t="s">
        <v>633</v>
      </c>
      <c r="C208" s="130" t="s">
        <v>3893</v>
      </c>
      <c r="D208" s="129">
        <v>4290</v>
      </c>
      <c r="E208" s="130" t="s">
        <v>2789</v>
      </c>
      <c r="G208" s="56">
        <v>39877</v>
      </c>
    </row>
    <row r="209" spans="1:7" x14ac:dyDescent="0.2">
      <c r="A209" s="126">
        <v>39774</v>
      </c>
      <c r="B209" s="127" t="s">
        <v>1870</v>
      </c>
      <c r="C209" s="130" t="s">
        <v>3433</v>
      </c>
      <c r="D209" s="129">
        <v>4291</v>
      </c>
      <c r="E209" s="130" t="s">
        <v>3478</v>
      </c>
      <c r="G209" s="56">
        <v>39834</v>
      </c>
    </row>
    <row r="210" spans="1:7" x14ac:dyDescent="0.2">
      <c r="A210" s="48">
        <v>39832</v>
      </c>
      <c r="B210" s="49" t="s">
        <v>3367</v>
      </c>
      <c r="C210" s="50" t="s">
        <v>1819</v>
      </c>
      <c r="D210" s="51">
        <v>4293</v>
      </c>
      <c r="E210" s="50" t="s">
        <v>3486</v>
      </c>
      <c r="G210" s="56">
        <v>39848</v>
      </c>
    </row>
    <row r="211" spans="1:7" x14ac:dyDescent="0.2">
      <c r="A211" s="48">
        <v>39798</v>
      </c>
      <c r="B211" s="49" t="s">
        <v>3011</v>
      </c>
      <c r="C211" s="50" t="s">
        <v>4027</v>
      </c>
      <c r="D211" s="51">
        <v>4294</v>
      </c>
      <c r="E211" s="50" t="s">
        <v>3478</v>
      </c>
      <c r="G211" s="56">
        <v>39927</v>
      </c>
    </row>
    <row r="212" spans="1:7" x14ac:dyDescent="0.2">
      <c r="A212" s="48">
        <v>39855</v>
      </c>
      <c r="B212" s="49" t="s">
        <v>1234</v>
      </c>
      <c r="C212" s="50" t="s">
        <v>408</v>
      </c>
      <c r="D212" s="51">
        <v>4295</v>
      </c>
      <c r="E212" s="50" t="s">
        <v>3162</v>
      </c>
      <c r="G212" s="56">
        <v>39903</v>
      </c>
    </row>
    <row r="213" spans="1:7" x14ac:dyDescent="0.2">
      <c r="A213" s="48">
        <v>39832</v>
      </c>
      <c r="B213" s="49" t="s">
        <v>3343</v>
      </c>
      <c r="C213" s="50" t="s">
        <v>3433</v>
      </c>
      <c r="D213" s="51">
        <v>4296</v>
      </c>
      <c r="E213" s="50" t="s">
        <v>3480</v>
      </c>
      <c r="G213" s="56">
        <v>39903</v>
      </c>
    </row>
    <row r="214" spans="1:7" x14ac:dyDescent="0.2">
      <c r="A214" s="126">
        <v>39855</v>
      </c>
      <c r="B214" s="127" t="s">
        <v>2567</v>
      </c>
      <c r="C214" s="130" t="s">
        <v>3433</v>
      </c>
      <c r="D214" s="129">
        <v>4298</v>
      </c>
      <c r="E214" s="130" t="s">
        <v>3480</v>
      </c>
      <c r="G214" s="56">
        <v>39945</v>
      </c>
    </row>
    <row r="215" spans="1:7" x14ac:dyDescent="0.2">
      <c r="A215" s="126">
        <v>39839</v>
      </c>
      <c r="B215" s="127" t="s">
        <v>1873</v>
      </c>
      <c r="C215" s="130" t="s">
        <v>3433</v>
      </c>
      <c r="D215" s="129">
        <v>4299</v>
      </c>
      <c r="E215" s="130" t="s">
        <v>3486</v>
      </c>
      <c r="G215" s="56">
        <v>39877</v>
      </c>
    </row>
    <row r="216" spans="1:7" ht="25.5" x14ac:dyDescent="0.2">
      <c r="A216" s="48">
        <v>39839</v>
      </c>
      <c r="B216" s="49" t="s">
        <v>586</v>
      </c>
      <c r="C216" s="50" t="s">
        <v>1819</v>
      </c>
      <c r="D216" s="51">
        <v>4302</v>
      </c>
      <c r="E216" s="50" t="s">
        <v>3486</v>
      </c>
      <c r="G216" s="56">
        <v>39994</v>
      </c>
    </row>
    <row r="217" spans="1:7" x14ac:dyDescent="0.2">
      <c r="A217" s="48">
        <v>39774</v>
      </c>
      <c r="B217" s="49" t="s">
        <v>2271</v>
      </c>
      <c r="C217" s="50" t="s">
        <v>3433</v>
      </c>
      <c r="D217" s="51">
        <v>4306</v>
      </c>
      <c r="E217" s="50" t="s">
        <v>3480</v>
      </c>
      <c r="G217" s="56">
        <v>39828</v>
      </c>
    </row>
    <row r="218" spans="1:7" x14ac:dyDescent="0.2">
      <c r="A218" s="126">
        <v>39773</v>
      </c>
      <c r="B218" s="127" t="s">
        <v>4019</v>
      </c>
      <c r="C218" s="130" t="s">
        <v>4027</v>
      </c>
      <c r="D218" s="129">
        <v>4307</v>
      </c>
      <c r="E218" s="130" t="s">
        <v>3478</v>
      </c>
      <c r="G218" s="56">
        <v>39828</v>
      </c>
    </row>
    <row r="219" spans="1:7" x14ac:dyDescent="0.2">
      <c r="A219" s="48">
        <v>39774</v>
      </c>
      <c r="B219" s="49" t="s">
        <v>3457</v>
      </c>
      <c r="C219" s="50" t="s">
        <v>3433</v>
      </c>
      <c r="D219" s="51">
        <v>4309</v>
      </c>
      <c r="E219" s="50" t="s">
        <v>3480</v>
      </c>
      <c r="G219" s="56">
        <v>39927</v>
      </c>
    </row>
    <row r="220" spans="1:7" x14ac:dyDescent="0.2">
      <c r="A220" s="126">
        <v>39774</v>
      </c>
      <c r="B220" s="127" t="s">
        <v>2315</v>
      </c>
      <c r="C220" s="130" t="s">
        <v>1404</v>
      </c>
      <c r="D220" s="129">
        <v>4310</v>
      </c>
      <c r="E220" s="130" t="s">
        <v>3486</v>
      </c>
      <c r="G220" s="56">
        <v>39875</v>
      </c>
    </row>
    <row r="221" spans="1:7" x14ac:dyDescent="0.2">
      <c r="A221" s="48">
        <v>39778</v>
      </c>
      <c r="B221" s="49" t="s">
        <v>596</v>
      </c>
      <c r="C221" s="50" t="s">
        <v>1819</v>
      </c>
      <c r="D221" s="51">
        <v>4311</v>
      </c>
      <c r="E221" s="50" t="s">
        <v>2504</v>
      </c>
      <c r="G221" s="56">
        <v>39860</v>
      </c>
    </row>
    <row r="222" spans="1:7" x14ac:dyDescent="0.2">
      <c r="A222" s="126">
        <v>39785</v>
      </c>
      <c r="B222" s="127" t="s">
        <v>3046</v>
      </c>
      <c r="C222" s="130" t="s">
        <v>1819</v>
      </c>
      <c r="D222" s="129">
        <v>4313</v>
      </c>
      <c r="E222" s="130" t="s">
        <v>3479</v>
      </c>
      <c r="G222" s="56">
        <v>39877</v>
      </c>
    </row>
    <row r="223" spans="1:7" x14ac:dyDescent="0.2">
      <c r="A223" s="126">
        <v>39780</v>
      </c>
      <c r="B223" s="127" t="s">
        <v>2674</v>
      </c>
      <c r="C223" s="130" t="s">
        <v>1819</v>
      </c>
      <c r="D223" s="129">
        <v>4315</v>
      </c>
      <c r="E223" s="130" t="s">
        <v>3486</v>
      </c>
      <c r="G223" s="56">
        <v>39860</v>
      </c>
    </row>
    <row r="224" spans="1:7" x14ac:dyDescent="0.2">
      <c r="A224" s="126">
        <v>39784</v>
      </c>
      <c r="B224" s="127" t="s">
        <v>379</v>
      </c>
      <c r="C224" s="130" t="s">
        <v>1819</v>
      </c>
      <c r="D224" s="129">
        <v>4317</v>
      </c>
      <c r="E224" s="130" t="s">
        <v>3162</v>
      </c>
      <c r="G224" s="56">
        <v>39877</v>
      </c>
    </row>
    <row r="225" spans="1:7" x14ac:dyDescent="0.2">
      <c r="A225" s="48">
        <v>39743</v>
      </c>
      <c r="B225" s="49" t="s">
        <v>3630</v>
      </c>
      <c r="C225" s="50" t="s">
        <v>3433</v>
      </c>
      <c r="D225" s="51">
        <v>4324</v>
      </c>
      <c r="E225" s="50" t="s">
        <v>3486</v>
      </c>
      <c r="G225" s="56">
        <v>39828</v>
      </c>
    </row>
    <row r="226" spans="1:7" x14ac:dyDescent="0.2">
      <c r="A226" s="48">
        <v>39744</v>
      </c>
      <c r="B226" s="49" t="s">
        <v>1626</v>
      </c>
      <c r="C226" s="50" t="s">
        <v>3433</v>
      </c>
      <c r="D226" s="51">
        <v>4325</v>
      </c>
      <c r="E226" s="50" t="s">
        <v>3485</v>
      </c>
      <c r="G226" s="56">
        <v>39856</v>
      </c>
    </row>
    <row r="227" spans="1:7" x14ac:dyDescent="0.2">
      <c r="A227" s="126">
        <v>39743</v>
      </c>
      <c r="B227" s="127" t="s">
        <v>1625</v>
      </c>
      <c r="C227" s="130" t="s">
        <v>1819</v>
      </c>
      <c r="D227" s="129">
        <v>4326</v>
      </c>
      <c r="E227" s="130" t="s">
        <v>3176</v>
      </c>
      <c r="G227" s="56">
        <v>39748</v>
      </c>
    </row>
    <row r="228" spans="1:7" x14ac:dyDescent="0.2">
      <c r="A228" s="126">
        <v>39749</v>
      </c>
      <c r="B228" s="127" t="s">
        <v>508</v>
      </c>
      <c r="C228" s="130" t="s">
        <v>1819</v>
      </c>
      <c r="D228" s="129">
        <v>4327</v>
      </c>
      <c r="E228" s="130" t="s">
        <v>509</v>
      </c>
      <c r="G228" s="56">
        <v>39764</v>
      </c>
    </row>
    <row r="229" spans="1:7" x14ac:dyDescent="0.2">
      <c r="A229" s="48">
        <v>39748</v>
      </c>
      <c r="B229" s="49" t="s">
        <v>3082</v>
      </c>
      <c r="C229" s="50" t="s">
        <v>3083</v>
      </c>
      <c r="D229" s="51">
        <v>4328</v>
      </c>
      <c r="E229" s="50" t="s">
        <v>3162</v>
      </c>
      <c r="G229" s="56">
        <v>39841</v>
      </c>
    </row>
    <row r="230" spans="1:7" x14ac:dyDescent="0.2">
      <c r="A230" s="48">
        <v>39776</v>
      </c>
      <c r="B230" s="49" t="s">
        <v>2038</v>
      </c>
      <c r="C230" s="50" t="s">
        <v>1819</v>
      </c>
      <c r="D230" s="51">
        <v>4333</v>
      </c>
      <c r="E230" s="50" t="s">
        <v>3480</v>
      </c>
      <c r="G230" s="56">
        <v>39828</v>
      </c>
    </row>
    <row r="231" spans="1:7" x14ac:dyDescent="0.2">
      <c r="A231" s="48">
        <v>39759</v>
      </c>
      <c r="B231" s="49" t="s">
        <v>1456</v>
      </c>
      <c r="C231" s="50" t="s">
        <v>3433</v>
      </c>
      <c r="D231" s="51">
        <v>4334</v>
      </c>
      <c r="E231" s="50" t="s">
        <v>2069</v>
      </c>
      <c r="G231" s="56">
        <v>39828</v>
      </c>
    </row>
    <row r="232" spans="1:7" x14ac:dyDescent="0.2">
      <c r="A232" s="48">
        <v>39759</v>
      </c>
      <c r="B232" s="49" t="s">
        <v>2087</v>
      </c>
      <c r="C232" s="50" t="s">
        <v>3433</v>
      </c>
      <c r="D232" s="51">
        <v>4335</v>
      </c>
      <c r="E232" s="50" t="s">
        <v>3162</v>
      </c>
      <c r="G232" s="56">
        <v>39877</v>
      </c>
    </row>
    <row r="233" spans="1:7" x14ac:dyDescent="0.2">
      <c r="A233" s="48">
        <v>39777</v>
      </c>
      <c r="B233" s="49" t="s">
        <v>530</v>
      </c>
      <c r="C233" s="50" t="s">
        <v>1819</v>
      </c>
      <c r="D233" s="51">
        <v>4336</v>
      </c>
      <c r="E233" s="50" t="s">
        <v>3162</v>
      </c>
      <c r="G233" s="56">
        <v>39828</v>
      </c>
    </row>
    <row r="234" spans="1:7" x14ac:dyDescent="0.2">
      <c r="A234" s="48">
        <v>39776</v>
      </c>
      <c r="B234" s="49" t="s">
        <v>1198</v>
      </c>
      <c r="C234" s="50" t="s">
        <v>1819</v>
      </c>
      <c r="D234" s="51">
        <v>4338</v>
      </c>
      <c r="E234" s="50" t="s">
        <v>2789</v>
      </c>
      <c r="G234" s="56">
        <v>39875</v>
      </c>
    </row>
    <row r="235" spans="1:7" x14ac:dyDescent="0.2">
      <c r="A235" s="126">
        <v>39778</v>
      </c>
      <c r="B235" s="127" t="s">
        <v>597</v>
      </c>
      <c r="C235" s="130" t="s">
        <v>1819</v>
      </c>
      <c r="D235" s="129">
        <v>4339</v>
      </c>
      <c r="E235" s="130" t="s">
        <v>3478</v>
      </c>
      <c r="G235" s="56">
        <v>39783</v>
      </c>
    </row>
    <row r="236" spans="1:7" x14ac:dyDescent="0.2">
      <c r="A236" s="126">
        <v>39778</v>
      </c>
      <c r="B236" s="127" t="s">
        <v>1201</v>
      </c>
      <c r="C236" s="130" t="s">
        <v>4027</v>
      </c>
      <c r="D236" s="129">
        <v>4341</v>
      </c>
      <c r="E236" s="130" t="s">
        <v>1202</v>
      </c>
      <c r="G236" s="56">
        <v>39818</v>
      </c>
    </row>
    <row r="237" spans="1:7" x14ac:dyDescent="0.2">
      <c r="A237" s="48">
        <v>39706</v>
      </c>
      <c r="B237" s="49" t="s">
        <v>229</v>
      </c>
      <c r="C237" s="50" t="s">
        <v>3433</v>
      </c>
      <c r="D237" s="51">
        <v>4345</v>
      </c>
      <c r="E237" s="50" t="s">
        <v>3478</v>
      </c>
      <c r="G237" s="56">
        <v>39855</v>
      </c>
    </row>
    <row r="238" spans="1:7" x14ac:dyDescent="0.2">
      <c r="A238" s="126">
        <v>39706</v>
      </c>
      <c r="B238" s="127" t="s">
        <v>647</v>
      </c>
      <c r="C238" s="130" t="s">
        <v>3433</v>
      </c>
      <c r="D238" s="129">
        <v>4347</v>
      </c>
      <c r="E238" s="130" t="s">
        <v>3480</v>
      </c>
      <c r="G238" s="56">
        <v>39828</v>
      </c>
    </row>
    <row r="239" spans="1:7" x14ac:dyDescent="0.2">
      <c r="A239" s="126">
        <v>39724</v>
      </c>
      <c r="B239" s="127" t="s">
        <v>734</v>
      </c>
      <c r="C239" s="130" t="s">
        <v>1819</v>
      </c>
      <c r="D239" s="129">
        <v>4348</v>
      </c>
      <c r="E239" s="130" t="s">
        <v>3478</v>
      </c>
      <c r="G239" s="56">
        <v>39769</v>
      </c>
    </row>
    <row r="240" spans="1:7" x14ac:dyDescent="0.2">
      <c r="A240" s="126">
        <v>39773</v>
      </c>
      <c r="B240" s="127" t="s">
        <v>159</v>
      </c>
      <c r="C240" s="130" t="s">
        <v>2316</v>
      </c>
      <c r="D240" s="129">
        <v>4516</v>
      </c>
      <c r="E240" s="130" t="s">
        <v>433</v>
      </c>
      <c r="G240" s="56">
        <v>40086</v>
      </c>
    </row>
    <row r="241" spans="1:7" x14ac:dyDescent="0.2">
      <c r="A241" s="126">
        <v>39792</v>
      </c>
      <c r="B241" s="127" t="s">
        <v>1199</v>
      </c>
      <c r="C241" s="130" t="s">
        <v>1819</v>
      </c>
      <c r="D241" s="129">
        <v>4555</v>
      </c>
      <c r="E241" s="130" t="s">
        <v>1200</v>
      </c>
      <c r="G241" s="56">
        <v>39818</v>
      </c>
    </row>
    <row r="242" spans="1:7" x14ac:dyDescent="0.2">
      <c r="A242" s="126">
        <v>39792</v>
      </c>
      <c r="B242" s="127" t="s">
        <v>1693</v>
      </c>
      <c r="C242" s="130" t="s">
        <v>3433</v>
      </c>
      <c r="D242" s="129">
        <v>4556</v>
      </c>
      <c r="E242" s="130" t="s">
        <v>3478</v>
      </c>
      <c r="G242" s="56">
        <v>39818</v>
      </c>
    </row>
    <row r="243" spans="1:7" x14ac:dyDescent="0.2">
      <c r="A243" s="126">
        <v>39818</v>
      </c>
      <c r="B243" s="127" t="s">
        <v>567</v>
      </c>
      <c r="C243" s="130" t="s">
        <v>3222</v>
      </c>
      <c r="D243" s="129">
        <v>4557</v>
      </c>
      <c r="E243" s="130" t="s">
        <v>2504</v>
      </c>
      <c r="G243" s="56">
        <v>39888</v>
      </c>
    </row>
    <row r="244" spans="1:7" x14ac:dyDescent="0.2">
      <c r="A244" s="48">
        <v>39818</v>
      </c>
      <c r="B244" s="49" t="s">
        <v>147</v>
      </c>
      <c r="C244" s="50" t="s">
        <v>451</v>
      </c>
      <c r="D244" s="51">
        <v>4560</v>
      </c>
      <c r="E244" s="50" t="s">
        <v>3162</v>
      </c>
      <c r="G244" s="56">
        <v>39875</v>
      </c>
    </row>
    <row r="245" spans="1:7" x14ac:dyDescent="0.2">
      <c r="A245" s="48">
        <v>39819</v>
      </c>
      <c r="B245" s="49" t="s">
        <v>3798</v>
      </c>
      <c r="C245" s="50" t="s">
        <v>1819</v>
      </c>
      <c r="D245" s="51">
        <v>4566</v>
      </c>
      <c r="E245" s="50" t="s">
        <v>1562</v>
      </c>
      <c r="G245" s="56">
        <v>40086</v>
      </c>
    </row>
    <row r="246" spans="1:7" x14ac:dyDescent="0.2">
      <c r="A246" s="48">
        <v>39832</v>
      </c>
      <c r="B246" s="49" t="s">
        <v>207</v>
      </c>
      <c r="C246" s="50" t="s">
        <v>3521</v>
      </c>
      <c r="D246" s="51">
        <v>4575</v>
      </c>
      <c r="E246" s="50" t="s">
        <v>3483</v>
      </c>
      <c r="G246" s="56">
        <v>40094</v>
      </c>
    </row>
    <row r="247" spans="1:7" x14ac:dyDescent="0.2">
      <c r="A247" s="126">
        <v>39849</v>
      </c>
      <c r="B247" s="127" t="s">
        <v>1809</v>
      </c>
      <c r="C247" s="130" t="s">
        <v>1819</v>
      </c>
      <c r="D247" s="129">
        <v>4591</v>
      </c>
      <c r="E247" s="130" t="s">
        <v>3486</v>
      </c>
      <c r="G247" s="56">
        <v>39860</v>
      </c>
    </row>
    <row r="248" spans="1:7" x14ac:dyDescent="0.2">
      <c r="A248" s="126">
        <v>39855</v>
      </c>
      <c r="B248" s="127" t="s">
        <v>3723</v>
      </c>
      <c r="C248" s="130" t="s">
        <v>3433</v>
      </c>
      <c r="D248" s="129">
        <v>4595</v>
      </c>
      <c r="E248" s="130" t="s">
        <v>3162</v>
      </c>
      <c r="G248" s="56">
        <v>39875</v>
      </c>
    </row>
    <row r="249" spans="1:7" x14ac:dyDescent="0.2">
      <c r="A249" s="126">
        <v>39863</v>
      </c>
      <c r="B249" s="127" t="s">
        <v>3758</v>
      </c>
      <c r="C249" s="130" t="s">
        <v>3433</v>
      </c>
      <c r="D249" s="129">
        <v>4598</v>
      </c>
      <c r="E249" s="130" t="s">
        <v>3162</v>
      </c>
      <c r="G249" s="56">
        <v>39875</v>
      </c>
    </row>
    <row r="250" spans="1:7" x14ac:dyDescent="0.2">
      <c r="A250" s="126">
        <v>39864</v>
      </c>
      <c r="B250" s="127" t="s">
        <v>2751</v>
      </c>
      <c r="C250" s="130" t="s">
        <v>3433</v>
      </c>
      <c r="D250" s="129">
        <v>4602</v>
      </c>
      <c r="E250" s="130" t="s">
        <v>3480</v>
      </c>
      <c r="G250" s="56">
        <v>39875</v>
      </c>
    </row>
    <row r="251" spans="1:7" x14ac:dyDescent="0.2">
      <c r="A251" s="126">
        <v>39864</v>
      </c>
      <c r="B251" s="127" t="s">
        <v>1638</v>
      </c>
      <c r="C251" s="130" t="s">
        <v>4027</v>
      </c>
      <c r="D251" s="129">
        <v>4611</v>
      </c>
      <c r="E251" s="130" t="s">
        <v>3480</v>
      </c>
      <c r="G251" s="56">
        <v>39877</v>
      </c>
    </row>
    <row r="252" spans="1:7" x14ac:dyDescent="0.2">
      <c r="A252" s="48">
        <v>39890</v>
      </c>
      <c r="B252" s="49" t="s">
        <v>32</v>
      </c>
      <c r="C252" s="50" t="s">
        <v>1819</v>
      </c>
      <c r="D252" s="51">
        <v>4623</v>
      </c>
      <c r="E252" s="50" t="s">
        <v>3165</v>
      </c>
      <c r="G252" s="56">
        <v>39891</v>
      </c>
    </row>
    <row r="253" spans="1:7" x14ac:dyDescent="0.2">
      <c r="A253" s="48">
        <v>39860</v>
      </c>
      <c r="B253" s="49" t="s">
        <v>2783</v>
      </c>
      <c r="C253" s="50" t="s">
        <v>1819</v>
      </c>
      <c r="D253" s="51">
        <v>4627</v>
      </c>
      <c r="E253" s="50" t="s">
        <v>2789</v>
      </c>
      <c r="G253" s="56">
        <v>39960</v>
      </c>
    </row>
    <row r="254" spans="1:7" x14ac:dyDescent="0.2">
      <c r="A254" s="126">
        <v>39837</v>
      </c>
      <c r="B254" s="127" t="s">
        <v>1874</v>
      </c>
      <c r="C254" s="130" t="s">
        <v>1819</v>
      </c>
      <c r="D254" s="129">
        <v>4630</v>
      </c>
      <c r="E254" s="130" t="s">
        <v>3479</v>
      </c>
      <c r="G254" s="56">
        <v>39909</v>
      </c>
    </row>
    <row r="255" spans="1:7" x14ac:dyDescent="0.2">
      <c r="A255" s="126">
        <v>39840</v>
      </c>
      <c r="B255" s="127" t="s">
        <v>3194</v>
      </c>
      <c r="C255" s="130" t="s">
        <v>1819</v>
      </c>
      <c r="D255" s="129">
        <v>4632</v>
      </c>
      <c r="E255" s="130" t="s">
        <v>3162</v>
      </c>
      <c r="G255" s="56">
        <v>39855</v>
      </c>
    </row>
    <row r="256" spans="1:7" x14ac:dyDescent="0.2">
      <c r="A256" s="126">
        <v>39874</v>
      </c>
      <c r="B256" s="127" t="s">
        <v>796</v>
      </c>
      <c r="C256" s="130" t="s">
        <v>4027</v>
      </c>
      <c r="D256" s="129">
        <v>4633</v>
      </c>
      <c r="E256" s="130" t="s">
        <v>3480</v>
      </c>
      <c r="G256" s="56">
        <v>39888</v>
      </c>
    </row>
    <row r="257" spans="1:7" x14ac:dyDescent="0.2">
      <c r="A257" s="48">
        <v>39995</v>
      </c>
      <c r="B257" s="49" t="s">
        <v>1017</v>
      </c>
      <c r="C257" s="50" t="s">
        <v>1819</v>
      </c>
      <c r="D257" s="51">
        <v>4635</v>
      </c>
      <c r="E257" s="50" t="s">
        <v>3165</v>
      </c>
      <c r="G257" s="56">
        <v>39996</v>
      </c>
    </row>
    <row r="258" spans="1:7" x14ac:dyDescent="0.2">
      <c r="A258" s="48">
        <v>39540</v>
      </c>
      <c r="B258" s="49" t="s">
        <v>441</v>
      </c>
      <c r="C258" s="50" t="s">
        <v>1819</v>
      </c>
      <c r="D258" s="51">
        <v>4638</v>
      </c>
      <c r="E258" s="50" t="s">
        <v>3480</v>
      </c>
      <c r="G258" s="56">
        <v>39909</v>
      </c>
    </row>
    <row r="259" spans="1:7" x14ac:dyDescent="0.2">
      <c r="A259" s="126">
        <v>39905</v>
      </c>
      <c r="B259" s="127" t="s">
        <v>1082</v>
      </c>
      <c r="C259" s="130" t="s">
        <v>451</v>
      </c>
      <c r="D259" s="129">
        <v>4639</v>
      </c>
      <c r="E259" s="130" t="s">
        <v>1562</v>
      </c>
      <c r="G259" s="56">
        <v>39940</v>
      </c>
    </row>
    <row r="260" spans="1:7" x14ac:dyDescent="0.2">
      <c r="A260" s="126">
        <v>39920</v>
      </c>
      <c r="B260" s="127" t="s">
        <v>986</v>
      </c>
      <c r="C260" s="50" t="s">
        <v>3433</v>
      </c>
      <c r="D260" s="129">
        <v>4641</v>
      </c>
      <c r="E260" s="130" t="s">
        <v>3480</v>
      </c>
      <c r="G260" s="56">
        <v>39939</v>
      </c>
    </row>
    <row r="261" spans="1:7" x14ac:dyDescent="0.2">
      <c r="A261" s="126">
        <v>39540</v>
      </c>
      <c r="B261" s="127" t="s">
        <v>1346</v>
      </c>
      <c r="C261" s="130" t="s">
        <v>3433</v>
      </c>
      <c r="D261" s="129">
        <v>4643</v>
      </c>
      <c r="E261" s="130" t="s">
        <v>3165</v>
      </c>
      <c r="G261" s="56">
        <v>39927</v>
      </c>
    </row>
    <row r="262" spans="1:7" x14ac:dyDescent="0.2">
      <c r="A262" s="48">
        <v>39919</v>
      </c>
      <c r="B262" s="49" t="s">
        <v>1925</v>
      </c>
      <c r="C262" s="50" t="s">
        <v>3433</v>
      </c>
      <c r="D262" s="51">
        <v>4644</v>
      </c>
      <c r="E262" s="50" t="s">
        <v>2504</v>
      </c>
      <c r="G262" s="56">
        <v>40080</v>
      </c>
    </row>
    <row r="263" spans="1:7" x14ac:dyDescent="0.2">
      <c r="A263" s="48">
        <v>39920</v>
      </c>
      <c r="B263" s="49" t="s">
        <v>3250</v>
      </c>
      <c r="C263" s="50" t="s">
        <v>3433</v>
      </c>
      <c r="D263" s="51">
        <v>4645</v>
      </c>
      <c r="E263" s="50" t="s">
        <v>3837</v>
      </c>
      <c r="G263" s="56">
        <v>40080</v>
      </c>
    </row>
    <row r="264" spans="1:7" x14ac:dyDescent="0.2">
      <c r="A264" s="48">
        <v>39919</v>
      </c>
      <c r="B264" s="49" t="s">
        <v>766</v>
      </c>
      <c r="C264" s="50" t="s">
        <v>3433</v>
      </c>
      <c r="D264" s="51">
        <v>4646</v>
      </c>
      <c r="E264" s="50" t="s">
        <v>1562</v>
      </c>
      <c r="G264" s="56">
        <v>39994</v>
      </c>
    </row>
    <row r="265" spans="1:7" x14ac:dyDescent="0.2">
      <c r="A265" s="126">
        <v>39923</v>
      </c>
      <c r="B265" s="127" t="s">
        <v>1262</v>
      </c>
      <c r="C265" s="130" t="s">
        <v>3433</v>
      </c>
      <c r="D265" s="129">
        <v>4647</v>
      </c>
      <c r="E265" s="130" t="s">
        <v>1562</v>
      </c>
      <c r="G265" s="56">
        <v>40053</v>
      </c>
    </row>
    <row r="266" spans="1:7" x14ac:dyDescent="0.2">
      <c r="A266" s="126">
        <v>39923</v>
      </c>
      <c r="B266" s="127" t="s">
        <v>2125</v>
      </c>
      <c r="C266" s="130" t="s">
        <v>3433</v>
      </c>
      <c r="D266" s="129">
        <v>4652</v>
      </c>
      <c r="E266" s="130" t="s">
        <v>3480</v>
      </c>
      <c r="G266" s="56">
        <v>39927</v>
      </c>
    </row>
    <row r="267" spans="1:7" x14ac:dyDescent="0.2">
      <c r="A267" s="126">
        <v>39924</v>
      </c>
      <c r="B267" s="127" t="s">
        <v>1243</v>
      </c>
      <c r="C267" s="130" t="s">
        <v>3433</v>
      </c>
      <c r="D267" s="129">
        <v>4653</v>
      </c>
      <c r="E267" s="130" t="s">
        <v>3165</v>
      </c>
      <c r="G267" s="56">
        <v>39927</v>
      </c>
    </row>
    <row r="268" spans="1:7" x14ac:dyDescent="0.2">
      <c r="A268" s="48">
        <v>39924</v>
      </c>
      <c r="B268" s="49" t="s">
        <v>1747</v>
      </c>
      <c r="C268" s="50" t="s">
        <v>3433</v>
      </c>
      <c r="D268" s="51">
        <v>4654</v>
      </c>
      <c r="E268" s="50" t="s">
        <v>3165</v>
      </c>
      <c r="G268" s="56">
        <v>39973</v>
      </c>
    </row>
    <row r="269" spans="1:7" x14ac:dyDescent="0.2">
      <c r="A269" s="126">
        <v>39924</v>
      </c>
      <c r="B269" s="127" t="s">
        <v>2516</v>
      </c>
      <c r="C269" s="130" t="s">
        <v>2517</v>
      </c>
      <c r="D269" s="129">
        <v>4655</v>
      </c>
      <c r="E269" s="130" t="s">
        <v>3837</v>
      </c>
      <c r="G269" s="56">
        <v>39973</v>
      </c>
    </row>
    <row r="270" spans="1:7" x14ac:dyDescent="0.2">
      <c r="A270" s="39">
        <v>39925</v>
      </c>
      <c r="B270" s="40" t="s">
        <v>665</v>
      </c>
      <c r="C270" s="41" t="s">
        <v>2007</v>
      </c>
      <c r="D270" s="43">
        <v>4657</v>
      </c>
      <c r="E270" s="41" t="s">
        <v>3175</v>
      </c>
      <c r="F270" s="41"/>
      <c r="G270" s="56">
        <v>39943</v>
      </c>
    </row>
    <row r="271" spans="1:7" x14ac:dyDescent="0.2">
      <c r="A271" s="48">
        <v>40079</v>
      </c>
      <c r="B271" s="49" t="s">
        <v>3458</v>
      </c>
      <c r="C271" s="50" t="s">
        <v>1404</v>
      </c>
      <c r="D271" s="51">
        <v>4658</v>
      </c>
      <c r="E271" s="50" t="s">
        <v>3483</v>
      </c>
      <c r="G271" s="56">
        <v>40087</v>
      </c>
    </row>
    <row r="272" spans="1:7" x14ac:dyDescent="0.2">
      <c r="A272" s="48">
        <v>39927</v>
      </c>
      <c r="B272" s="49" t="s">
        <v>3191</v>
      </c>
      <c r="C272" s="50" t="s">
        <v>1819</v>
      </c>
      <c r="D272" s="51">
        <v>4659</v>
      </c>
      <c r="E272" s="50" t="s">
        <v>3165</v>
      </c>
      <c r="G272" s="56">
        <v>39960</v>
      </c>
    </row>
    <row r="273" spans="1:7" x14ac:dyDescent="0.2">
      <c r="A273" s="126">
        <v>39927</v>
      </c>
      <c r="B273" s="127" t="s">
        <v>2687</v>
      </c>
      <c r="C273" s="130" t="s">
        <v>3433</v>
      </c>
      <c r="D273" s="129">
        <v>4661</v>
      </c>
      <c r="E273" s="130" t="s">
        <v>1781</v>
      </c>
      <c r="G273" s="56">
        <v>39945</v>
      </c>
    </row>
    <row r="274" spans="1:7" x14ac:dyDescent="0.2">
      <c r="A274" s="48">
        <v>39927</v>
      </c>
      <c r="B274" s="49" t="s">
        <v>1181</v>
      </c>
      <c r="C274" s="50" t="s">
        <v>1404</v>
      </c>
      <c r="D274" s="51">
        <v>4662</v>
      </c>
      <c r="E274" s="50" t="s">
        <v>3837</v>
      </c>
      <c r="G274" s="56">
        <v>39930</v>
      </c>
    </row>
    <row r="275" spans="1:7" x14ac:dyDescent="0.2">
      <c r="A275" s="48">
        <v>39968</v>
      </c>
      <c r="B275" s="49" t="s">
        <v>2774</v>
      </c>
      <c r="C275" s="50" t="s">
        <v>3433</v>
      </c>
      <c r="D275" s="51">
        <v>4663</v>
      </c>
      <c r="E275" s="50" t="s">
        <v>3165</v>
      </c>
      <c r="G275" s="56">
        <v>39975</v>
      </c>
    </row>
    <row r="276" spans="1:7" x14ac:dyDescent="0.2">
      <c r="A276" s="48">
        <v>39968</v>
      </c>
      <c r="B276" s="49" t="s">
        <v>2037</v>
      </c>
      <c r="C276" s="50" t="s">
        <v>3433</v>
      </c>
      <c r="D276" s="51">
        <v>4664</v>
      </c>
      <c r="E276" s="50" t="s">
        <v>3165</v>
      </c>
      <c r="G276" s="56">
        <v>39975</v>
      </c>
    </row>
    <row r="277" spans="1:7" hidden="1" x14ac:dyDescent="0.2">
      <c r="A277" s="39">
        <v>39007</v>
      </c>
      <c r="B277" s="40" t="s">
        <v>1533</v>
      </c>
      <c r="C277" s="41"/>
      <c r="D277" s="43">
        <v>986</v>
      </c>
      <c r="E277" s="41" t="s">
        <v>3486</v>
      </c>
      <c r="F277" s="41"/>
      <c r="G277" s="56"/>
    </row>
    <row r="278" spans="1:7" hidden="1" x14ac:dyDescent="0.2">
      <c r="A278" s="39">
        <v>39036</v>
      </c>
      <c r="B278" s="40" t="s">
        <v>3522</v>
      </c>
      <c r="C278" s="41"/>
      <c r="D278" s="43">
        <v>859</v>
      </c>
      <c r="E278" s="41" t="s">
        <v>3480</v>
      </c>
      <c r="F278" s="41"/>
    </row>
    <row r="279" spans="1:7" hidden="1" x14ac:dyDescent="0.2">
      <c r="A279" s="39">
        <v>39091</v>
      </c>
      <c r="B279" s="40" t="s">
        <v>1373</v>
      </c>
      <c r="C279" s="41"/>
      <c r="D279" s="43">
        <v>1428</v>
      </c>
      <c r="E279" s="41" t="s">
        <v>3162</v>
      </c>
      <c r="F279" s="41"/>
    </row>
    <row r="280" spans="1:7" hidden="1" x14ac:dyDescent="0.2">
      <c r="A280" s="39">
        <v>39035</v>
      </c>
      <c r="B280" s="40" t="s">
        <v>2114</v>
      </c>
      <c r="C280" s="41"/>
      <c r="D280" s="43">
        <v>1026</v>
      </c>
      <c r="E280" s="41" t="s">
        <v>3162</v>
      </c>
      <c r="F280" s="41"/>
    </row>
    <row r="281" spans="1:7" hidden="1" x14ac:dyDescent="0.2">
      <c r="A281" s="39">
        <v>39070</v>
      </c>
      <c r="B281" s="40" t="s">
        <v>3828</v>
      </c>
      <c r="C281" s="41"/>
      <c r="D281" s="43">
        <v>1254</v>
      </c>
      <c r="E281" s="41" t="s">
        <v>3162</v>
      </c>
      <c r="F281" s="41"/>
    </row>
    <row r="282" spans="1:7" hidden="1" x14ac:dyDescent="0.2">
      <c r="A282" s="39">
        <v>39091</v>
      </c>
      <c r="B282" s="40" t="s">
        <v>1076</v>
      </c>
      <c r="C282" s="41"/>
      <c r="D282" s="43">
        <v>1312</v>
      </c>
      <c r="E282" s="41" t="s">
        <v>3478</v>
      </c>
      <c r="F282" s="41"/>
    </row>
    <row r="283" spans="1:7" hidden="1" x14ac:dyDescent="0.2">
      <c r="A283" s="39">
        <v>39437</v>
      </c>
      <c r="B283" s="40" t="s">
        <v>2370</v>
      </c>
      <c r="C283" s="56"/>
      <c r="D283" s="43">
        <v>1287</v>
      </c>
      <c r="E283" s="41" t="s">
        <v>3478</v>
      </c>
      <c r="F283" s="41"/>
    </row>
    <row r="284" spans="1:7" hidden="1" x14ac:dyDescent="0.2">
      <c r="A284" s="39">
        <v>39069</v>
      </c>
      <c r="B284" s="40" t="s">
        <v>3652</v>
      </c>
      <c r="C284" s="41"/>
      <c r="D284" s="43">
        <v>1253</v>
      </c>
      <c r="E284" s="41" t="s">
        <v>2780</v>
      </c>
      <c r="F284" s="41"/>
    </row>
    <row r="285" spans="1:7" hidden="1" x14ac:dyDescent="0.2">
      <c r="A285" s="52">
        <v>39091</v>
      </c>
      <c r="B285" s="54" t="s">
        <v>3084</v>
      </c>
      <c r="C285" s="57"/>
      <c r="D285" s="59">
        <v>1326</v>
      </c>
      <c r="E285" s="57" t="s">
        <v>3475</v>
      </c>
      <c r="F285" s="57"/>
    </row>
    <row r="286" spans="1:7" hidden="1" x14ac:dyDescent="0.2">
      <c r="A286" s="52">
        <v>39091</v>
      </c>
      <c r="B286" s="54" t="s">
        <v>2146</v>
      </c>
      <c r="C286" s="57"/>
      <c r="D286" s="59">
        <v>1324</v>
      </c>
      <c r="E286" s="57" t="s">
        <v>3475</v>
      </c>
      <c r="F286" s="57"/>
    </row>
    <row r="287" spans="1:7" hidden="1" x14ac:dyDescent="0.2">
      <c r="A287" s="52">
        <v>39091</v>
      </c>
      <c r="B287" s="54" t="s">
        <v>3085</v>
      </c>
      <c r="C287" s="57"/>
      <c r="D287" s="59">
        <v>1325</v>
      </c>
      <c r="E287" s="57" t="s">
        <v>3475</v>
      </c>
      <c r="F287" s="57"/>
    </row>
    <row r="288" spans="1:7" hidden="1" x14ac:dyDescent="0.2">
      <c r="A288" s="39">
        <v>39073</v>
      </c>
      <c r="B288" s="40" t="s">
        <v>3827</v>
      </c>
      <c r="C288" s="41"/>
      <c r="D288" s="43">
        <v>1306</v>
      </c>
      <c r="E288" s="41" t="s">
        <v>3486</v>
      </c>
      <c r="F288" s="41"/>
    </row>
    <row r="289" spans="1:6" hidden="1" x14ac:dyDescent="0.2">
      <c r="A289" s="39">
        <v>39097</v>
      </c>
      <c r="B289" s="40" t="s">
        <v>472</v>
      </c>
      <c r="C289" s="41"/>
      <c r="D289" s="43">
        <v>1258</v>
      </c>
      <c r="E289" s="41" t="s">
        <v>3481</v>
      </c>
      <c r="F289" s="41"/>
    </row>
    <row r="290" spans="1:6" hidden="1" x14ac:dyDescent="0.2">
      <c r="A290" s="39">
        <v>39015</v>
      </c>
      <c r="B290" s="40" t="s">
        <v>565</v>
      </c>
      <c r="C290" s="41"/>
      <c r="D290" s="43">
        <v>1024</v>
      </c>
      <c r="E290" s="41" t="s">
        <v>3486</v>
      </c>
      <c r="F290" s="41"/>
    </row>
    <row r="291" spans="1:6" hidden="1" x14ac:dyDescent="0.2">
      <c r="A291" s="39">
        <v>39099</v>
      </c>
      <c r="B291" s="40" t="s">
        <v>817</v>
      </c>
      <c r="C291" s="41"/>
      <c r="D291" s="43">
        <v>1364</v>
      </c>
      <c r="E291" s="41" t="s">
        <v>3481</v>
      </c>
      <c r="F291" s="41"/>
    </row>
    <row r="292" spans="1:6" hidden="1" x14ac:dyDescent="0.2">
      <c r="A292" s="39">
        <v>39099</v>
      </c>
      <c r="B292" s="40" t="s">
        <v>2574</v>
      </c>
      <c r="C292" s="41"/>
      <c r="D292" s="43">
        <v>1362</v>
      </c>
      <c r="E292" s="41" t="s">
        <v>3482</v>
      </c>
      <c r="F292" s="41"/>
    </row>
    <row r="293" spans="1:6" hidden="1" x14ac:dyDescent="0.2">
      <c r="A293" s="39">
        <v>39094</v>
      </c>
      <c r="B293" s="40" t="s">
        <v>121</v>
      </c>
      <c r="C293" s="41"/>
      <c r="D293" s="43">
        <v>1288</v>
      </c>
      <c r="E293" s="41" t="s">
        <v>3162</v>
      </c>
      <c r="F293" s="41"/>
    </row>
    <row r="294" spans="1:6" hidden="1" x14ac:dyDescent="0.2">
      <c r="A294" s="39">
        <v>39091</v>
      </c>
      <c r="B294" s="40" t="s">
        <v>3189</v>
      </c>
      <c r="C294" s="41"/>
      <c r="D294" s="43">
        <v>1429</v>
      </c>
      <c r="E294" s="41" t="s">
        <v>3162</v>
      </c>
      <c r="F294" s="41"/>
    </row>
    <row r="295" spans="1:6" hidden="1" x14ac:dyDescent="0.2">
      <c r="A295" s="39">
        <v>39094</v>
      </c>
      <c r="B295" s="40" t="s">
        <v>119</v>
      </c>
      <c r="C295" s="41"/>
      <c r="D295" s="43">
        <v>1256</v>
      </c>
      <c r="E295" s="41" t="s">
        <v>1562</v>
      </c>
      <c r="F295" s="41"/>
    </row>
    <row r="296" spans="1:6" hidden="1" x14ac:dyDescent="0.2">
      <c r="A296" s="39">
        <v>39069</v>
      </c>
      <c r="B296" s="40" t="s">
        <v>226</v>
      </c>
      <c r="C296" s="41"/>
      <c r="D296" s="43">
        <v>1252</v>
      </c>
      <c r="E296" s="41" t="s">
        <v>1562</v>
      </c>
      <c r="F296" s="41"/>
    </row>
    <row r="297" spans="1:6" hidden="1" x14ac:dyDescent="0.2">
      <c r="A297" s="39">
        <v>39423</v>
      </c>
      <c r="B297" s="40" t="s">
        <v>3632</v>
      </c>
      <c r="C297" s="41"/>
      <c r="D297" s="43">
        <v>1085</v>
      </c>
      <c r="E297" s="41" t="s">
        <v>3478</v>
      </c>
      <c r="F297" s="41"/>
    </row>
    <row r="298" spans="1:6" hidden="1" x14ac:dyDescent="0.2">
      <c r="A298" s="39">
        <v>39084</v>
      </c>
      <c r="B298" s="40" t="s">
        <v>955</v>
      </c>
      <c r="C298" s="41"/>
      <c r="D298" s="43">
        <v>1307</v>
      </c>
      <c r="E298" s="41" t="s">
        <v>956</v>
      </c>
      <c r="F298" s="41"/>
    </row>
    <row r="299" spans="1:6" hidden="1" x14ac:dyDescent="0.2">
      <c r="A299" s="39">
        <v>39421</v>
      </c>
      <c r="B299" s="40" t="s">
        <v>967</v>
      </c>
      <c r="C299" s="41"/>
      <c r="D299" s="43">
        <v>1084</v>
      </c>
      <c r="E299" s="41" t="s">
        <v>3162</v>
      </c>
      <c r="F299" s="41"/>
    </row>
    <row r="300" spans="1:6" hidden="1" x14ac:dyDescent="0.2">
      <c r="A300" s="39">
        <v>39113</v>
      </c>
      <c r="B300" s="40" t="s">
        <v>3491</v>
      </c>
      <c r="C300" s="41"/>
      <c r="D300" s="43">
        <v>1368</v>
      </c>
      <c r="E300" s="41" t="s">
        <v>3162</v>
      </c>
      <c r="F300" s="41"/>
    </row>
    <row r="301" spans="1:6" hidden="1" x14ac:dyDescent="0.2">
      <c r="A301" s="39">
        <v>39114</v>
      </c>
      <c r="B301" s="40" t="s">
        <v>3068</v>
      </c>
      <c r="C301" s="41"/>
      <c r="D301" s="43">
        <v>1403</v>
      </c>
      <c r="E301" s="41" t="s">
        <v>1562</v>
      </c>
      <c r="F301" s="41"/>
    </row>
    <row r="302" spans="1:6" hidden="1" x14ac:dyDescent="0.2">
      <c r="A302" s="39">
        <v>39115</v>
      </c>
      <c r="B302" s="40" t="s">
        <v>2165</v>
      </c>
      <c r="C302" s="41"/>
      <c r="D302" s="43">
        <v>1411</v>
      </c>
      <c r="E302" s="41" t="s">
        <v>3485</v>
      </c>
      <c r="F302" s="41"/>
    </row>
    <row r="303" spans="1:6" hidden="1" x14ac:dyDescent="0.2">
      <c r="A303" s="39">
        <v>39052</v>
      </c>
      <c r="B303" s="40" t="s">
        <v>595</v>
      </c>
      <c r="C303" s="41"/>
      <c r="D303" s="43">
        <v>1073</v>
      </c>
      <c r="E303" s="41" t="s">
        <v>3032</v>
      </c>
      <c r="F303" s="41"/>
    </row>
    <row r="304" spans="1:6" hidden="1" x14ac:dyDescent="0.2">
      <c r="A304" s="39">
        <v>39114</v>
      </c>
      <c r="B304" s="40" t="s">
        <v>617</v>
      </c>
      <c r="C304" s="41"/>
      <c r="D304" s="43">
        <v>1402</v>
      </c>
      <c r="E304" s="41" t="s">
        <v>1562</v>
      </c>
      <c r="F304" s="41"/>
    </row>
    <row r="305" spans="1:6" hidden="1" x14ac:dyDescent="0.2">
      <c r="A305" s="39">
        <v>38917</v>
      </c>
      <c r="B305" s="40" t="s">
        <v>2588</v>
      </c>
      <c r="C305" s="41"/>
      <c r="D305" s="43">
        <v>220</v>
      </c>
      <c r="E305" s="41" t="s">
        <v>3483</v>
      </c>
      <c r="F305" s="41"/>
    </row>
    <row r="306" spans="1:6" hidden="1" x14ac:dyDescent="0.2">
      <c r="A306" s="39">
        <v>39118</v>
      </c>
      <c r="B306" s="40" t="s">
        <v>3986</v>
      </c>
      <c r="C306" s="41"/>
      <c r="D306" s="43">
        <v>1416</v>
      </c>
      <c r="E306" s="41" t="s">
        <v>3479</v>
      </c>
      <c r="F306" s="41"/>
    </row>
    <row r="307" spans="1:6" hidden="1" x14ac:dyDescent="0.2">
      <c r="A307" s="39">
        <v>39041</v>
      </c>
      <c r="B307" s="40" t="s">
        <v>1471</v>
      </c>
      <c r="C307" s="41"/>
      <c r="D307" s="43">
        <v>1068</v>
      </c>
      <c r="E307" s="41" t="s">
        <v>3486</v>
      </c>
      <c r="F307" s="41"/>
    </row>
    <row r="308" spans="1:6" hidden="1" x14ac:dyDescent="0.2">
      <c r="A308" s="53">
        <v>39106</v>
      </c>
      <c r="B308" s="55" t="s">
        <v>111</v>
      </c>
      <c r="C308" s="58"/>
      <c r="D308" s="60">
        <v>1259</v>
      </c>
      <c r="E308" s="61" t="s">
        <v>112</v>
      </c>
      <c r="F308" s="61"/>
    </row>
    <row r="309" spans="1:6" hidden="1" x14ac:dyDescent="0.2">
      <c r="A309" s="39">
        <v>38796</v>
      </c>
      <c r="B309" s="40" t="s">
        <v>3045</v>
      </c>
      <c r="C309" s="41"/>
      <c r="D309" s="43">
        <v>188</v>
      </c>
      <c r="E309" s="41"/>
      <c r="F309" s="41"/>
    </row>
    <row r="310" spans="1:6" hidden="1" x14ac:dyDescent="0.2">
      <c r="A310" s="39">
        <v>39099</v>
      </c>
      <c r="B310" s="40" t="s">
        <v>847</v>
      </c>
      <c r="C310" s="41"/>
      <c r="D310" s="43">
        <v>1040</v>
      </c>
      <c r="E310" s="41" t="s">
        <v>3485</v>
      </c>
      <c r="F310" s="41"/>
    </row>
    <row r="311" spans="1:6" hidden="1" x14ac:dyDescent="0.2">
      <c r="A311" s="39">
        <v>38876</v>
      </c>
      <c r="B311" s="40" t="s">
        <v>3161</v>
      </c>
      <c r="C311" s="41"/>
      <c r="D311" s="43">
        <v>677</v>
      </c>
      <c r="E311" s="41" t="s">
        <v>3483</v>
      </c>
      <c r="F311" s="41"/>
    </row>
    <row r="312" spans="1:6" hidden="1" x14ac:dyDescent="0.2">
      <c r="A312" s="39">
        <v>38937</v>
      </c>
      <c r="B312" s="40" t="s">
        <v>202</v>
      </c>
      <c r="C312" s="41"/>
      <c r="D312" s="43">
        <v>895</v>
      </c>
      <c r="E312" s="41" t="s">
        <v>2494</v>
      </c>
      <c r="F312" s="41"/>
    </row>
    <row r="313" spans="1:6" hidden="1" x14ac:dyDescent="0.2">
      <c r="A313" s="39">
        <v>38947</v>
      </c>
      <c r="B313" s="40" t="s">
        <v>3901</v>
      </c>
      <c r="C313" s="41"/>
      <c r="D313" s="43">
        <v>904</v>
      </c>
      <c r="E313" s="41" t="s">
        <v>2494</v>
      </c>
      <c r="F313" s="41"/>
    </row>
    <row r="314" spans="1:6" hidden="1" x14ac:dyDescent="0.2">
      <c r="A314" s="39">
        <v>39091</v>
      </c>
      <c r="B314" s="40" t="s">
        <v>2635</v>
      </c>
      <c r="C314" s="41"/>
      <c r="D314" s="43">
        <v>1431</v>
      </c>
      <c r="E314" s="41" t="s">
        <v>3162</v>
      </c>
      <c r="F314" s="41"/>
    </row>
    <row r="315" spans="1:6" hidden="1" x14ac:dyDescent="0.2">
      <c r="A315" s="39">
        <v>39091</v>
      </c>
      <c r="B315" s="40" t="s">
        <v>2106</v>
      </c>
      <c r="C315" s="41"/>
      <c r="D315" s="43">
        <v>1432</v>
      </c>
      <c r="E315" s="41" t="s">
        <v>3162</v>
      </c>
      <c r="F315" s="41"/>
    </row>
    <row r="316" spans="1:6" hidden="1" x14ac:dyDescent="0.2">
      <c r="A316" s="39">
        <v>39091</v>
      </c>
      <c r="B316" s="40" t="s">
        <v>3494</v>
      </c>
      <c r="C316" s="41"/>
      <c r="D316" s="43">
        <v>1328</v>
      </c>
      <c r="E316" s="41" t="s">
        <v>3162</v>
      </c>
      <c r="F316" s="41"/>
    </row>
    <row r="317" spans="1:6" hidden="1" x14ac:dyDescent="0.2">
      <c r="A317" s="39">
        <v>39120</v>
      </c>
      <c r="B317" s="40" t="s">
        <v>2102</v>
      </c>
      <c r="C317" s="41"/>
      <c r="D317" s="43">
        <v>1263</v>
      </c>
      <c r="E317" s="41" t="s">
        <v>3486</v>
      </c>
      <c r="F317" s="41"/>
    </row>
    <row r="318" spans="1:6" hidden="1" x14ac:dyDescent="0.2">
      <c r="A318" s="39">
        <v>39119</v>
      </c>
      <c r="B318" s="40" t="s">
        <v>2553</v>
      </c>
      <c r="C318" s="41"/>
      <c r="D318" s="43">
        <v>1268</v>
      </c>
      <c r="E318" s="41" t="s">
        <v>3481</v>
      </c>
      <c r="F318" s="41"/>
    </row>
    <row r="319" spans="1:6" hidden="1" x14ac:dyDescent="0.2">
      <c r="A319" s="39">
        <v>39051</v>
      </c>
      <c r="B319" s="40" t="s">
        <v>2147</v>
      </c>
      <c r="C319" s="41"/>
      <c r="D319" s="43">
        <v>1063</v>
      </c>
      <c r="E319" s="41" t="s">
        <v>3486</v>
      </c>
      <c r="F319" s="41"/>
    </row>
    <row r="320" spans="1:6" hidden="1" x14ac:dyDescent="0.2">
      <c r="A320" s="39">
        <v>39042</v>
      </c>
      <c r="B320" s="40" t="s">
        <v>3498</v>
      </c>
      <c r="C320" s="41"/>
      <c r="D320" s="43">
        <v>1036</v>
      </c>
      <c r="E320" s="41" t="s">
        <v>3478</v>
      </c>
      <c r="F320" s="41"/>
    </row>
    <row r="321" spans="1:6" hidden="1" x14ac:dyDescent="0.2">
      <c r="A321" s="39">
        <v>39118</v>
      </c>
      <c r="B321" s="40" t="s">
        <v>3033</v>
      </c>
      <c r="C321" s="41"/>
      <c r="D321" s="43">
        <v>1419</v>
      </c>
      <c r="E321" s="41" t="s">
        <v>3478</v>
      </c>
      <c r="F321" s="41"/>
    </row>
    <row r="322" spans="1:6" hidden="1" x14ac:dyDescent="0.2">
      <c r="A322" s="39">
        <v>39055</v>
      </c>
      <c r="B322" s="40" t="s">
        <v>272</v>
      </c>
      <c r="C322" s="41"/>
      <c r="D322" s="43">
        <v>1061</v>
      </c>
      <c r="E322" s="41" t="s">
        <v>3523</v>
      </c>
      <c r="F322" s="41"/>
    </row>
    <row r="323" spans="1:6" hidden="1" x14ac:dyDescent="0.2">
      <c r="A323" s="39">
        <v>39081</v>
      </c>
      <c r="B323" s="40" t="s">
        <v>3016</v>
      </c>
      <c r="C323" s="41"/>
      <c r="D323" s="43">
        <v>1423</v>
      </c>
      <c r="E323" s="41" t="s">
        <v>433</v>
      </c>
      <c r="F323" s="41"/>
    </row>
    <row r="324" spans="1:6" hidden="1" x14ac:dyDescent="0.2">
      <c r="A324" s="39">
        <v>38786</v>
      </c>
      <c r="B324" s="40" t="s">
        <v>2150</v>
      </c>
      <c r="C324" s="41"/>
      <c r="D324" s="43">
        <v>48</v>
      </c>
      <c r="E324" s="41"/>
      <c r="F324" s="41"/>
    </row>
    <row r="325" spans="1:6" hidden="1" x14ac:dyDescent="0.2">
      <c r="A325" s="39">
        <v>39128</v>
      </c>
      <c r="B325" s="40" t="s">
        <v>2293</v>
      </c>
      <c r="C325" s="41"/>
      <c r="D325" s="43">
        <v>1273</v>
      </c>
      <c r="E325" s="41" t="s">
        <v>3485</v>
      </c>
      <c r="F325" s="41"/>
    </row>
    <row r="326" spans="1:6" hidden="1" x14ac:dyDescent="0.2">
      <c r="A326" s="39">
        <v>39043</v>
      </c>
      <c r="B326" s="40" t="s">
        <v>3634</v>
      </c>
      <c r="C326" s="41"/>
      <c r="D326" s="43">
        <v>1110</v>
      </c>
      <c r="E326" s="41" t="s">
        <v>3482</v>
      </c>
      <c r="F326" s="41"/>
    </row>
    <row r="327" spans="1:6" hidden="1" x14ac:dyDescent="0.2">
      <c r="A327" s="39">
        <v>38923</v>
      </c>
      <c r="B327" s="40" t="s">
        <v>2287</v>
      </c>
      <c r="C327" s="41"/>
      <c r="D327" s="43">
        <v>816</v>
      </c>
      <c r="E327" s="41" t="s">
        <v>3482</v>
      </c>
      <c r="F327" s="41"/>
    </row>
    <row r="328" spans="1:6" hidden="1" x14ac:dyDescent="0.2">
      <c r="A328" s="39">
        <v>39134</v>
      </c>
      <c r="B328" s="40" t="s">
        <v>2323</v>
      </c>
      <c r="C328" s="41"/>
      <c r="D328" s="43">
        <v>1275</v>
      </c>
      <c r="E328" s="41" t="s">
        <v>3032</v>
      </c>
      <c r="F328" s="41"/>
    </row>
    <row r="329" spans="1:6" hidden="1" x14ac:dyDescent="0.2">
      <c r="A329" s="39">
        <v>39120</v>
      </c>
      <c r="B329" s="40" t="s">
        <v>1195</v>
      </c>
      <c r="C329" s="41"/>
      <c r="D329" s="43">
        <v>1255</v>
      </c>
      <c r="E329" s="41" t="s">
        <v>3478</v>
      </c>
      <c r="F329" s="41"/>
    </row>
    <row r="330" spans="1:6" hidden="1" x14ac:dyDescent="0.2">
      <c r="A330" s="39">
        <v>38801</v>
      </c>
      <c r="B330" s="40" t="s">
        <v>1764</v>
      </c>
      <c r="C330" s="41"/>
      <c r="D330" s="43">
        <v>209</v>
      </c>
      <c r="E330" s="41" t="s">
        <v>3480</v>
      </c>
      <c r="F330" s="41"/>
    </row>
    <row r="331" spans="1:6" hidden="1" x14ac:dyDescent="0.2">
      <c r="A331" s="39">
        <v>39143</v>
      </c>
      <c r="B331" s="40" t="s">
        <v>2704</v>
      </c>
      <c r="C331" s="41"/>
      <c r="D331" s="43">
        <v>1278</v>
      </c>
      <c r="E331" s="41" t="s">
        <v>3162</v>
      </c>
      <c r="F331" s="41"/>
    </row>
    <row r="332" spans="1:6" hidden="1" x14ac:dyDescent="0.2">
      <c r="A332" s="39">
        <v>39143</v>
      </c>
      <c r="B332" s="40" t="s">
        <v>1711</v>
      </c>
      <c r="C332" s="41"/>
      <c r="D332" s="43">
        <v>1277</v>
      </c>
      <c r="E332" s="41" t="s">
        <v>3162</v>
      </c>
      <c r="F332" s="41"/>
    </row>
    <row r="333" spans="1:6" hidden="1" x14ac:dyDescent="0.2">
      <c r="A333" s="39">
        <v>39041</v>
      </c>
      <c r="B333" s="40" t="s">
        <v>1527</v>
      </c>
      <c r="C333" s="41"/>
      <c r="D333" s="43">
        <v>1065</v>
      </c>
      <c r="E333" s="41" t="s">
        <v>2504</v>
      </c>
      <c r="F333" s="41"/>
    </row>
    <row r="334" spans="1:6" hidden="1" x14ac:dyDescent="0.2">
      <c r="A334" s="39">
        <v>39146</v>
      </c>
      <c r="B334" s="40" t="s">
        <v>2028</v>
      </c>
      <c r="C334" s="41"/>
      <c r="D334" s="43">
        <v>1568</v>
      </c>
      <c r="E334" s="41"/>
      <c r="F334" s="41"/>
    </row>
    <row r="335" spans="1:6" hidden="1" x14ac:dyDescent="0.2">
      <c r="A335" s="39">
        <v>39146</v>
      </c>
      <c r="B335" s="40" t="s">
        <v>2601</v>
      </c>
      <c r="C335" s="41"/>
      <c r="D335" s="43">
        <v>1566</v>
      </c>
      <c r="E335" s="41"/>
      <c r="F335" s="41"/>
    </row>
    <row r="336" spans="1:6" hidden="1" x14ac:dyDescent="0.2">
      <c r="A336" s="39">
        <v>39146</v>
      </c>
      <c r="B336" s="40" t="s">
        <v>3407</v>
      </c>
      <c r="C336" s="41"/>
      <c r="D336" s="43">
        <v>1567</v>
      </c>
      <c r="E336" s="41"/>
      <c r="F336" s="41"/>
    </row>
    <row r="337" spans="1:6" ht="24" hidden="1" x14ac:dyDescent="0.2">
      <c r="A337" s="39">
        <v>39119</v>
      </c>
      <c r="B337" s="40" t="s">
        <v>174</v>
      </c>
      <c r="C337" s="41"/>
      <c r="D337" s="43">
        <v>1509</v>
      </c>
      <c r="E337" s="41" t="s">
        <v>3479</v>
      </c>
      <c r="F337" s="41"/>
    </row>
    <row r="338" spans="1:6" hidden="1" x14ac:dyDescent="0.2">
      <c r="A338" s="39">
        <v>39119</v>
      </c>
      <c r="B338" s="40" t="s">
        <v>3299</v>
      </c>
      <c r="C338" s="41"/>
      <c r="D338" s="43">
        <v>1267</v>
      </c>
      <c r="E338" s="41" t="s">
        <v>112</v>
      </c>
      <c r="F338" s="41"/>
    </row>
    <row r="339" spans="1:6" hidden="1" x14ac:dyDescent="0.2">
      <c r="A339" s="39">
        <v>39118</v>
      </c>
      <c r="B339" s="40" t="s">
        <v>84</v>
      </c>
      <c r="C339" s="41"/>
      <c r="D339" s="43">
        <v>1417</v>
      </c>
      <c r="E339" s="41" t="s">
        <v>3481</v>
      </c>
      <c r="F339" s="41"/>
    </row>
    <row r="340" spans="1:6" hidden="1" x14ac:dyDescent="0.2">
      <c r="A340" s="39">
        <v>39142</v>
      </c>
      <c r="B340" s="40" t="s">
        <v>867</v>
      </c>
      <c r="C340" s="41"/>
      <c r="D340" s="43">
        <v>1284</v>
      </c>
      <c r="E340" s="41"/>
      <c r="F340" s="41"/>
    </row>
    <row r="341" spans="1:6" hidden="1" x14ac:dyDescent="0.2">
      <c r="A341" s="39">
        <v>39142</v>
      </c>
      <c r="B341" s="40" t="s">
        <v>322</v>
      </c>
      <c r="C341" s="41"/>
      <c r="D341" s="43">
        <v>1285</v>
      </c>
      <c r="E341" s="41" t="s">
        <v>323</v>
      </c>
      <c r="F341" s="41"/>
    </row>
    <row r="342" spans="1:6" hidden="1" x14ac:dyDescent="0.2">
      <c r="A342" s="39">
        <v>39142</v>
      </c>
      <c r="B342" s="40" t="s">
        <v>2599</v>
      </c>
      <c r="C342" s="41"/>
      <c r="D342" s="43">
        <v>1283</v>
      </c>
      <c r="E342" s="41" t="s">
        <v>2600</v>
      </c>
      <c r="F342" s="41"/>
    </row>
    <row r="343" spans="1:6" hidden="1" x14ac:dyDescent="0.2">
      <c r="A343" s="39">
        <v>39113</v>
      </c>
      <c r="B343" s="40" t="s">
        <v>1516</v>
      </c>
      <c r="C343" s="41"/>
      <c r="D343" s="43">
        <v>1366</v>
      </c>
      <c r="E343" s="41" t="s">
        <v>3162</v>
      </c>
      <c r="F343" s="41"/>
    </row>
    <row r="344" spans="1:6" hidden="1" x14ac:dyDescent="0.2">
      <c r="A344" s="39">
        <v>39142</v>
      </c>
      <c r="B344" s="40" t="s">
        <v>1887</v>
      </c>
      <c r="C344" s="41"/>
      <c r="D344" s="43">
        <v>1262</v>
      </c>
      <c r="E344" s="41"/>
      <c r="F344" s="41"/>
    </row>
    <row r="345" spans="1:6" hidden="1" x14ac:dyDescent="0.2">
      <c r="A345" s="39">
        <v>39119</v>
      </c>
      <c r="B345" s="40" t="s">
        <v>1034</v>
      </c>
      <c r="C345" s="41"/>
      <c r="D345" s="43">
        <v>1266</v>
      </c>
      <c r="E345" s="41" t="s">
        <v>3482</v>
      </c>
      <c r="F345" s="41"/>
    </row>
    <row r="346" spans="1:6" hidden="1" x14ac:dyDescent="0.2">
      <c r="A346" s="39">
        <v>39154</v>
      </c>
      <c r="B346" s="40" t="s">
        <v>1288</v>
      </c>
      <c r="C346" s="41"/>
      <c r="D346" s="43">
        <v>1650</v>
      </c>
      <c r="E346" s="41" t="s">
        <v>2789</v>
      </c>
      <c r="F346" s="41"/>
    </row>
    <row r="347" spans="1:6" hidden="1" x14ac:dyDescent="0.2">
      <c r="A347" s="39">
        <v>39149</v>
      </c>
      <c r="B347" s="40" t="s">
        <v>338</v>
      </c>
      <c r="C347" s="41"/>
      <c r="D347" s="43">
        <v>1572</v>
      </c>
      <c r="E347" s="41" t="s">
        <v>3162</v>
      </c>
      <c r="F347" s="41"/>
    </row>
    <row r="348" spans="1:6" hidden="1" x14ac:dyDescent="0.2">
      <c r="A348" s="39">
        <v>39125</v>
      </c>
      <c r="B348" s="40" t="s">
        <v>3010</v>
      </c>
      <c r="C348" s="41"/>
      <c r="D348" s="43">
        <v>1523</v>
      </c>
      <c r="E348" s="41" t="s">
        <v>3523</v>
      </c>
      <c r="F348" s="41"/>
    </row>
    <row r="349" spans="1:6" hidden="1" x14ac:dyDescent="0.2">
      <c r="A349" s="39">
        <v>39119</v>
      </c>
      <c r="B349" s="40" t="s">
        <v>186</v>
      </c>
      <c r="C349" s="41"/>
      <c r="D349" s="43">
        <v>1264</v>
      </c>
      <c r="E349" s="41" t="s">
        <v>1086</v>
      </c>
      <c r="F349" s="41"/>
    </row>
    <row r="350" spans="1:6" hidden="1" x14ac:dyDescent="0.2">
      <c r="A350" s="39">
        <v>39007</v>
      </c>
      <c r="B350" s="40" t="s">
        <v>89</v>
      </c>
      <c r="C350" s="41"/>
      <c r="D350" s="43">
        <v>989</v>
      </c>
      <c r="E350" s="41" t="s">
        <v>3480</v>
      </c>
      <c r="F350" s="41"/>
    </row>
    <row r="351" spans="1:6" hidden="1" x14ac:dyDescent="0.2">
      <c r="A351" s="39">
        <v>39167</v>
      </c>
      <c r="B351" s="40" t="s">
        <v>305</v>
      </c>
      <c r="C351" s="41"/>
      <c r="D351" s="43">
        <v>1641</v>
      </c>
      <c r="E351" s="41" t="s">
        <v>3165</v>
      </c>
      <c r="F351" s="41"/>
    </row>
    <row r="352" spans="1:6" hidden="1" x14ac:dyDescent="0.2">
      <c r="A352" s="39">
        <v>39167</v>
      </c>
      <c r="B352" s="40" t="s">
        <v>3204</v>
      </c>
      <c r="C352" s="41"/>
      <c r="D352" s="43">
        <v>1644</v>
      </c>
      <c r="E352" s="41" t="s">
        <v>1577</v>
      </c>
      <c r="F352" s="41"/>
    </row>
    <row r="353" spans="1:6" hidden="1" x14ac:dyDescent="0.2">
      <c r="A353" s="39">
        <v>39163</v>
      </c>
      <c r="B353" s="40" t="s">
        <v>983</v>
      </c>
      <c r="C353" s="41"/>
      <c r="D353" s="43">
        <v>1590</v>
      </c>
      <c r="E353" s="41" t="s">
        <v>1086</v>
      </c>
      <c r="F353" s="41"/>
    </row>
    <row r="354" spans="1:6" hidden="1" x14ac:dyDescent="0.2">
      <c r="A354" s="39">
        <v>39132</v>
      </c>
      <c r="B354" s="40" t="s">
        <v>3929</v>
      </c>
      <c r="C354" s="41"/>
      <c r="D354" s="43">
        <v>1483</v>
      </c>
      <c r="E354" s="41" t="s">
        <v>3480</v>
      </c>
      <c r="F354" s="41"/>
    </row>
    <row r="355" spans="1:6" hidden="1" x14ac:dyDescent="0.2">
      <c r="A355" s="39">
        <v>39155</v>
      </c>
      <c r="B355" s="40" t="s">
        <v>2938</v>
      </c>
      <c r="C355" s="41"/>
      <c r="D355" s="43">
        <v>1645</v>
      </c>
      <c r="E355" s="41" t="s">
        <v>1562</v>
      </c>
      <c r="F355" s="41"/>
    </row>
    <row r="356" spans="1:6" hidden="1" x14ac:dyDescent="0.2">
      <c r="A356" s="39">
        <v>39014</v>
      </c>
      <c r="B356" s="40" t="s">
        <v>2828</v>
      </c>
      <c r="C356" s="41"/>
      <c r="D356" s="43">
        <v>846</v>
      </c>
      <c r="E356" s="41" t="s">
        <v>3485</v>
      </c>
      <c r="F356" s="41"/>
    </row>
    <row r="357" spans="1:6" hidden="1" x14ac:dyDescent="0.2">
      <c r="A357" s="39">
        <v>39042</v>
      </c>
      <c r="B357" s="40" t="s">
        <v>1576</v>
      </c>
      <c r="C357" s="41"/>
      <c r="D357" s="43">
        <v>1060</v>
      </c>
      <c r="E357" s="41" t="s">
        <v>1577</v>
      </c>
      <c r="F357" s="41"/>
    </row>
    <row r="358" spans="1:6" hidden="1" x14ac:dyDescent="0.2">
      <c r="A358" s="39">
        <v>39167</v>
      </c>
      <c r="B358" s="40" t="s">
        <v>2343</v>
      </c>
      <c r="C358" s="41"/>
      <c r="D358" s="43">
        <v>1640</v>
      </c>
      <c r="E358" s="41" t="s">
        <v>3162</v>
      </c>
      <c r="F358" s="41"/>
    </row>
    <row r="359" spans="1:6" hidden="1" x14ac:dyDescent="0.2">
      <c r="A359" s="39">
        <v>39007</v>
      </c>
      <c r="B359" s="40" t="s">
        <v>88</v>
      </c>
      <c r="C359" s="41"/>
      <c r="D359" s="43">
        <v>990</v>
      </c>
      <c r="E359" s="41" t="s">
        <v>3478</v>
      </c>
      <c r="F359" s="41"/>
    </row>
    <row r="360" spans="1:6" hidden="1" x14ac:dyDescent="0.2">
      <c r="A360" s="39">
        <v>39134</v>
      </c>
      <c r="B360" s="40" t="s">
        <v>357</v>
      </c>
      <c r="C360" s="41"/>
      <c r="D360" s="43">
        <v>1542</v>
      </c>
      <c r="E360" s="41" t="s">
        <v>3032</v>
      </c>
      <c r="F360" s="41"/>
    </row>
    <row r="361" spans="1:6" hidden="1" x14ac:dyDescent="0.2">
      <c r="A361" s="39">
        <v>39160</v>
      </c>
      <c r="B361" s="40" t="s">
        <v>1946</v>
      </c>
      <c r="C361" s="41"/>
      <c r="D361" s="43">
        <v>1646</v>
      </c>
      <c r="E361" s="41" t="s">
        <v>1086</v>
      </c>
      <c r="F361" s="41"/>
    </row>
    <row r="362" spans="1:6" hidden="1" x14ac:dyDescent="0.2">
      <c r="A362" s="39">
        <v>39160</v>
      </c>
      <c r="B362" s="40" t="s">
        <v>2645</v>
      </c>
      <c r="C362" s="41"/>
      <c r="D362" s="43">
        <v>1643</v>
      </c>
      <c r="E362" s="41" t="s">
        <v>1086</v>
      </c>
      <c r="F362" s="41"/>
    </row>
    <row r="363" spans="1:6" hidden="1" x14ac:dyDescent="0.2">
      <c r="A363" s="39">
        <v>39124</v>
      </c>
      <c r="B363" s="40" t="s">
        <v>1305</v>
      </c>
      <c r="C363" s="41"/>
      <c r="D363" s="43">
        <v>1634</v>
      </c>
      <c r="E363" s="41" t="s">
        <v>3486</v>
      </c>
      <c r="F363" s="41"/>
    </row>
    <row r="364" spans="1:6" hidden="1" x14ac:dyDescent="0.2">
      <c r="A364" s="39">
        <v>39185</v>
      </c>
      <c r="B364" s="40" t="s">
        <v>3689</v>
      </c>
      <c r="C364" s="41"/>
      <c r="D364" s="43">
        <v>1632</v>
      </c>
      <c r="E364" s="41" t="s">
        <v>112</v>
      </c>
      <c r="F364" s="41"/>
    </row>
    <row r="365" spans="1:6" hidden="1" x14ac:dyDescent="0.2">
      <c r="A365" s="39">
        <v>39182</v>
      </c>
      <c r="B365" s="40" t="s">
        <v>2083</v>
      </c>
      <c r="C365" s="41"/>
      <c r="D365" s="43">
        <v>1633</v>
      </c>
      <c r="E365" s="41" t="s">
        <v>3480</v>
      </c>
      <c r="F365" s="41"/>
    </row>
    <row r="366" spans="1:6" hidden="1" x14ac:dyDescent="0.2">
      <c r="A366" s="39">
        <v>39185</v>
      </c>
      <c r="B366" s="40" t="s">
        <v>2694</v>
      </c>
      <c r="C366" s="41"/>
      <c r="D366" s="43">
        <v>1631</v>
      </c>
      <c r="E366" s="41" t="s">
        <v>1562</v>
      </c>
      <c r="F366" s="41"/>
    </row>
    <row r="367" spans="1:6" hidden="1" x14ac:dyDescent="0.2">
      <c r="A367" s="39">
        <v>39153</v>
      </c>
      <c r="B367" s="40" t="s">
        <v>3728</v>
      </c>
      <c r="C367" s="41"/>
      <c r="D367" s="43">
        <v>1649</v>
      </c>
      <c r="E367" s="41" t="s">
        <v>3480</v>
      </c>
      <c r="F367" s="41"/>
    </row>
    <row r="368" spans="1:6" hidden="1" x14ac:dyDescent="0.2">
      <c r="A368" s="39">
        <v>39114</v>
      </c>
      <c r="B368" s="40" t="s">
        <v>3414</v>
      </c>
      <c r="C368" s="41"/>
      <c r="D368" s="43">
        <v>1407</v>
      </c>
      <c r="E368" s="41" t="s">
        <v>1562</v>
      </c>
      <c r="F368" s="41"/>
    </row>
    <row r="369" spans="1:6" hidden="1" x14ac:dyDescent="0.2">
      <c r="A369" s="39">
        <v>39189</v>
      </c>
      <c r="B369" s="40" t="s">
        <v>313</v>
      </c>
      <c r="C369" s="41"/>
      <c r="D369" s="43">
        <v>1628</v>
      </c>
      <c r="E369" s="41" t="s">
        <v>1577</v>
      </c>
      <c r="F369" s="41"/>
    </row>
    <row r="370" spans="1:6" hidden="1" x14ac:dyDescent="0.2">
      <c r="A370" s="39">
        <v>39190</v>
      </c>
      <c r="B370" s="40" t="s">
        <v>2756</v>
      </c>
      <c r="C370" s="41"/>
      <c r="D370" s="43">
        <v>1626</v>
      </c>
      <c r="E370" s="41" t="s">
        <v>3162</v>
      </c>
      <c r="F370" s="41"/>
    </row>
    <row r="371" spans="1:6" hidden="1" x14ac:dyDescent="0.2">
      <c r="A371" s="39">
        <v>39091</v>
      </c>
      <c r="B371" s="40" t="s">
        <v>2208</v>
      </c>
      <c r="C371" s="41"/>
      <c r="D371" s="43">
        <v>1427</v>
      </c>
      <c r="E371" s="41" t="s">
        <v>3162</v>
      </c>
      <c r="F371" s="41"/>
    </row>
    <row r="372" spans="1:6" hidden="1" x14ac:dyDescent="0.2">
      <c r="A372" s="39">
        <v>39118</v>
      </c>
      <c r="B372" s="40" t="s">
        <v>2806</v>
      </c>
      <c r="C372" s="41"/>
      <c r="D372" s="43">
        <v>1415</v>
      </c>
      <c r="E372" s="41" t="s">
        <v>1086</v>
      </c>
      <c r="F372" s="41"/>
    </row>
    <row r="373" spans="1:6" hidden="1" x14ac:dyDescent="0.2">
      <c r="A373" s="39">
        <v>39174</v>
      </c>
      <c r="B373" s="40" t="s">
        <v>916</v>
      </c>
      <c r="C373" s="41"/>
      <c r="D373" s="43">
        <v>1639</v>
      </c>
      <c r="E373" s="41" t="s">
        <v>3162</v>
      </c>
      <c r="F373" s="41"/>
    </row>
    <row r="374" spans="1:6" hidden="1" x14ac:dyDescent="0.2">
      <c r="A374" s="39">
        <v>39189</v>
      </c>
      <c r="B374" s="40" t="s">
        <v>1315</v>
      </c>
      <c r="C374" s="41"/>
      <c r="D374" s="43">
        <v>1595</v>
      </c>
      <c r="E374" s="41" t="s">
        <v>1086</v>
      </c>
      <c r="F374" s="41"/>
    </row>
    <row r="375" spans="1:6" hidden="1" x14ac:dyDescent="0.2">
      <c r="A375" s="39">
        <v>39196</v>
      </c>
      <c r="B375" s="40" t="s">
        <v>3392</v>
      </c>
      <c r="C375" s="41"/>
      <c r="D375" s="43">
        <v>1600</v>
      </c>
      <c r="E375" s="41" t="s">
        <v>3162</v>
      </c>
      <c r="F375" s="41"/>
    </row>
    <row r="376" spans="1:6" hidden="1" x14ac:dyDescent="0.2">
      <c r="A376" s="39">
        <v>39196</v>
      </c>
      <c r="B376" s="40" t="s">
        <v>2679</v>
      </c>
      <c r="C376" s="41"/>
      <c r="D376" s="43">
        <v>1624</v>
      </c>
      <c r="E376" s="41" t="s">
        <v>1562</v>
      </c>
      <c r="F376" s="41"/>
    </row>
    <row r="377" spans="1:6" hidden="1" x14ac:dyDescent="0.2">
      <c r="A377" s="39">
        <v>39174</v>
      </c>
      <c r="B377" s="40" t="s">
        <v>3346</v>
      </c>
      <c r="C377" s="41"/>
      <c r="D377" s="43">
        <v>1637</v>
      </c>
      <c r="E377" s="41" t="s">
        <v>1562</v>
      </c>
      <c r="F377" s="41"/>
    </row>
    <row r="378" spans="1:6" hidden="1" x14ac:dyDescent="0.2">
      <c r="A378" s="39">
        <v>39181</v>
      </c>
      <c r="B378" s="40" t="s">
        <v>3805</v>
      </c>
      <c r="C378" s="41"/>
      <c r="D378" s="43">
        <v>1636</v>
      </c>
      <c r="E378" s="41" t="s">
        <v>3162</v>
      </c>
      <c r="F378" s="41"/>
    </row>
    <row r="379" spans="1:6" hidden="1" x14ac:dyDescent="0.2">
      <c r="A379" s="39">
        <v>39198</v>
      </c>
      <c r="B379" s="40" t="s">
        <v>2528</v>
      </c>
      <c r="C379" s="41"/>
      <c r="D379" s="43">
        <v>1617</v>
      </c>
      <c r="E379" s="41" t="s">
        <v>112</v>
      </c>
      <c r="F379" s="41"/>
    </row>
    <row r="380" spans="1:6" hidden="1" x14ac:dyDescent="0.2">
      <c r="A380" s="39">
        <v>39196</v>
      </c>
      <c r="B380" s="40" t="s">
        <v>2108</v>
      </c>
      <c r="C380" s="41"/>
      <c r="D380" s="43">
        <v>1613</v>
      </c>
      <c r="E380" s="41" t="s">
        <v>3162</v>
      </c>
      <c r="F380" s="41"/>
    </row>
    <row r="381" spans="1:6" hidden="1" x14ac:dyDescent="0.2">
      <c r="A381" s="39">
        <v>39196</v>
      </c>
      <c r="B381" s="40" t="s">
        <v>3008</v>
      </c>
      <c r="C381" s="41"/>
      <c r="D381" s="43">
        <v>1599</v>
      </c>
      <c r="E381" s="41" t="s">
        <v>3162</v>
      </c>
      <c r="F381" s="41"/>
    </row>
    <row r="382" spans="1:6" hidden="1" x14ac:dyDescent="0.2">
      <c r="A382" s="39">
        <v>39196</v>
      </c>
      <c r="B382" s="40" t="s">
        <v>2978</v>
      </c>
      <c r="C382" s="41"/>
      <c r="D382" s="43">
        <v>1874</v>
      </c>
      <c r="E382" s="41" t="s">
        <v>3162</v>
      </c>
      <c r="F382" s="41"/>
    </row>
    <row r="383" spans="1:6" hidden="1" x14ac:dyDescent="0.2">
      <c r="A383" s="39">
        <v>39191</v>
      </c>
      <c r="B383" s="40" t="s">
        <v>2254</v>
      </c>
      <c r="C383" s="41"/>
      <c r="D383" s="43">
        <v>1620</v>
      </c>
      <c r="E383" s="41" t="s">
        <v>1577</v>
      </c>
      <c r="F383" s="41"/>
    </row>
    <row r="384" spans="1:6" hidden="1" x14ac:dyDescent="0.2">
      <c r="A384" s="39">
        <v>39191</v>
      </c>
      <c r="B384" s="40" t="s">
        <v>3915</v>
      </c>
      <c r="C384" s="41"/>
      <c r="D384" s="43">
        <v>1948</v>
      </c>
      <c r="E384" s="41" t="s">
        <v>112</v>
      </c>
      <c r="F384" s="41"/>
    </row>
    <row r="385" spans="1:6" hidden="1" x14ac:dyDescent="0.2">
      <c r="A385" s="39">
        <v>39196</v>
      </c>
      <c r="B385" s="40" t="s">
        <v>2853</v>
      </c>
      <c r="C385" s="41"/>
      <c r="D385" s="43">
        <v>1622</v>
      </c>
      <c r="E385" s="41" t="s">
        <v>3482</v>
      </c>
      <c r="F385" s="41"/>
    </row>
    <row r="386" spans="1:6" hidden="1" x14ac:dyDescent="0.2">
      <c r="A386" s="39">
        <v>39181</v>
      </c>
      <c r="B386" s="40" t="s">
        <v>2994</v>
      </c>
      <c r="C386" s="41"/>
      <c r="D386" s="43">
        <v>1635</v>
      </c>
      <c r="E386" s="41" t="s">
        <v>2504</v>
      </c>
      <c r="F386" s="41"/>
    </row>
    <row r="387" spans="1:6" hidden="1" x14ac:dyDescent="0.2">
      <c r="A387" s="39">
        <v>39213</v>
      </c>
      <c r="B387" s="40" t="s">
        <v>1464</v>
      </c>
      <c r="C387" s="41"/>
      <c r="D387" s="43">
        <v>1614</v>
      </c>
      <c r="E387" s="41" t="s">
        <v>3206</v>
      </c>
      <c r="F387" s="41"/>
    </row>
    <row r="388" spans="1:6" hidden="1" x14ac:dyDescent="0.2">
      <c r="A388" s="39">
        <v>39205</v>
      </c>
      <c r="B388" s="40" t="s">
        <v>1616</v>
      </c>
      <c r="C388" s="41"/>
      <c r="D388" s="43">
        <v>1950</v>
      </c>
      <c r="E388" s="41" t="s">
        <v>1617</v>
      </c>
      <c r="F388" s="41"/>
    </row>
    <row r="389" spans="1:6" hidden="1" x14ac:dyDescent="0.2">
      <c r="A389" s="39">
        <v>39191</v>
      </c>
      <c r="B389" s="40" t="s">
        <v>169</v>
      </c>
      <c r="C389" s="41"/>
      <c r="D389" s="43">
        <v>1615</v>
      </c>
      <c r="E389" s="41" t="s">
        <v>3485</v>
      </c>
      <c r="F389" s="41"/>
    </row>
    <row r="390" spans="1:6" hidden="1" x14ac:dyDescent="0.2">
      <c r="A390" s="39">
        <v>39217</v>
      </c>
      <c r="B390" s="40" t="s">
        <v>681</v>
      </c>
      <c r="C390" s="41"/>
      <c r="D390" s="43">
        <v>1612</v>
      </c>
      <c r="E390" s="41" t="s">
        <v>682</v>
      </c>
      <c r="F390" s="41"/>
    </row>
    <row r="391" spans="1:6" hidden="1" x14ac:dyDescent="0.2">
      <c r="A391" s="39">
        <v>39182</v>
      </c>
      <c r="B391" s="40" t="s">
        <v>1898</v>
      </c>
      <c r="C391" s="41"/>
      <c r="D391" s="43">
        <v>1951</v>
      </c>
      <c r="E391" s="41" t="s">
        <v>112</v>
      </c>
      <c r="F391" s="41"/>
    </row>
    <row r="392" spans="1:6" hidden="1" x14ac:dyDescent="0.2">
      <c r="A392" s="39">
        <v>39191</v>
      </c>
      <c r="B392" s="40" t="s">
        <v>3559</v>
      </c>
      <c r="C392" s="41"/>
      <c r="D392" s="43">
        <v>1947</v>
      </c>
      <c r="E392" s="41" t="s">
        <v>112</v>
      </c>
      <c r="F392" s="41"/>
    </row>
    <row r="393" spans="1:6" hidden="1" x14ac:dyDescent="0.2">
      <c r="A393" s="39">
        <v>39225</v>
      </c>
      <c r="B393" s="40" t="s">
        <v>853</v>
      </c>
      <c r="C393" s="41"/>
      <c r="D393" s="43">
        <v>1723</v>
      </c>
      <c r="E393" s="41" t="s">
        <v>1562</v>
      </c>
      <c r="F393" s="41"/>
    </row>
    <row r="394" spans="1:6" hidden="1" x14ac:dyDescent="0.2">
      <c r="A394" s="39">
        <v>39223</v>
      </c>
      <c r="B394" s="40" t="s">
        <v>2767</v>
      </c>
      <c r="C394" s="41"/>
      <c r="D394" s="43">
        <v>1779</v>
      </c>
      <c r="E394" s="41" t="s">
        <v>3162</v>
      </c>
      <c r="F394" s="41"/>
    </row>
    <row r="395" spans="1:6" hidden="1" x14ac:dyDescent="0.2">
      <c r="A395" s="39">
        <v>39118</v>
      </c>
      <c r="B395" s="40" t="s">
        <v>663</v>
      </c>
      <c r="C395" s="41"/>
      <c r="D395" s="43">
        <v>1413</v>
      </c>
      <c r="E395" s="41" t="s">
        <v>1085</v>
      </c>
      <c r="F395" s="41"/>
    </row>
    <row r="396" spans="1:6" hidden="1" x14ac:dyDescent="0.2">
      <c r="A396" s="39">
        <v>39224</v>
      </c>
      <c r="B396" s="40" t="s">
        <v>277</v>
      </c>
      <c r="C396" s="41"/>
      <c r="D396" s="43">
        <v>1778</v>
      </c>
      <c r="E396" s="41" t="s">
        <v>726</v>
      </c>
      <c r="F396" s="41"/>
    </row>
    <row r="397" spans="1:6" hidden="1" x14ac:dyDescent="0.2">
      <c r="A397" s="39">
        <v>39227</v>
      </c>
      <c r="B397" s="40" t="s">
        <v>2</v>
      </c>
      <c r="C397" s="41"/>
      <c r="D397" s="43">
        <v>1773</v>
      </c>
      <c r="E397" s="41" t="s">
        <v>3523</v>
      </c>
      <c r="F397" s="41"/>
    </row>
    <row r="398" spans="1:6" hidden="1" x14ac:dyDescent="0.2">
      <c r="A398" s="39">
        <v>39212</v>
      </c>
      <c r="B398" s="40" t="s">
        <v>3515</v>
      </c>
      <c r="C398" s="41"/>
      <c r="D398" s="43">
        <v>1782</v>
      </c>
      <c r="E398" s="41" t="s">
        <v>1700</v>
      </c>
      <c r="F398" s="41"/>
    </row>
    <row r="399" spans="1:6" hidden="1" x14ac:dyDescent="0.2">
      <c r="A399" s="39">
        <v>39197</v>
      </c>
      <c r="B399" s="40" t="s">
        <v>2766</v>
      </c>
      <c r="C399" s="41"/>
      <c r="D399" s="43">
        <v>1619</v>
      </c>
      <c r="E399" s="41" t="s">
        <v>1562</v>
      </c>
      <c r="F399" s="41"/>
    </row>
    <row r="400" spans="1:6" hidden="1" x14ac:dyDescent="0.2">
      <c r="A400" s="39">
        <v>39238</v>
      </c>
      <c r="B400" s="40" t="s">
        <v>1505</v>
      </c>
      <c r="C400" s="41"/>
      <c r="D400" s="43">
        <v>1716</v>
      </c>
      <c r="E400" s="41" t="s">
        <v>1562</v>
      </c>
      <c r="F400" s="41"/>
    </row>
    <row r="401" spans="1:6" hidden="1" x14ac:dyDescent="0.2">
      <c r="A401" s="39">
        <v>39237</v>
      </c>
      <c r="B401" s="40" t="s">
        <v>3816</v>
      </c>
      <c r="C401" s="41"/>
      <c r="D401" s="43">
        <v>1721</v>
      </c>
      <c r="E401" s="41" t="s">
        <v>3484</v>
      </c>
      <c r="F401" s="41"/>
    </row>
    <row r="402" spans="1:6" hidden="1" x14ac:dyDescent="0.2">
      <c r="A402" s="39">
        <v>39217</v>
      </c>
      <c r="B402" s="40" t="s">
        <v>3287</v>
      </c>
      <c r="C402" s="41"/>
      <c r="D402" s="43">
        <v>1611</v>
      </c>
      <c r="E402" s="41" t="s">
        <v>3162</v>
      </c>
      <c r="F402" s="41"/>
    </row>
    <row r="403" spans="1:6" hidden="1" x14ac:dyDescent="0.2">
      <c r="A403" s="39">
        <v>39238</v>
      </c>
      <c r="B403" s="40" t="s">
        <v>2578</v>
      </c>
      <c r="C403" s="41"/>
      <c r="D403" s="43">
        <v>1717</v>
      </c>
      <c r="E403" s="41" t="s">
        <v>112</v>
      </c>
      <c r="F403" s="41"/>
    </row>
    <row r="404" spans="1:6" hidden="1" x14ac:dyDescent="0.2">
      <c r="A404" s="39">
        <v>39238</v>
      </c>
      <c r="B404" s="40" t="s">
        <v>2260</v>
      </c>
      <c r="C404" s="41"/>
      <c r="D404" s="43">
        <v>1719</v>
      </c>
      <c r="E404" s="41" t="s">
        <v>3482</v>
      </c>
      <c r="F404" s="41"/>
    </row>
    <row r="405" spans="1:6" hidden="1" x14ac:dyDescent="0.2">
      <c r="A405" s="39">
        <v>39227</v>
      </c>
      <c r="B405" s="40" t="s">
        <v>1493</v>
      </c>
      <c r="C405" s="41"/>
      <c r="D405" s="43">
        <v>1774</v>
      </c>
      <c r="E405" s="41" t="s">
        <v>1086</v>
      </c>
      <c r="F405" s="41"/>
    </row>
    <row r="406" spans="1:6" hidden="1" x14ac:dyDescent="0.2">
      <c r="A406" s="39">
        <v>39167</v>
      </c>
      <c r="B406" s="40" t="s">
        <v>3824</v>
      </c>
      <c r="C406" s="41"/>
      <c r="D406" s="43">
        <v>1642</v>
      </c>
      <c r="E406" s="41" t="s">
        <v>3486</v>
      </c>
      <c r="F406" s="41"/>
    </row>
    <row r="407" spans="1:6" hidden="1" x14ac:dyDescent="0.2">
      <c r="A407" s="39">
        <v>39237</v>
      </c>
      <c r="B407" s="40" t="s">
        <v>3815</v>
      </c>
      <c r="C407" s="41"/>
      <c r="D407" s="43">
        <v>1724</v>
      </c>
      <c r="E407" s="41" t="s">
        <v>3486</v>
      </c>
      <c r="F407" s="41"/>
    </row>
    <row r="408" spans="1:6" hidden="1" x14ac:dyDescent="0.2">
      <c r="A408" s="39">
        <v>39238</v>
      </c>
      <c r="B408" s="40" t="s">
        <v>3817</v>
      </c>
      <c r="C408" s="41"/>
      <c r="D408" s="43">
        <v>1722</v>
      </c>
      <c r="E408" s="41" t="s">
        <v>3162</v>
      </c>
      <c r="F408" s="41"/>
    </row>
    <row r="409" spans="1:6" hidden="1" x14ac:dyDescent="0.2">
      <c r="A409" s="39">
        <v>39259</v>
      </c>
      <c r="B409" s="40" t="s">
        <v>1194</v>
      </c>
      <c r="C409" s="41"/>
      <c r="D409" s="43">
        <v>2064</v>
      </c>
      <c r="E409" s="41" t="s">
        <v>1577</v>
      </c>
      <c r="F409" s="41"/>
    </row>
    <row r="410" spans="1:6" hidden="1" x14ac:dyDescent="0.2">
      <c r="A410" s="39">
        <v>39247</v>
      </c>
      <c r="B410" s="40" t="s">
        <v>3581</v>
      </c>
      <c r="C410" s="41"/>
      <c r="D410" s="43">
        <v>1767</v>
      </c>
      <c r="E410" s="41" t="s">
        <v>1577</v>
      </c>
      <c r="F410" s="41"/>
    </row>
    <row r="411" spans="1:6" hidden="1" x14ac:dyDescent="0.2">
      <c r="A411" s="39">
        <v>39273</v>
      </c>
      <c r="B411" s="40" t="s">
        <v>27</v>
      </c>
      <c r="C411" s="41"/>
      <c r="D411" s="43">
        <v>1761</v>
      </c>
      <c r="E411" s="41" t="s">
        <v>3523</v>
      </c>
      <c r="F411" s="41"/>
    </row>
    <row r="412" spans="1:6" hidden="1" x14ac:dyDescent="0.2">
      <c r="A412" s="39">
        <v>39273</v>
      </c>
      <c r="B412" s="40" t="s">
        <v>1568</v>
      </c>
      <c r="C412" s="41"/>
      <c r="D412" s="43">
        <v>1762</v>
      </c>
      <c r="E412" s="41" t="s">
        <v>1085</v>
      </c>
      <c r="F412" s="41"/>
    </row>
    <row r="413" spans="1:6" hidden="1" x14ac:dyDescent="0.2">
      <c r="A413" s="39">
        <v>39289</v>
      </c>
      <c r="B413" s="40" t="s">
        <v>2983</v>
      </c>
      <c r="C413" s="41"/>
      <c r="D413" s="43">
        <v>1746</v>
      </c>
      <c r="E413" s="41" t="s">
        <v>2504</v>
      </c>
      <c r="F413" s="41"/>
    </row>
    <row r="414" spans="1:6" hidden="1" x14ac:dyDescent="0.2">
      <c r="A414" s="39">
        <v>39226</v>
      </c>
      <c r="B414" s="40" t="s">
        <v>3</v>
      </c>
      <c r="C414" s="41"/>
      <c r="D414" s="43">
        <v>1776</v>
      </c>
      <c r="E414" s="41" t="s">
        <v>1086</v>
      </c>
      <c r="F414" s="41"/>
    </row>
    <row r="415" spans="1:6" hidden="1" x14ac:dyDescent="0.2">
      <c r="A415" s="39">
        <v>39265</v>
      </c>
      <c r="B415" s="40" t="s">
        <v>3054</v>
      </c>
      <c r="C415" s="41"/>
      <c r="D415" s="43">
        <v>2068</v>
      </c>
      <c r="E415" s="41" t="s">
        <v>1086</v>
      </c>
      <c r="F415" s="41"/>
    </row>
    <row r="416" spans="1:6" hidden="1" x14ac:dyDescent="0.2">
      <c r="A416" s="39">
        <v>39265</v>
      </c>
      <c r="B416" s="40" t="s">
        <v>3624</v>
      </c>
      <c r="C416" s="41"/>
      <c r="D416" s="43">
        <v>2069</v>
      </c>
      <c r="E416" s="41" t="s">
        <v>3206</v>
      </c>
      <c r="F416" s="41"/>
    </row>
    <row r="417" spans="1:6" hidden="1" x14ac:dyDescent="0.2">
      <c r="A417" s="39">
        <v>39196</v>
      </c>
      <c r="B417" s="40" t="s">
        <v>93</v>
      </c>
      <c r="C417" s="41"/>
      <c r="D417" s="43">
        <v>1621</v>
      </c>
      <c r="E417" s="41" t="s">
        <v>2504</v>
      </c>
      <c r="F417" s="41"/>
    </row>
    <row r="418" spans="1:6" hidden="1" x14ac:dyDescent="0.2">
      <c r="A418" s="53">
        <v>39293</v>
      </c>
      <c r="B418" s="55" t="s">
        <v>3801</v>
      </c>
      <c r="C418" s="58"/>
      <c r="D418" s="43">
        <v>1745</v>
      </c>
      <c r="E418" s="61" t="s">
        <v>1085</v>
      </c>
      <c r="F418" s="61"/>
    </row>
    <row r="419" spans="1:6" hidden="1" x14ac:dyDescent="0.2">
      <c r="A419" s="48">
        <v>39280</v>
      </c>
      <c r="B419" s="49" t="s">
        <v>1063</v>
      </c>
      <c r="D419" s="51">
        <v>2078</v>
      </c>
      <c r="E419" s="50" t="s">
        <v>3485</v>
      </c>
    </row>
    <row r="420" spans="1:6" hidden="1" x14ac:dyDescent="0.2">
      <c r="A420" s="48">
        <v>39239</v>
      </c>
      <c r="B420" s="49" t="s">
        <v>2261</v>
      </c>
      <c r="D420" s="51">
        <v>1720</v>
      </c>
      <c r="E420" s="50" t="s">
        <v>1617</v>
      </c>
    </row>
    <row r="421" spans="1:6" hidden="1" x14ac:dyDescent="0.2">
      <c r="A421" s="48">
        <v>39223</v>
      </c>
      <c r="B421" s="49" t="s">
        <v>183</v>
      </c>
      <c r="D421" s="51">
        <v>1777</v>
      </c>
      <c r="E421" s="50" t="s">
        <v>3480</v>
      </c>
    </row>
    <row r="422" spans="1:6" hidden="1" x14ac:dyDescent="0.2">
      <c r="A422" s="48">
        <v>39295</v>
      </c>
      <c r="B422" s="49" t="s">
        <v>2082</v>
      </c>
      <c r="D422" s="51">
        <v>2113</v>
      </c>
      <c r="E422" s="50" t="s">
        <v>1577</v>
      </c>
    </row>
    <row r="423" spans="1:6" hidden="1" x14ac:dyDescent="0.2">
      <c r="A423" s="48">
        <v>39189</v>
      </c>
      <c r="B423" s="49" t="s">
        <v>1592</v>
      </c>
      <c r="D423" s="51">
        <v>1629</v>
      </c>
      <c r="E423" s="50" t="s">
        <v>1577</v>
      </c>
    </row>
    <row r="424" spans="1:6" hidden="1" x14ac:dyDescent="0.2">
      <c r="A424" s="48">
        <v>39118</v>
      </c>
      <c r="B424" s="49" t="s">
        <v>2255</v>
      </c>
      <c r="D424" s="51">
        <v>1260</v>
      </c>
      <c r="E424" s="50" t="s">
        <v>3482</v>
      </c>
    </row>
    <row r="425" spans="1:6" hidden="1" x14ac:dyDescent="0.2">
      <c r="A425" s="48">
        <v>39321</v>
      </c>
      <c r="B425" s="49" t="s">
        <v>2654</v>
      </c>
      <c r="D425" s="51">
        <v>2127</v>
      </c>
      <c r="E425" s="50" t="s">
        <v>3478</v>
      </c>
    </row>
    <row r="426" spans="1:6" hidden="1" x14ac:dyDescent="0.2">
      <c r="A426" s="48">
        <v>39321</v>
      </c>
      <c r="B426" s="49" t="s">
        <v>11</v>
      </c>
      <c r="D426" s="51">
        <v>2128</v>
      </c>
    </row>
    <row r="427" spans="1:6" hidden="1" x14ac:dyDescent="0.2">
      <c r="A427" s="48">
        <v>39153</v>
      </c>
      <c r="B427" s="49" t="s">
        <v>448</v>
      </c>
      <c r="D427" s="51">
        <v>1648</v>
      </c>
      <c r="E427" s="50" t="s">
        <v>449</v>
      </c>
    </row>
    <row r="428" spans="1:6" ht="25.5" hidden="1" x14ac:dyDescent="0.2">
      <c r="A428" s="48">
        <v>38791</v>
      </c>
      <c r="B428" s="49" t="s">
        <v>195</v>
      </c>
      <c r="D428" s="51">
        <v>333</v>
      </c>
    </row>
    <row r="429" spans="1:6" hidden="1" x14ac:dyDescent="0.2">
      <c r="A429" s="48">
        <v>38791</v>
      </c>
      <c r="B429" s="49" t="s">
        <v>1412</v>
      </c>
      <c r="D429" s="51">
        <v>321</v>
      </c>
    </row>
    <row r="430" spans="1:6" hidden="1" x14ac:dyDescent="0.2">
      <c r="A430" s="48">
        <v>39023</v>
      </c>
      <c r="B430" s="49" t="s">
        <v>2006</v>
      </c>
      <c r="D430" s="51">
        <v>849</v>
      </c>
      <c r="E430" s="50" t="s">
        <v>1562</v>
      </c>
    </row>
    <row r="431" spans="1:6" hidden="1" x14ac:dyDescent="0.2">
      <c r="A431" s="48">
        <v>39055</v>
      </c>
      <c r="B431" s="49" t="s">
        <v>3051</v>
      </c>
      <c r="D431" s="51">
        <v>1081</v>
      </c>
      <c r="E431" s="50" t="s">
        <v>1562</v>
      </c>
    </row>
    <row r="432" spans="1:6" hidden="1" x14ac:dyDescent="0.2">
      <c r="A432" s="48">
        <v>39091</v>
      </c>
      <c r="B432" s="49" t="s">
        <v>3574</v>
      </c>
      <c r="D432" s="51">
        <v>1430</v>
      </c>
      <c r="E432" s="50" t="s">
        <v>3162</v>
      </c>
    </row>
    <row r="433" spans="1:5" hidden="1" x14ac:dyDescent="0.2">
      <c r="A433" s="48">
        <v>39099</v>
      </c>
      <c r="B433" s="49" t="s">
        <v>2239</v>
      </c>
      <c r="D433" s="51">
        <v>1400</v>
      </c>
      <c r="E433" s="50" t="s">
        <v>3486</v>
      </c>
    </row>
    <row r="434" spans="1:5" hidden="1" x14ac:dyDescent="0.2">
      <c r="A434" s="48">
        <v>39119</v>
      </c>
      <c r="B434" s="49" t="s">
        <v>1105</v>
      </c>
      <c r="D434" s="51">
        <v>1265</v>
      </c>
      <c r="E434" s="50" t="s">
        <v>2780</v>
      </c>
    </row>
    <row r="435" spans="1:5" hidden="1" x14ac:dyDescent="0.2">
      <c r="A435" s="48">
        <v>39133</v>
      </c>
      <c r="B435" s="49" t="s">
        <v>2622</v>
      </c>
      <c r="D435" s="51">
        <v>1531</v>
      </c>
      <c r="E435" s="50" t="s">
        <v>3162</v>
      </c>
    </row>
    <row r="436" spans="1:5" hidden="1" x14ac:dyDescent="0.2">
      <c r="A436" s="48">
        <v>39231</v>
      </c>
      <c r="B436" s="49" t="s">
        <v>1572</v>
      </c>
      <c r="D436" s="51">
        <v>1771</v>
      </c>
      <c r="E436" s="50" t="s">
        <v>425</v>
      </c>
    </row>
    <row r="437" spans="1:5" hidden="1" x14ac:dyDescent="0.2">
      <c r="A437" s="48">
        <v>39241</v>
      </c>
      <c r="B437" s="49" t="s">
        <v>1927</v>
      </c>
      <c r="D437" s="51">
        <v>1987</v>
      </c>
      <c r="E437" s="50" t="s">
        <v>1085</v>
      </c>
    </row>
    <row r="438" spans="1:5" hidden="1" x14ac:dyDescent="0.2">
      <c r="A438" s="48">
        <v>39205</v>
      </c>
      <c r="B438" s="49" t="s">
        <v>3536</v>
      </c>
      <c r="D438" s="51">
        <v>1616</v>
      </c>
      <c r="E438" s="50" t="s">
        <v>3206</v>
      </c>
    </row>
    <row r="439" spans="1:5" hidden="1" x14ac:dyDescent="0.2">
      <c r="A439" s="48">
        <v>38786</v>
      </c>
      <c r="B439" s="49" t="s">
        <v>2149</v>
      </c>
      <c r="D439" s="51">
        <v>330</v>
      </c>
    </row>
    <row r="440" spans="1:5" hidden="1" x14ac:dyDescent="0.2">
      <c r="A440" s="48">
        <v>38786</v>
      </c>
      <c r="B440" s="49" t="s">
        <v>1851</v>
      </c>
      <c r="D440" s="51">
        <v>34</v>
      </c>
    </row>
    <row r="441" spans="1:5" hidden="1" x14ac:dyDescent="0.2">
      <c r="A441" s="48">
        <v>39316</v>
      </c>
      <c r="B441" s="49" t="s">
        <v>725</v>
      </c>
      <c r="D441" s="51">
        <v>2123</v>
      </c>
    </row>
    <row r="442" spans="1:5" hidden="1" x14ac:dyDescent="0.2">
      <c r="A442" s="48">
        <v>39330</v>
      </c>
      <c r="B442" s="49" t="s">
        <v>919</v>
      </c>
      <c r="D442" s="51">
        <v>2112</v>
      </c>
      <c r="E442" s="50" t="s">
        <v>3478</v>
      </c>
    </row>
    <row r="443" spans="1:5" hidden="1" x14ac:dyDescent="0.2">
      <c r="A443" s="48">
        <v>39321</v>
      </c>
      <c r="B443" s="49" t="s">
        <v>3225</v>
      </c>
      <c r="D443" s="51">
        <v>2132</v>
      </c>
      <c r="E443" s="50" t="s">
        <v>1562</v>
      </c>
    </row>
    <row r="444" spans="1:5" hidden="1" x14ac:dyDescent="0.2">
      <c r="A444" s="48">
        <v>39293</v>
      </c>
      <c r="B444" s="49" t="s">
        <v>4004</v>
      </c>
      <c r="D444" s="51">
        <v>1728</v>
      </c>
      <c r="E444" s="50" t="s">
        <v>3162</v>
      </c>
    </row>
    <row r="445" spans="1:5" hidden="1" x14ac:dyDescent="0.2">
      <c r="A445" s="48">
        <v>39294</v>
      </c>
      <c r="B445" s="49" t="s">
        <v>1477</v>
      </c>
      <c r="D445" s="51">
        <v>2104</v>
      </c>
      <c r="E445" s="50" t="s">
        <v>1085</v>
      </c>
    </row>
    <row r="446" spans="1:5" hidden="1" x14ac:dyDescent="0.2">
      <c r="A446" s="48">
        <v>39280</v>
      </c>
      <c r="B446" s="49" t="s">
        <v>3538</v>
      </c>
      <c r="D446" s="51">
        <v>1743</v>
      </c>
      <c r="E446" s="50" t="s">
        <v>3485</v>
      </c>
    </row>
    <row r="447" spans="1:5" hidden="1" x14ac:dyDescent="0.2">
      <c r="A447" s="48">
        <v>39331</v>
      </c>
      <c r="B447" s="49" t="s">
        <v>2092</v>
      </c>
      <c r="D447" s="51">
        <v>1741</v>
      </c>
      <c r="E447" s="50" t="s">
        <v>3523</v>
      </c>
    </row>
    <row r="448" spans="1:5" hidden="1" x14ac:dyDescent="0.2">
      <c r="A448" s="48">
        <v>39331</v>
      </c>
      <c r="B448" s="49" t="s">
        <v>2003</v>
      </c>
      <c r="D448" s="51">
        <v>1742</v>
      </c>
      <c r="E448" s="50" t="s">
        <v>3523</v>
      </c>
    </row>
    <row r="449" spans="1:5" hidden="1" x14ac:dyDescent="0.2">
      <c r="A449" s="48">
        <v>39344</v>
      </c>
      <c r="B449" s="49" t="s">
        <v>2558</v>
      </c>
      <c r="D449" s="51">
        <v>2169</v>
      </c>
      <c r="E449" s="50" t="s">
        <v>748</v>
      </c>
    </row>
    <row r="450" spans="1:5" hidden="1" x14ac:dyDescent="0.2">
      <c r="A450" s="48">
        <v>39343</v>
      </c>
      <c r="B450" s="49" t="s">
        <v>3596</v>
      </c>
      <c r="D450" s="51">
        <v>2167</v>
      </c>
      <c r="E450" s="50" t="s">
        <v>3597</v>
      </c>
    </row>
    <row r="451" spans="1:5" hidden="1" x14ac:dyDescent="0.2">
      <c r="A451" s="48">
        <v>39300</v>
      </c>
      <c r="B451" s="49" t="s">
        <v>642</v>
      </c>
      <c r="D451" s="51">
        <v>2118</v>
      </c>
      <c r="E451" s="50" t="s">
        <v>3482</v>
      </c>
    </row>
    <row r="452" spans="1:5" hidden="1" x14ac:dyDescent="0.2">
      <c r="A452" s="48">
        <v>39290</v>
      </c>
      <c r="B452" s="49" t="s">
        <v>3745</v>
      </c>
      <c r="D452" s="51">
        <v>2093</v>
      </c>
      <c r="E452" s="50" t="s">
        <v>3482</v>
      </c>
    </row>
    <row r="453" spans="1:5" hidden="1" x14ac:dyDescent="0.2">
      <c r="A453" s="48">
        <v>39290</v>
      </c>
      <c r="B453" s="49" t="s">
        <v>3744</v>
      </c>
      <c r="D453" s="51">
        <v>2092</v>
      </c>
      <c r="E453" s="50" t="s">
        <v>3482</v>
      </c>
    </row>
    <row r="454" spans="1:5" hidden="1" x14ac:dyDescent="0.2">
      <c r="A454" s="48">
        <v>39350</v>
      </c>
      <c r="B454" s="49" t="s">
        <v>3443</v>
      </c>
      <c r="D454" s="51">
        <v>1740</v>
      </c>
      <c r="E454" s="50" t="s">
        <v>3206</v>
      </c>
    </row>
    <row r="455" spans="1:5" hidden="1" x14ac:dyDescent="0.2">
      <c r="A455" s="48">
        <v>39337</v>
      </c>
      <c r="B455" s="49" t="s">
        <v>714</v>
      </c>
      <c r="D455" s="51">
        <v>2165</v>
      </c>
      <c r="E455" s="50" t="s">
        <v>1562</v>
      </c>
    </row>
    <row r="456" spans="1:5" hidden="1" x14ac:dyDescent="0.2">
      <c r="A456" s="48">
        <v>39321</v>
      </c>
      <c r="B456" s="49" t="s">
        <v>2059</v>
      </c>
      <c r="D456" s="51">
        <v>2124</v>
      </c>
      <c r="E456" s="50" t="s">
        <v>3162</v>
      </c>
    </row>
    <row r="457" spans="1:5" hidden="1" x14ac:dyDescent="0.2">
      <c r="A457" s="48">
        <v>38992</v>
      </c>
      <c r="B457" s="49" t="s">
        <v>2539</v>
      </c>
      <c r="D457" s="51">
        <v>865</v>
      </c>
      <c r="E457" s="50" t="s">
        <v>3482</v>
      </c>
    </row>
    <row r="458" spans="1:5" hidden="1" x14ac:dyDescent="0.2">
      <c r="A458" s="48">
        <v>39295</v>
      </c>
      <c r="B458" s="49" t="s">
        <v>3267</v>
      </c>
      <c r="D458" s="51">
        <v>2115</v>
      </c>
      <c r="E458" s="50" t="s">
        <v>3162</v>
      </c>
    </row>
    <row r="459" spans="1:5" hidden="1" x14ac:dyDescent="0.2">
      <c r="A459" s="48">
        <v>39357</v>
      </c>
      <c r="B459" s="49" t="s">
        <v>4018</v>
      </c>
      <c r="D459" s="51">
        <v>2225</v>
      </c>
      <c r="E459" s="50" t="s">
        <v>3480</v>
      </c>
    </row>
    <row r="460" spans="1:5" hidden="1" x14ac:dyDescent="0.2">
      <c r="A460" s="48">
        <v>39357</v>
      </c>
      <c r="B460" s="49" t="s">
        <v>3790</v>
      </c>
      <c r="D460" s="51">
        <v>2242</v>
      </c>
      <c r="E460" s="50" t="s">
        <v>3480</v>
      </c>
    </row>
    <row r="461" spans="1:5" hidden="1" x14ac:dyDescent="0.2">
      <c r="A461" s="48">
        <v>39358</v>
      </c>
      <c r="B461" s="49" t="s">
        <v>282</v>
      </c>
      <c r="D461" s="51">
        <v>1733</v>
      </c>
      <c r="E461" s="50" t="s">
        <v>3486</v>
      </c>
    </row>
    <row r="462" spans="1:5" hidden="1" x14ac:dyDescent="0.2">
      <c r="A462" s="48">
        <v>39290</v>
      </c>
      <c r="B462" s="49" t="s">
        <v>1284</v>
      </c>
      <c r="D462" s="51">
        <v>2094</v>
      </c>
      <c r="E462" s="50" t="s">
        <v>3482</v>
      </c>
    </row>
    <row r="463" spans="1:5" hidden="1" x14ac:dyDescent="0.2">
      <c r="A463" s="48">
        <v>39290</v>
      </c>
      <c r="B463" s="49" t="s">
        <v>1990</v>
      </c>
      <c r="D463" s="51">
        <v>2095</v>
      </c>
      <c r="E463" s="50" t="s">
        <v>3482</v>
      </c>
    </row>
    <row r="464" spans="1:5" hidden="1" x14ac:dyDescent="0.2">
      <c r="A464" s="48">
        <v>39290</v>
      </c>
      <c r="B464" s="49" t="s">
        <v>909</v>
      </c>
      <c r="D464" s="51">
        <v>2098</v>
      </c>
      <c r="E464" s="50" t="s">
        <v>3482</v>
      </c>
    </row>
    <row r="465" spans="1:5" hidden="1" x14ac:dyDescent="0.2">
      <c r="A465" s="48">
        <v>39290</v>
      </c>
      <c r="B465" s="49" t="s">
        <v>420</v>
      </c>
      <c r="D465" s="51">
        <v>2096</v>
      </c>
      <c r="E465" s="50" t="s">
        <v>3482</v>
      </c>
    </row>
    <row r="466" spans="1:5" hidden="1" x14ac:dyDescent="0.2">
      <c r="A466" s="48">
        <v>39351</v>
      </c>
      <c r="B466" s="49" t="s">
        <v>1447</v>
      </c>
      <c r="D466" s="51">
        <v>1737</v>
      </c>
      <c r="E466" s="50" t="s">
        <v>3162</v>
      </c>
    </row>
    <row r="467" spans="1:5" hidden="1" x14ac:dyDescent="0.2">
      <c r="A467" s="48">
        <v>39372</v>
      </c>
      <c r="B467" s="49" t="s">
        <v>629</v>
      </c>
      <c r="D467" s="51">
        <v>1760</v>
      </c>
      <c r="E467" s="50" t="s">
        <v>630</v>
      </c>
    </row>
    <row r="468" spans="1:5" hidden="1" x14ac:dyDescent="0.2">
      <c r="A468" s="48">
        <v>39245</v>
      </c>
      <c r="B468" s="49" t="s">
        <v>527</v>
      </c>
      <c r="D468" s="51">
        <v>1769</v>
      </c>
      <c r="E468" s="50" t="s">
        <v>528</v>
      </c>
    </row>
    <row r="469" spans="1:5" hidden="1" x14ac:dyDescent="0.2">
      <c r="A469" s="48">
        <v>39354</v>
      </c>
      <c r="B469" s="49" t="s">
        <v>2725</v>
      </c>
      <c r="D469" s="51">
        <v>1735</v>
      </c>
    </row>
    <row r="470" spans="1:5" hidden="1" x14ac:dyDescent="0.2">
      <c r="A470" s="48">
        <v>39370</v>
      </c>
      <c r="B470" s="49" t="s">
        <v>2653</v>
      </c>
      <c r="D470" s="51">
        <v>1744</v>
      </c>
      <c r="E470" s="50" t="s">
        <v>3162</v>
      </c>
    </row>
    <row r="471" spans="1:5" hidden="1" x14ac:dyDescent="0.2">
      <c r="A471" s="48">
        <v>39371</v>
      </c>
      <c r="B471" s="49" t="s">
        <v>3341</v>
      </c>
      <c r="D471" s="51">
        <v>2300</v>
      </c>
      <c r="E471" s="50" t="s">
        <v>3480</v>
      </c>
    </row>
    <row r="472" spans="1:5" hidden="1" x14ac:dyDescent="0.2">
      <c r="A472" s="48">
        <v>39378</v>
      </c>
      <c r="B472" s="49" t="s">
        <v>2017</v>
      </c>
      <c r="D472" s="51">
        <v>1756</v>
      </c>
      <c r="E472" s="50" t="s">
        <v>3162</v>
      </c>
    </row>
    <row r="473" spans="1:5" hidden="1" x14ac:dyDescent="0.2">
      <c r="A473" s="48">
        <v>39371</v>
      </c>
      <c r="B473" s="49" t="s">
        <v>3077</v>
      </c>
      <c r="D473" s="51">
        <v>1748</v>
      </c>
      <c r="E473" s="50" t="s">
        <v>1562</v>
      </c>
    </row>
    <row r="474" spans="1:5" hidden="1" x14ac:dyDescent="0.2">
      <c r="A474" s="48">
        <v>39374</v>
      </c>
      <c r="B474" s="49" t="s">
        <v>1726</v>
      </c>
      <c r="D474" s="51">
        <v>1747</v>
      </c>
      <c r="E474" s="50" t="s">
        <v>3485</v>
      </c>
    </row>
    <row r="475" spans="1:5" hidden="1" x14ac:dyDescent="0.2">
      <c r="A475" s="48">
        <v>39294</v>
      </c>
      <c r="B475" s="49" t="s">
        <v>1708</v>
      </c>
      <c r="D475" s="51">
        <v>2103</v>
      </c>
      <c r="E475" s="50" t="s">
        <v>1577</v>
      </c>
    </row>
    <row r="476" spans="1:5" hidden="1" x14ac:dyDescent="0.2">
      <c r="A476" s="48">
        <v>39384</v>
      </c>
      <c r="B476" s="49" t="s">
        <v>3076</v>
      </c>
      <c r="D476" s="51">
        <v>1752</v>
      </c>
      <c r="E476" s="50" t="s">
        <v>3162</v>
      </c>
    </row>
    <row r="477" spans="1:5" hidden="1" x14ac:dyDescent="0.2">
      <c r="A477" s="48">
        <v>39359</v>
      </c>
      <c r="B477" s="49" t="s">
        <v>2561</v>
      </c>
      <c r="D477" s="51">
        <v>1734</v>
      </c>
      <c r="E477" s="50" t="s">
        <v>3162</v>
      </c>
    </row>
    <row r="478" spans="1:5" hidden="1" x14ac:dyDescent="0.2">
      <c r="A478" s="48">
        <v>39384</v>
      </c>
      <c r="B478" s="49" t="s">
        <v>1555</v>
      </c>
      <c r="D478" s="51">
        <v>1749</v>
      </c>
      <c r="E478" s="50" t="s">
        <v>1562</v>
      </c>
    </row>
    <row r="479" spans="1:5" hidden="1" x14ac:dyDescent="0.2">
      <c r="A479" s="48">
        <v>39372</v>
      </c>
      <c r="B479" s="49" t="s">
        <v>727</v>
      </c>
      <c r="D479" s="51">
        <v>1759</v>
      </c>
      <c r="E479" s="50" t="s">
        <v>3486</v>
      </c>
    </row>
    <row r="480" spans="1:5" hidden="1" x14ac:dyDescent="0.2">
      <c r="A480" s="48">
        <v>39351</v>
      </c>
      <c r="B480" s="49" t="s">
        <v>716</v>
      </c>
      <c r="D480" s="51">
        <v>1738</v>
      </c>
      <c r="E480" s="50" t="s">
        <v>3485</v>
      </c>
    </row>
    <row r="481" spans="1:5" hidden="1" x14ac:dyDescent="0.2">
      <c r="A481" s="48">
        <v>39391</v>
      </c>
      <c r="B481" s="49" t="s">
        <v>558</v>
      </c>
      <c r="D481" s="51">
        <v>2043</v>
      </c>
      <c r="E481" s="50" t="s">
        <v>1562</v>
      </c>
    </row>
    <row r="482" spans="1:5" hidden="1" x14ac:dyDescent="0.2">
      <c r="A482" s="48">
        <v>39400</v>
      </c>
      <c r="B482" s="49" t="s">
        <v>3171</v>
      </c>
      <c r="D482" s="51">
        <v>2352</v>
      </c>
      <c r="E482" s="50" t="s">
        <v>3486</v>
      </c>
    </row>
    <row r="483" spans="1:5" hidden="1" x14ac:dyDescent="0.2">
      <c r="A483" s="48">
        <v>39357</v>
      </c>
      <c r="B483" s="49" t="s">
        <v>1641</v>
      </c>
      <c r="D483" s="51">
        <v>2273</v>
      </c>
      <c r="E483" s="50" t="s">
        <v>3486</v>
      </c>
    </row>
    <row r="484" spans="1:5" hidden="1" x14ac:dyDescent="0.2">
      <c r="A484" s="48">
        <v>39363</v>
      </c>
      <c r="B484" s="49" t="s">
        <v>2094</v>
      </c>
      <c r="D484" s="51">
        <v>1730</v>
      </c>
      <c r="E484" s="50" t="s">
        <v>3480</v>
      </c>
    </row>
    <row r="485" spans="1:5" hidden="1" x14ac:dyDescent="0.2">
      <c r="A485" s="48">
        <v>39395</v>
      </c>
      <c r="B485" s="49" t="s">
        <v>1690</v>
      </c>
      <c r="D485" s="51">
        <v>2350</v>
      </c>
      <c r="E485" s="50" t="s">
        <v>3032</v>
      </c>
    </row>
    <row r="486" spans="1:5" hidden="1" x14ac:dyDescent="0.2">
      <c r="A486" s="48">
        <v>39388</v>
      </c>
      <c r="B486" s="49" t="s">
        <v>3981</v>
      </c>
      <c r="D486" s="51">
        <v>1373</v>
      </c>
      <c r="E486" s="50" t="s">
        <v>3032</v>
      </c>
    </row>
    <row r="487" spans="1:5" hidden="1" x14ac:dyDescent="0.2">
      <c r="A487" s="48">
        <v>39359</v>
      </c>
      <c r="B487" s="49" t="s">
        <v>1622</v>
      </c>
      <c r="D487" s="51">
        <v>1732</v>
      </c>
      <c r="E487" s="50" t="s">
        <v>3162</v>
      </c>
    </row>
    <row r="488" spans="1:5" hidden="1" x14ac:dyDescent="0.2">
      <c r="A488" s="48">
        <v>39408</v>
      </c>
      <c r="B488" s="49" t="s">
        <v>3637</v>
      </c>
      <c r="D488" s="51">
        <v>2348</v>
      </c>
      <c r="E488" s="50" t="s">
        <v>433</v>
      </c>
    </row>
    <row r="489" spans="1:5" hidden="1" x14ac:dyDescent="0.2">
      <c r="A489" s="48">
        <v>39374</v>
      </c>
      <c r="B489" s="49" t="s">
        <v>2948</v>
      </c>
      <c r="D489" s="51">
        <v>1750</v>
      </c>
      <c r="E489" s="50" t="s">
        <v>3162</v>
      </c>
    </row>
    <row r="490" spans="1:5" hidden="1" x14ac:dyDescent="0.2">
      <c r="A490" s="48">
        <v>39390</v>
      </c>
      <c r="B490" s="49" t="s">
        <v>3889</v>
      </c>
      <c r="D490" s="51">
        <v>2347</v>
      </c>
      <c r="E490" s="50" t="s">
        <v>1562</v>
      </c>
    </row>
    <row r="491" spans="1:5" hidden="1" x14ac:dyDescent="0.2">
      <c r="A491" s="48">
        <v>39398</v>
      </c>
      <c r="B491" s="49" t="s">
        <v>3188</v>
      </c>
      <c r="D491" s="51">
        <v>2596</v>
      </c>
      <c r="E491" s="50" t="s">
        <v>1562</v>
      </c>
    </row>
    <row r="492" spans="1:5" hidden="1" x14ac:dyDescent="0.2">
      <c r="A492" s="48">
        <v>39415</v>
      </c>
      <c r="B492" s="49" t="s">
        <v>2959</v>
      </c>
      <c r="D492" s="51">
        <v>2697</v>
      </c>
      <c r="E492" s="50" t="s">
        <v>3482</v>
      </c>
    </row>
    <row r="493" spans="1:5" ht="25.5" hidden="1" x14ac:dyDescent="0.2">
      <c r="A493" s="48">
        <v>39359</v>
      </c>
      <c r="B493" s="49" t="s">
        <v>3057</v>
      </c>
      <c r="D493" s="51">
        <v>1731</v>
      </c>
      <c r="E493" s="50" t="s">
        <v>3162</v>
      </c>
    </row>
    <row r="494" spans="1:5" hidden="1" x14ac:dyDescent="0.2">
      <c r="A494" s="48">
        <v>39350</v>
      </c>
      <c r="B494" s="49" t="s">
        <v>3867</v>
      </c>
      <c r="D494" s="51">
        <v>1739</v>
      </c>
      <c r="E494" s="50" t="s">
        <v>1577</v>
      </c>
    </row>
    <row r="495" spans="1:5" hidden="1" x14ac:dyDescent="0.2">
      <c r="A495" s="48">
        <v>39336</v>
      </c>
      <c r="B495" s="49" t="s">
        <v>1191</v>
      </c>
      <c r="D495" s="51">
        <v>2162</v>
      </c>
      <c r="E495" s="50" t="s">
        <v>1562</v>
      </c>
    </row>
    <row r="496" spans="1:5" hidden="1" x14ac:dyDescent="0.2">
      <c r="A496" s="48">
        <v>39415</v>
      </c>
      <c r="B496" s="49" t="s">
        <v>1835</v>
      </c>
      <c r="D496" s="51">
        <v>2780</v>
      </c>
      <c r="E496" s="50" t="s">
        <v>1562</v>
      </c>
    </row>
    <row r="497" spans="1:5" hidden="1" x14ac:dyDescent="0.2">
      <c r="A497" s="48">
        <v>39426</v>
      </c>
      <c r="B497" s="49" t="s">
        <v>757</v>
      </c>
      <c r="D497" s="51">
        <v>2792</v>
      </c>
      <c r="E497" s="50" t="s">
        <v>3480</v>
      </c>
    </row>
    <row r="498" spans="1:5" hidden="1" x14ac:dyDescent="0.2">
      <c r="A498" s="48">
        <v>39386</v>
      </c>
      <c r="B498" s="49" t="s">
        <v>2230</v>
      </c>
      <c r="D498" s="51">
        <v>2509</v>
      </c>
      <c r="E498" s="50" t="s">
        <v>838</v>
      </c>
    </row>
    <row r="499" spans="1:5" hidden="1" x14ac:dyDescent="0.2">
      <c r="A499" s="48">
        <v>39197</v>
      </c>
      <c r="B499" s="49" t="s">
        <v>1096</v>
      </c>
      <c r="D499" s="51">
        <v>1618</v>
      </c>
      <c r="E499" s="50" t="s">
        <v>1085</v>
      </c>
    </row>
    <row r="500" spans="1:5" hidden="1" x14ac:dyDescent="0.2">
      <c r="A500" s="48">
        <v>39421</v>
      </c>
      <c r="B500" s="49" t="s">
        <v>197</v>
      </c>
      <c r="D500" s="51">
        <v>2778</v>
      </c>
      <c r="E500" s="50" t="s">
        <v>1562</v>
      </c>
    </row>
    <row r="501" spans="1:5" hidden="1" x14ac:dyDescent="0.2">
      <c r="A501" s="48">
        <v>39422</v>
      </c>
      <c r="B501" s="49" t="s">
        <v>126</v>
      </c>
      <c r="D501" s="51">
        <v>2772</v>
      </c>
      <c r="E501" s="50" t="s">
        <v>3162</v>
      </c>
    </row>
    <row r="502" spans="1:5" hidden="1" x14ac:dyDescent="0.2">
      <c r="A502" s="48">
        <v>39294</v>
      </c>
      <c r="B502" s="49" t="s">
        <v>168</v>
      </c>
      <c r="D502" s="51">
        <v>1375</v>
      </c>
      <c r="E502" s="50" t="s">
        <v>3162</v>
      </c>
    </row>
    <row r="503" spans="1:5" hidden="1" x14ac:dyDescent="0.2">
      <c r="A503" s="48">
        <v>39421</v>
      </c>
      <c r="B503" s="49" t="s">
        <v>1775</v>
      </c>
      <c r="D503" s="51">
        <v>2779</v>
      </c>
      <c r="E503" s="50" t="s">
        <v>3485</v>
      </c>
    </row>
    <row r="504" spans="1:5" hidden="1" x14ac:dyDescent="0.2">
      <c r="A504" s="48">
        <v>39421</v>
      </c>
      <c r="B504" s="49" t="s">
        <v>1776</v>
      </c>
      <c r="D504" s="51">
        <v>2777</v>
      </c>
      <c r="E504" s="50" t="s">
        <v>3485</v>
      </c>
    </row>
    <row r="505" spans="1:5" hidden="1" x14ac:dyDescent="0.2">
      <c r="A505" s="48">
        <v>39400</v>
      </c>
      <c r="B505" s="49" t="s">
        <v>2318</v>
      </c>
      <c r="D505" s="51">
        <v>2613</v>
      </c>
      <c r="E505" s="50" t="s">
        <v>3032</v>
      </c>
    </row>
    <row r="506" spans="1:5" hidden="1" x14ac:dyDescent="0.2">
      <c r="A506" s="48">
        <v>39455</v>
      </c>
      <c r="B506" s="49" t="s">
        <v>2113</v>
      </c>
      <c r="D506" s="51">
        <v>2774</v>
      </c>
      <c r="E506" s="50" t="s">
        <v>3162</v>
      </c>
    </row>
    <row r="507" spans="1:5" hidden="1" x14ac:dyDescent="0.2">
      <c r="A507" s="48">
        <v>39437</v>
      </c>
      <c r="B507" s="49" t="s">
        <v>1832</v>
      </c>
      <c r="D507" s="51">
        <v>2773</v>
      </c>
      <c r="E507" s="50" t="s">
        <v>3162</v>
      </c>
    </row>
    <row r="508" spans="1:5" hidden="1" x14ac:dyDescent="0.2">
      <c r="A508" s="48">
        <v>39419</v>
      </c>
      <c r="B508" s="49" t="s">
        <v>616</v>
      </c>
      <c r="D508" s="51">
        <v>2617</v>
      </c>
      <c r="E508" s="50" t="s">
        <v>3162</v>
      </c>
    </row>
    <row r="509" spans="1:5" hidden="1" x14ac:dyDescent="0.2">
      <c r="A509" s="48">
        <v>39345</v>
      </c>
      <c r="B509" s="49" t="s">
        <v>1275</v>
      </c>
      <c r="D509" s="51">
        <v>2150</v>
      </c>
      <c r="E509" s="50" t="s">
        <v>748</v>
      </c>
    </row>
    <row r="510" spans="1:5" hidden="1" x14ac:dyDescent="0.2">
      <c r="A510" s="48">
        <v>39455</v>
      </c>
      <c r="B510" s="49" t="s">
        <v>98</v>
      </c>
      <c r="D510" s="51">
        <v>2701</v>
      </c>
      <c r="E510" s="50" t="s">
        <v>3480</v>
      </c>
    </row>
    <row r="511" spans="1:5" hidden="1" x14ac:dyDescent="0.2">
      <c r="A511" s="48">
        <v>39469</v>
      </c>
      <c r="B511" s="49" t="s">
        <v>3141</v>
      </c>
      <c r="D511" s="51">
        <v>2897</v>
      </c>
      <c r="E511" s="50" t="s">
        <v>3486</v>
      </c>
    </row>
    <row r="512" spans="1:5" hidden="1" x14ac:dyDescent="0.2">
      <c r="A512" s="48">
        <v>39259</v>
      </c>
      <c r="B512" s="49" t="s">
        <v>2279</v>
      </c>
      <c r="D512" s="51">
        <v>2066</v>
      </c>
      <c r="E512" s="50" t="s">
        <v>1086</v>
      </c>
    </row>
    <row r="513" spans="1:5" hidden="1" x14ac:dyDescent="0.2">
      <c r="A513" s="48">
        <v>39407</v>
      </c>
      <c r="B513" s="49" t="s">
        <v>2505</v>
      </c>
      <c r="D513" s="51">
        <v>2349</v>
      </c>
      <c r="E513" s="50" t="s">
        <v>2504</v>
      </c>
    </row>
    <row r="514" spans="1:5" hidden="1" x14ac:dyDescent="0.2">
      <c r="A514" s="48">
        <v>38868</v>
      </c>
      <c r="B514" s="49" t="s">
        <v>3583</v>
      </c>
      <c r="D514" s="51">
        <v>648</v>
      </c>
      <c r="E514" s="50" t="s">
        <v>3176</v>
      </c>
    </row>
    <row r="515" spans="1:5" hidden="1" x14ac:dyDescent="0.2">
      <c r="A515" s="48">
        <v>39461</v>
      </c>
      <c r="B515" s="49" t="s">
        <v>3182</v>
      </c>
      <c r="D515" s="51">
        <v>2900</v>
      </c>
      <c r="E515" s="50" t="s">
        <v>3162</v>
      </c>
    </row>
    <row r="516" spans="1:5" hidden="1" x14ac:dyDescent="0.2">
      <c r="A516" s="48">
        <v>39346</v>
      </c>
      <c r="B516" s="49" t="s">
        <v>522</v>
      </c>
      <c r="D516" s="51">
        <v>2154</v>
      </c>
      <c r="E516" s="50" t="s">
        <v>521</v>
      </c>
    </row>
    <row r="517" spans="1:5" hidden="1" x14ac:dyDescent="0.2">
      <c r="A517" s="48">
        <v>39374</v>
      </c>
      <c r="B517" s="49" t="s">
        <v>2949</v>
      </c>
      <c r="D517" s="51">
        <v>1755</v>
      </c>
      <c r="E517" s="50" t="s">
        <v>3480</v>
      </c>
    </row>
    <row r="518" spans="1:5" hidden="1" x14ac:dyDescent="0.2">
      <c r="A518" s="48">
        <v>39385</v>
      </c>
      <c r="B518" s="49" t="s">
        <v>1267</v>
      </c>
      <c r="D518" s="51">
        <v>2346</v>
      </c>
      <c r="E518" s="50" t="s">
        <v>3486</v>
      </c>
    </row>
    <row r="519" spans="1:5" hidden="1" x14ac:dyDescent="0.2">
      <c r="A519" s="48">
        <v>39482</v>
      </c>
      <c r="B519" s="49" t="s">
        <v>569</v>
      </c>
      <c r="D519" s="51">
        <v>2708</v>
      </c>
      <c r="E519" s="50" t="s">
        <v>3162</v>
      </c>
    </row>
    <row r="520" spans="1:5" hidden="1" x14ac:dyDescent="0.2">
      <c r="A520" s="48">
        <v>39497</v>
      </c>
      <c r="B520" s="49" t="s">
        <v>3535</v>
      </c>
      <c r="D520" s="51">
        <v>2771</v>
      </c>
      <c r="E520" s="50" t="s">
        <v>912</v>
      </c>
    </row>
    <row r="521" spans="1:5" hidden="1" x14ac:dyDescent="0.2">
      <c r="A521" s="48">
        <v>39016</v>
      </c>
      <c r="B521" s="49" t="s">
        <v>2545</v>
      </c>
      <c r="D521" s="51">
        <v>847</v>
      </c>
      <c r="E521" s="50" t="s">
        <v>2587</v>
      </c>
    </row>
    <row r="522" spans="1:5" hidden="1" x14ac:dyDescent="0.2">
      <c r="A522" s="48">
        <v>39365</v>
      </c>
      <c r="B522" s="49" t="s">
        <v>2273</v>
      </c>
      <c r="D522" s="51">
        <v>2217</v>
      </c>
      <c r="E522" s="50" t="s">
        <v>3478</v>
      </c>
    </row>
    <row r="523" spans="1:5" ht="25.5" hidden="1" x14ac:dyDescent="0.2">
      <c r="A523" s="48">
        <v>39461</v>
      </c>
      <c r="B523" s="49" t="s">
        <v>1840</v>
      </c>
      <c r="D523" s="51">
        <v>2891</v>
      </c>
      <c r="E523" s="50" t="s">
        <v>3162</v>
      </c>
    </row>
    <row r="524" spans="1:5" hidden="1" x14ac:dyDescent="0.2">
      <c r="A524" s="48">
        <v>39419</v>
      </c>
      <c r="B524" s="49" t="s">
        <v>457</v>
      </c>
      <c r="D524" s="51">
        <v>2786</v>
      </c>
      <c r="E524" s="50" t="s">
        <v>2606</v>
      </c>
    </row>
    <row r="525" spans="1:5" ht="25.5" hidden="1" x14ac:dyDescent="0.2">
      <c r="A525" s="48">
        <v>39465</v>
      </c>
      <c r="B525" s="49" t="s">
        <v>1031</v>
      </c>
      <c r="D525" s="51">
        <v>1939</v>
      </c>
      <c r="E525" s="50" t="s">
        <v>1562</v>
      </c>
    </row>
    <row r="526" spans="1:5" hidden="1" x14ac:dyDescent="0.2">
      <c r="A526" s="126">
        <v>39468</v>
      </c>
      <c r="B526" s="127" t="s">
        <v>1991</v>
      </c>
      <c r="C526" s="130"/>
      <c r="D526" s="129">
        <v>2909</v>
      </c>
      <c r="E526" s="130" t="s">
        <v>1992</v>
      </c>
    </row>
    <row r="527" spans="1:5" hidden="1" x14ac:dyDescent="0.2">
      <c r="A527" s="48">
        <v>39500</v>
      </c>
      <c r="B527" s="49" t="s">
        <v>3844</v>
      </c>
      <c r="D527" s="51">
        <v>2716</v>
      </c>
      <c r="E527" s="50" t="s">
        <v>1562</v>
      </c>
    </row>
    <row r="528" spans="1:5" hidden="1" x14ac:dyDescent="0.2">
      <c r="A528" s="126">
        <v>39499</v>
      </c>
      <c r="B528" s="127" t="s">
        <v>1889</v>
      </c>
      <c r="C528" s="130"/>
      <c r="D528" s="129">
        <v>2714</v>
      </c>
      <c r="E528" s="130" t="s">
        <v>1562</v>
      </c>
    </row>
    <row r="529" spans="1:7" hidden="1" x14ac:dyDescent="0.2">
      <c r="A529" s="48">
        <v>39380</v>
      </c>
      <c r="B529" s="49" t="s">
        <v>683</v>
      </c>
      <c r="D529" s="51">
        <v>1753</v>
      </c>
      <c r="E529" s="50" t="s">
        <v>2504</v>
      </c>
    </row>
    <row r="530" spans="1:7" hidden="1" x14ac:dyDescent="0.2">
      <c r="A530" s="48">
        <v>39512</v>
      </c>
      <c r="B530" s="49" t="s">
        <v>2175</v>
      </c>
      <c r="D530" s="51">
        <v>2732</v>
      </c>
      <c r="E530" s="50" t="s">
        <v>3480</v>
      </c>
    </row>
    <row r="531" spans="1:7" hidden="1" x14ac:dyDescent="0.2">
      <c r="A531" s="48">
        <v>39517</v>
      </c>
      <c r="B531" s="49" t="s">
        <v>2879</v>
      </c>
      <c r="D531" s="51">
        <v>2973</v>
      </c>
      <c r="E531" s="50" t="s">
        <v>3162</v>
      </c>
    </row>
    <row r="532" spans="1:7" hidden="1" x14ac:dyDescent="0.2">
      <c r="A532" s="48">
        <v>39468</v>
      </c>
      <c r="B532" s="49" t="s">
        <v>3904</v>
      </c>
      <c r="D532" s="51">
        <v>2703</v>
      </c>
      <c r="E532" s="50" t="s">
        <v>3478</v>
      </c>
    </row>
    <row r="533" spans="1:7" hidden="1" x14ac:dyDescent="0.2">
      <c r="A533" s="48">
        <v>39503</v>
      </c>
      <c r="B533" s="49" t="s">
        <v>1205</v>
      </c>
      <c r="D533" s="51">
        <v>2770</v>
      </c>
      <c r="E533" s="50" t="s">
        <v>3162</v>
      </c>
    </row>
    <row r="534" spans="1:7" hidden="1" x14ac:dyDescent="0.2">
      <c r="A534" s="48">
        <v>39499</v>
      </c>
      <c r="B534" s="49" t="s">
        <v>483</v>
      </c>
      <c r="D534" s="51">
        <v>2715</v>
      </c>
      <c r="E534" s="50" t="s">
        <v>2504</v>
      </c>
    </row>
    <row r="535" spans="1:7" hidden="1" x14ac:dyDescent="0.2">
      <c r="A535" s="48">
        <v>39513</v>
      </c>
      <c r="B535" s="49" t="s">
        <v>2068</v>
      </c>
      <c r="D535" s="51">
        <v>2736</v>
      </c>
      <c r="E535" s="50" t="s">
        <v>2069</v>
      </c>
    </row>
    <row r="536" spans="1:7" hidden="1" x14ac:dyDescent="0.2">
      <c r="A536" s="48">
        <v>39532</v>
      </c>
      <c r="B536" s="49" t="s">
        <v>2628</v>
      </c>
      <c r="D536" s="51">
        <v>2743</v>
      </c>
    </row>
    <row r="537" spans="1:7" hidden="1" x14ac:dyDescent="0.2">
      <c r="A537" s="48">
        <v>39527</v>
      </c>
      <c r="B537" s="49" t="s">
        <v>3989</v>
      </c>
      <c r="D537" s="51">
        <v>2740</v>
      </c>
      <c r="E537" s="50" t="s">
        <v>3162</v>
      </c>
    </row>
    <row r="538" spans="1:7" hidden="1" x14ac:dyDescent="0.2">
      <c r="A538" s="48">
        <v>39500</v>
      </c>
      <c r="B538" s="49" t="s">
        <v>2229</v>
      </c>
      <c r="D538" s="51">
        <v>2956</v>
      </c>
      <c r="E538" s="50" t="s">
        <v>3485</v>
      </c>
    </row>
    <row r="539" spans="1:7" hidden="1" x14ac:dyDescent="0.2">
      <c r="A539" s="126">
        <v>39461</v>
      </c>
      <c r="B539" s="127" t="s">
        <v>3374</v>
      </c>
      <c r="C539" s="130"/>
      <c r="D539" s="129">
        <v>2705</v>
      </c>
      <c r="E539" s="130" t="s">
        <v>1562</v>
      </c>
    </row>
    <row r="540" spans="1:7" hidden="1" x14ac:dyDescent="0.2">
      <c r="A540" s="48">
        <v>39535</v>
      </c>
      <c r="B540" s="49" t="s">
        <v>2296</v>
      </c>
      <c r="D540" s="51">
        <v>2750</v>
      </c>
      <c r="E540" s="50" t="s">
        <v>3485</v>
      </c>
    </row>
    <row r="541" spans="1:7" hidden="1" x14ac:dyDescent="0.2">
      <c r="A541" s="48">
        <v>39504</v>
      </c>
      <c r="B541" s="49" t="s">
        <v>1654</v>
      </c>
      <c r="D541" s="51">
        <v>2728</v>
      </c>
      <c r="E541" s="50" t="s">
        <v>3479</v>
      </c>
    </row>
    <row r="542" spans="1:7" hidden="1" x14ac:dyDescent="0.2">
      <c r="A542" s="48">
        <v>39506</v>
      </c>
      <c r="B542" s="49" t="s">
        <v>29</v>
      </c>
      <c r="D542" s="51">
        <v>2937</v>
      </c>
      <c r="E542" s="50" t="s">
        <v>3480</v>
      </c>
    </row>
    <row r="543" spans="1:7" x14ac:dyDescent="0.2">
      <c r="A543" s="126">
        <v>39979</v>
      </c>
      <c r="B543" s="127" t="s">
        <v>1788</v>
      </c>
      <c r="C543" s="130" t="s">
        <v>1404</v>
      </c>
      <c r="D543" s="129">
        <v>4665</v>
      </c>
      <c r="E543" s="130" t="s">
        <v>3482</v>
      </c>
      <c r="G543" s="56">
        <v>39994</v>
      </c>
    </row>
    <row r="544" spans="1:7" x14ac:dyDescent="0.2">
      <c r="A544" s="48">
        <v>39981</v>
      </c>
      <c r="B544" s="49" t="s">
        <v>3524</v>
      </c>
      <c r="C544" s="50" t="s">
        <v>3525</v>
      </c>
      <c r="D544" s="51">
        <v>4666</v>
      </c>
      <c r="E544" s="50" t="s">
        <v>2504</v>
      </c>
      <c r="G544" s="56">
        <v>40015</v>
      </c>
    </row>
    <row r="545" spans="1:7" x14ac:dyDescent="0.2">
      <c r="A545" s="126">
        <v>40066</v>
      </c>
      <c r="B545" s="127" t="s">
        <v>163</v>
      </c>
      <c r="C545" s="130" t="s">
        <v>4027</v>
      </c>
      <c r="D545" s="129">
        <v>4668</v>
      </c>
      <c r="E545" s="130" t="s">
        <v>2069</v>
      </c>
      <c r="G545" s="56">
        <v>40080</v>
      </c>
    </row>
    <row r="546" spans="1:7" x14ac:dyDescent="0.2">
      <c r="A546" s="126">
        <v>40068</v>
      </c>
      <c r="B546" s="127" t="s">
        <v>3657</v>
      </c>
      <c r="C546" s="130" t="s">
        <v>3433</v>
      </c>
      <c r="D546" s="129">
        <v>4669</v>
      </c>
      <c r="E546" s="130" t="s">
        <v>3162</v>
      </c>
      <c r="G546" s="56">
        <v>40077</v>
      </c>
    </row>
    <row r="547" spans="1:7" x14ac:dyDescent="0.2">
      <c r="A547" s="48">
        <v>40070</v>
      </c>
      <c r="B547" s="49" t="s">
        <v>161</v>
      </c>
      <c r="C547" s="50" t="s">
        <v>162</v>
      </c>
      <c r="D547" s="51">
        <v>4670</v>
      </c>
      <c r="E547" s="50" t="s">
        <v>3837</v>
      </c>
      <c r="G547" s="56">
        <v>40134</v>
      </c>
    </row>
    <row r="548" spans="1:7" x14ac:dyDescent="0.2">
      <c r="A548" s="126">
        <v>40070</v>
      </c>
      <c r="B548" s="127" t="s">
        <v>3658</v>
      </c>
      <c r="C548" s="130" t="s">
        <v>1819</v>
      </c>
      <c r="D548" s="129">
        <v>4671</v>
      </c>
      <c r="E548" s="130" t="s">
        <v>3478</v>
      </c>
      <c r="G548" s="56">
        <v>40091</v>
      </c>
    </row>
    <row r="549" spans="1:7" x14ac:dyDescent="0.2">
      <c r="A549" s="126">
        <v>40071</v>
      </c>
      <c r="B549" s="127" t="s">
        <v>3037</v>
      </c>
      <c r="C549" s="130" t="s">
        <v>3433</v>
      </c>
      <c r="D549" s="129">
        <v>4672</v>
      </c>
      <c r="E549" s="130" t="s">
        <v>3478</v>
      </c>
      <c r="G549" s="56">
        <v>40080</v>
      </c>
    </row>
    <row r="550" spans="1:7" x14ac:dyDescent="0.2">
      <c r="A550" s="48">
        <v>40219</v>
      </c>
      <c r="B550" s="49" t="s">
        <v>3052</v>
      </c>
      <c r="D550" s="51">
        <v>4694</v>
      </c>
      <c r="G550" s="56">
        <v>40616</v>
      </c>
    </row>
    <row r="551" spans="1:7" x14ac:dyDescent="0.2">
      <c r="A551" s="48">
        <v>40101</v>
      </c>
      <c r="B551" s="49" t="s">
        <v>1716</v>
      </c>
      <c r="C551" s="50" t="s">
        <v>2213</v>
      </c>
      <c r="D551" s="51">
        <v>4703</v>
      </c>
      <c r="E551" s="50" t="s">
        <v>3165</v>
      </c>
      <c r="G551" s="56">
        <v>40105</v>
      </c>
    </row>
    <row r="552" spans="1:7" x14ac:dyDescent="0.2">
      <c r="A552" s="126">
        <v>39863</v>
      </c>
      <c r="B552" s="127" t="s">
        <v>335</v>
      </c>
      <c r="C552" s="130" t="s">
        <v>4027</v>
      </c>
      <c r="D552" s="129">
        <v>4749</v>
      </c>
      <c r="E552" s="130" t="s">
        <v>1562</v>
      </c>
      <c r="G552" s="56">
        <v>39881</v>
      </c>
    </row>
    <row r="553" spans="1:7" x14ac:dyDescent="0.2">
      <c r="A553" s="48">
        <v>39876</v>
      </c>
      <c r="B553" s="49" t="s">
        <v>444</v>
      </c>
      <c r="C553" s="50" t="s">
        <v>409</v>
      </c>
      <c r="D553" s="51">
        <v>4793</v>
      </c>
      <c r="E553" s="50" t="s">
        <v>3165</v>
      </c>
      <c r="G553" s="56">
        <v>39930</v>
      </c>
    </row>
    <row r="554" spans="1:7" x14ac:dyDescent="0.2">
      <c r="A554" s="126">
        <v>39881</v>
      </c>
      <c r="B554" s="127" t="s">
        <v>2892</v>
      </c>
      <c r="C554" s="130" t="s">
        <v>1819</v>
      </c>
      <c r="D554" s="129">
        <v>4797</v>
      </c>
      <c r="E554" s="130" t="s">
        <v>3162</v>
      </c>
      <c r="G554" s="56">
        <v>40051</v>
      </c>
    </row>
    <row r="555" spans="1:7" x14ac:dyDescent="0.2">
      <c r="A555" s="48">
        <v>39883</v>
      </c>
      <c r="B555" s="49" t="s">
        <v>86</v>
      </c>
      <c r="C555" s="50" t="s">
        <v>3433</v>
      </c>
      <c r="D555" s="51">
        <v>4798</v>
      </c>
      <c r="E555" s="50" t="s">
        <v>3165</v>
      </c>
      <c r="G555" s="56">
        <v>39930</v>
      </c>
    </row>
    <row r="556" spans="1:7" x14ac:dyDescent="0.2">
      <c r="A556" s="126">
        <v>39883</v>
      </c>
      <c r="B556" s="127" t="s">
        <v>2910</v>
      </c>
      <c r="C556" s="130" t="s">
        <v>1819</v>
      </c>
      <c r="D556" s="129">
        <v>4799</v>
      </c>
      <c r="E556" s="130" t="s">
        <v>3165</v>
      </c>
      <c r="G556" s="56">
        <v>39888</v>
      </c>
    </row>
    <row r="557" spans="1:7" x14ac:dyDescent="0.2">
      <c r="A557" s="126">
        <v>39883</v>
      </c>
      <c r="B557" s="127" t="s">
        <v>783</v>
      </c>
      <c r="C557" s="130" t="s">
        <v>1819</v>
      </c>
      <c r="D557" s="129">
        <v>4800</v>
      </c>
      <c r="E557" s="130" t="s">
        <v>3165</v>
      </c>
      <c r="G557" s="56">
        <v>39888</v>
      </c>
    </row>
    <row r="558" spans="1:7" x14ac:dyDescent="0.2">
      <c r="A558" s="126">
        <v>39961</v>
      </c>
      <c r="B558" s="127" t="s">
        <v>1914</v>
      </c>
      <c r="C558" s="130" t="s">
        <v>3433</v>
      </c>
      <c r="D558" s="129">
        <v>4801</v>
      </c>
      <c r="E558" s="130" t="s">
        <v>1915</v>
      </c>
      <c r="G558" s="56">
        <v>40009</v>
      </c>
    </row>
    <row r="559" spans="1:7" x14ac:dyDescent="0.2">
      <c r="A559" s="48">
        <v>39952</v>
      </c>
      <c r="B559" s="49" t="s">
        <v>2122</v>
      </c>
      <c r="C559" s="50" t="s">
        <v>3433</v>
      </c>
      <c r="D559" s="51">
        <v>4802</v>
      </c>
      <c r="E559" s="50" t="s">
        <v>3165</v>
      </c>
      <c r="G559" s="56">
        <v>39967</v>
      </c>
    </row>
    <row r="560" spans="1:7" x14ac:dyDescent="0.2">
      <c r="A560" s="126">
        <v>39979</v>
      </c>
      <c r="B560" s="127" t="s">
        <v>3393</v>
      </c>
      <c r="C560" s="130" t="s">
        <v>1404</v>
      </c>
      <c r="D560" s="129">
        <v>4803</v>
      </c>
      <c r="E560" s="130" t="s">
        <v>3482</v>
      </c>
      <c r="G560" s="56">
        <v>40051</v>
      </c>
    </row>
    <row r="561" spans="1:7" x14ac:dyDescent="0.2">
      <c r="A561" s="48">
        <v>40058</v>
      </c>
      <c r="B561" s="49" t="s">
        <v>1640</v>
      </c>
      <c r="C561" s="50" t="s">
        <v>3892</v>
      </c>
      <c r="D561" s="51">
        <v>4804</v>
      </c>
      <c r="E561" s="50" t="s">
        <v>2600</v>
      </c>
      <c r="G561" s="56">
        <v>40122</v>
      </c>
    </row>
    <row r="562" spans="1:7" x14ac:dyDescent="0.2">
      <c r="A562" s="48">
        <v>39947</v>
      </c>
      <c r="B562" s="49" t="s">
        <v>1077</v>
      </c>
      <c r="C562" s="50" t="s">
        <v>1404</v>
      </c>
      <c r="D562" s="51">
        <v>4806</v>
      </c>
      <c r="E562" s="50" t="s">
        <v>3478</v>
      </c>
      <c r="G562" s="56">
        <v>39960</v>
      </c>
    </row>
    <row r="563" spans="1:7" x14ac:dyDescent="0.2">
      <c r="A563" s="126">
        <v>39995</v>
      </c>
      <c r="B563" s="127" t="s">
        <v>1937</v>
      </c>
      <c r="C563" s="130" t="s">
        <v>1404</v>
      </c>
      <c r="D563" s="129">
        <v>4807</v>
      </c>
      <c r="E563" s="130" t="s">
        <v>3480</v>
      </c>
      <c r="G563" s="56">
        <v>40094</v>
      </c>
    </row>
    <row r="564" spans="1:7" x14ac:dyDescent="0.2">
      <c r="A564" s="48">
        <v>39995</v>
      </c>
      <c r="B564" s="49" t="s">
        <v>3811</v>
      </c>
      <c r="C564" s="50" t="s">
        <v>1404</v>
      </c>
      <c r="D564" s="51">
        <v>4808</v>
      </c>
      <c r="E564" s="50" t="s">
        <v>3480</v>
      </c>
      <c r="G564" s="56">
        <v>40094</v>
      </c>
    </row>
    <row r="565" spans="1:7" x14ac:dyDescent="0.2">
      <c r="A565" s="48">
        <v>39945</v>
      </c>
      <c r="B565" s="49" t="s">
        <v>545</v>
      </c>
      <c r="C565" s="50" t="s">
        <v>1404</v>
      </c>
      <c r="D565" s="51">
        <v>4809</v>
      </c>
      <c r="E565" s="50" t="s">
        <v>3480</v>
      </c>
      <c r="G565" s="56">
        <v>40106</v>
      </c>
    </row>
    <row r="566" spans="1:7" x14ac:dyDescent="0.2">
      <c r="A566" s="48">
        <v>39939</v>
      </c>
      <c r="B566" s="49" t="s">
        <v>973</v>
      </c>
      <c r="C566" s="50" t="s">
        <v>1819</v>
      </c>
      <c r="D566" s="51">
        <v>4812</v>
      </c>
      <c r="E566" s="50" t="s">
        <v>3165</v>
      </c>
      <c r="G566" s="56">
        <v>40051</v>
      </c>
    </row>
    <row r="567" spans="1:7" x14ac:dyDescent="0.2">
      <c r="A567" s="126">
        <v>39930</v>
      </c>
      <c r="B567" s="127" t="s">
        <v>1825</v>
      </c>
      <c r="C567" s="130" t="s">
        <v>1404</v>
      </c>
      <c r="D567" s="129">
        <v>4813</v>
      </c>
      <c r="E567" s="130" t="s">
        <v>3478</v>
      </c>
      <c r="G567" s="56">
        <v>40091</v>
      </c>
    </row>
    <row r="568" spans="1:7" x14ac:dyDescent="0.2">
      <c r="A568" s="48">
        <v>40066</v>
      </c>
      <c r="B568" s="49" t="s">
        <v>2642</v>
      </c>
      <c r="C568" s="50" t="s">
        <v>3433</v>
      </c>
      <c r="D568" s="51">
        <v>4814</v>
      </c>
      <c r="E568" s="50" t="s">
        <v>1562</v>
      </c>
      <c r="G568" s="56">
        <v>40106</v>
      </c>
    </row>
    <row r="569" spans="1:7" x14ac:dyDescent="0.2">
      <c r="A569" s="48">
        <v>39939</v>
      </c>
      <c r="B569" s="49" t="s">
        <v>3391</v>
      </c>
      <c r="C569" s="50" t="s">
        <v>3433</v>
      </c>
      <c r="D569" s="51">
        <v>4815</v>
      </c>
      <c r="E569" s="50" t="s">
        <v>3485</v>
      </c>
      <c r="G569" s="56">
        <v>40051</v>
      </c>
    </row>
    <row r="570" spans="1:7" x14ac:dyDescent="0.2">
      <c r="A570" s="48">
        <v>40093</v>
      </c>
      <c r="B570" s="49" t="s">
        <v>4005</v>
      </c>
      <c r="C570" s="50" t="s">
        <v>3433</v>
      </c>
      <c r="D570" s="51">
        <v>4816</v>
      </c>
      <c r="E570" s="50" t="s">
        <v>3478</v>
      </c>
      <c r="G570" s="56">
        <v>40141</v>
      </c>
    </row>
    <row r="571" spans="1:7" x14ac:dyDescent="0.2">
      <c r="A571" s="48">
        <v>40060</v>
      </c>
      <c r="B571" s="49" t="s">
        <v>1395</v>
      </c>
      <c r="C571" s="50" t="s">
        <v>1819</v>
      </c>
      <c r="D571" s="51">
        <v>4817</v>
      </c>
      <c r="E571" s="50" t="s">
        <v>2504</v>
      </c>
      <c r="G571" s="56">
        <v>40094</v>
      </c>
    </row>
    <row r="572" spans="1:7" hidden="1" x14ac:dyDescent="0.2">
      <c r="A572" s="126">
        <v>40056</v>
      </c>
      <c r="B572" s="127" t="s">
        <v>3906</v>
      </c>
      <c r="C572" s="130" t="s">
        <v>3907</v>
      </c>
      <c r="D572" s="129">
        <v>4819</v>
      </c>
      <c r="E572" s="130" t="s">
        <v>709</v>
      </c>
    </row>
    <row r="573" spans="1:7" ht="25.5" x14ac:dyDescent="0.2">
      <c r="A573" s="48">
        <v>40056</v>
      </c>
      <c r="B573" s="49" t="s">
        <v>142</v>
      </c>
      <c r="C573" s="50" t="s">
        <v>3892</v>
      </c>
      <c r="D573" s="51">
        <v>4820</v>
      </c>
      <c r="E573" s="50" t="s">
        <v>2512</v>
      </c>
      <c r="G573" s="56">
        <v>40084</v>
      </c>
    </row>
    <row r="574" spans="1:7" hidden="1" x14ac:dyDescent="0.2">
      <c r="A574" s="126">
        <v>40060</v>
      </c>
      <c r="B574" s="127" t="s">
        <v>710</v>
      </c>
      <c r="C574" s="130" t="s">
        <v>1819</v>
      </c>
      <c r="D574" s="129">
        <v>4821</v>
      </c>
      <c r="E574" s="130" t="s">
        <v>711</v>
      </c>
    </row>
    <row r="575" spans="1:7" x14ac:dyDescent="0.2">
      <c r="A575" s="126">
        <v>40056</v>
      </c>
      <c r="B575" s="127" t="s">
        <v>235</v>
      </c>
      <c r="C575" s="130" t="s">
        <v>3892</v>
      </c>
      <c r="D575" s="129">
        <v>4822</v>
      </c>
      <c r="E575" s="130" t="s">
        <v>3478</v>
      </c>
      <c r="G575" s="56">
        <v>40077</v>
      </c>
    </row>
    <row r="576" spans="1:7" x14ac:dyDescent="0.2">
      <c r="A576" s="126">
        <v>40032</v>
      </c>
      <c r="B576" s="127" t="s">
        <v>1325</v>
      </c>
      <c r="C576" s="130" t="s">
        <v>1819</v>
      </c>
      <c r="D576" s="129">
        <v>4823</v>
      </c>
      <c r="E576" s="130"/>
      <c r="G576" s="56">
        <v>40085</v>
      </c>
    </row>
    <row r="577" spans="1:7" x14ac:dyDescent="0.2">
      <c r="A577" s="126">
        <v>40056</v>
      </c>
      <c r="B577" s="127" t="s">
        <v>3595</v>
      </c>
      <c r="C577" s="130" t="s">
        <v>3433</v>
      </c>
      <c r="D577" s="129">
        <v>4824</v>
      </c>
      <c r="E577" s="130" t="s">
        <v>3478</v>
      </c>
      <c r="G577" s="56">
        <v>40077</v>
      </c>
    </row>
    <row r="578" spans="1:7" x14ac:dyDescent="0.2">
      <c r="A578" s="48">
        <v>40028</v>
      </c>
      <c r="B578" s="49" t="s">
        <v>201</v>
      </c>
      <c r="C578" s="50" t="s">
        <v>3433</v>
      </c>
      <c r="D578" s="51">
        <v>4825</v>
      </c>
      <c r="E578" s="50" t="s">
        <v>2504</v>
      </c>
      <c r="G578" s="56">
        <v>40080</v>
      </c>
    </row>
    <row r="579" spans="1:7" x14ac:dyDescent="0.2">
      <c r="A579" s="126">
        <v>40028</v>
      </c>
      <c r="B579" s="127" t="s">
        <v>1750</v>
      </c>
      <c r="C579" s="130" t="s">
        <v>1404</v>
      </c>
      <c r="D579" s="129">
        <v>4826</v>
      </c>
      <c r="E579" s="130" t="s">
        <v>2504</v>
      </c>
      <c r="G579" s="56">
        <v>40051</v>
      </c>
    </row>
    <row r="580" spans="1:7" x14ac:dyDescent="0.2">
      <c r="A580" s="126">
        <v>40032</v>
      </c>
      <c r="B580" s="127" t="s">
        <v>1324</v>
      </c>
      <c r="C580" s="130" t="s">
        <v>350</v>
      </c>
      <c r="D580" s="129">
        <v>4827</v>
      </c>
      <c r="E580" s="130" t="s">
        <v>3483</v>
      </c>
      <c r="G580" s="56">
        <v>40085</v>
      </c>
    </row>
    <row r="581" spans="1:7" x14ac:dyDescent="0.2">
      <c r="A581" s="48">
        <v>40026</v>
      </c>
      <c r="B581" s="49" t="s">
        <v>2648</v>
      </c>
      <c r="C581" s="50" t="s">
        <v>4027</v>
      </c>
      <c r="D581" s="51">
        <v>4828</v>
      </c>
      <c r="E581" s="50" t="s">
        <v>2649</v>
      </c>
      <c r="G581" s="56">
        <v>40032</v>
      </c>
    </row>
    <row r="582" spans="1:7" x14ac:dyDescent="0.2">
      <c r="A582" s="48">
        <v>40026</v>
      </c>
      <c r="B582" s="49" t="s">
        <v>1751</v>
      </c>
      <c r="C582" s="50" t="s">
        <v>4027</v>
      </c>
      <c r="D582" s="51">
        <v>4829</v>
      </c>
      <c r="E582" s="50" t="s">
        <v>3176</v>
      </c>
      <c r="G582" s="56">
        <v>40182</v>
      </c>
    </row>
    <row r="583" spans="1:7" x14ac:dyDescent="0.2">
      <c r="A583" s="126">
        <v>40026</v>
      </c>
      <c r="B583" s="127" t="s">
        <v>2779</v>
      </c>
      <c r="C583" s="130" t="s">
        <v>3433</v>
      </c>
      <c r="D583" s="129">
        <v>4832</v>
      </c>
      <c r="E583" s="130" t="s">
        <v>3485</v>
      </c>
      <c r="G583" s="56">
        <v>40051</v>
      </c>
    </row>
    <row r="584" spans="1:7" x14ac:dyDescent="0.2">
      <c r="A584" s="126">
        <v>40026</v>
      </c>
      <c r="B584" s="127" t="s">
        <v>1752</v>
      </c>
      <c r="C584" s="130" t="s">
        <v>4027</v>
      </c>
      <c r="D584" s="129">
        <v>4833</v>
      </c>
      <c r="E584" s="130" t="s">
        <v>3483</v>
      </c>
      <c r="G584" s="56">
        <v>40051</v>
      </c>
    </row>
    <row r="585" spans="1:7" x14ac:dyDescent="0.2">
      <c r="A585" s="48">
        <v>40093</v>
      </c>
      <c r="B585" s="49" t="s">
        <v>1736</v>
      </c>
      <c r="C585" s="50" t="s">
        <v>1404</v>
      </c>
      <c r="D585" s="51">
        <v>4835</v>
      </c>
      <c r="E585" s="50" t="s">
        <v>3483</v>
      </c>
      <c r="G585" s="56">
        <v>40106</v>
      </c>
    </row>
    <row r="586" spans="1:7" x14ac:dyDescent="0.2">
      <c r="A586" s="48">
        <v>40021</v>
      </c>
      <c r="B586" s="49" t="s">
        <v>3783</v>
      </c>
      <c r="C586" s="50" t="s">
        <v>4027</v>
      </c>
      <c r="D586" s="51">
        <v>4836</v>
      </c>
      <c r="E586" s="50" t="s">
        <v>3165</v>
      </c>
      <c r="G586" s="56">
        <v>40029</v>
      </c>
    </row>
    <row r="587" spans="1:7" x14ac:dyDescent="0.2">
      <c r="A587" s="48">
        <v>40085</v>
      </c>
      <c r="B587" s="49" t="s">
        <v>101</v>
      </c>
      <c r="C587" s="50" t="s">
        <v>1819</v>
      </c>
      <c r="D587" s="51">
        <v>4838</v>
      </c>
      <c r="E587" s="50" t="s">
        <v>3482</v>
      </c>
      <c r="G587" s="56">
        <v>40094</v>
      </c>
    </row>
    <row r="588" spans="1:7" x14ac:dyDescent="0.2">
      <c r="A588" s="126">
        <v>40057</v>
      </c>
      <c r="B588" s="127" t="s">
        <v>102</v>
      </c>
      <c r="C588" s="130" t="s">
        <v>3433</v>
      </c>
      <c r="D588" s="129">
        <v>4840</v>
      </c>
      <c r="E588" s="130" t="s">
        <v>3478</v>
      </c>
      <c r="G588" s="56">
        <v>40105</v>
      </c>
    </row>
    <row r="589" spans="1:7" x14ac:dyDescent="0.2">
      <c r="A589" s="126">
        <v>40077</v>
      </c>
      <c r="B589" s="127" t="s">
        <v>507</v>
      </c>
      <c r="C589" s="130" t="s">
        <v>3433</v>
      </c>
      <c r="D589" s="129">
        <v>4841</v>
      </c>
      <c r="E589" s="130" t="s">
        <v>304</v>
      </c>
      <c r="G589" s="56">
        <v>40086</v>
      </c>
    </row>
    <row r="590" spans="1:7" x14ac:dyDescent="0.2">
      <c r="A590" s="126">
        <v>40085</v>
      </c>
      <c r="B590" s="127" t="s">
        <v>454</v>
      </c>
      <c r="C590" s="130" t="s">
        <v>1819</v>
      </c>
      <c r="D590" s="129">
        <v>4842</v>
      </c>
      <c r="E590" s="130" t="s">
        <v>3165</v>
      </c>
      <c r="G590" s="56">
        <v>40085</v>
      </c>
    </row>
    <row r="591" spans="1:7" x14ac:dyDescent="0.2">
      <c r="A591" s="48">
        <v>40274</v>
      </c>
      <c r="B591" s="49" t="s">
        <v>1441</v>
      </c>
      <c r="D591" s="51">
        <v>4882</v>
      </c>
      <c r="G591" s="56">
        <v>40616</v>
      </c>
    </row>
    <row r="592" spans="1:7" x14ac:dyDescent="0.2">
      <c r="A592" s="48">
        <v>40232</v>
      </c>
      <c r="B592" s="49" t="s">
        <v>2217</v>
      </c>
      <c r="C592" s="50" t="s">
        <v>2218</v>
      </c>
      <c r="D592" s="51">
        <v>4897</v>
      </c>
      <c r="G592" s="56">
        <v>40436</v>
      </c>
    </row>
    <row r="593" spans="1:7" x14ac:dyDescent="0.2">
      <c r="A593" s="48">
        <v>39904</v>
      </c>
      <c r="B593" s="49" t="s">
        <v>587</v>
      </c>
      <c r="C593" s="50" t="s">
        <v>1819</v>
      </c>
      <c r="D593" s="51">
        <v>4930</v>
      </c>
      <c r="E593" s="50" t="s">
        <v>3176</v>
      </c>
      <c r="G593" s="56">
        <v>40094</v>
      </c>
    </row>
    <row r="594" spans="1:7" x14ac:dyDescent="0.2">
      <c r="A594" s="126">
        <v>39904</v>
      </c>
      <c r="B594" s="127" t="s">
        <v>2722</v>
      </c>
      <c r="C594" s="130" t="s">
        <v>1819</v>
      </c>
      <c r="D594" s="129">
        <v>4932</v>
      </c>
      <c r="E594" s="130" t="s">
        <v>3176</v>
      </c>
      <c r="G594" s="56">
        <v>39973</v>
      </c>
    </row>
    <row r="595" spans="1:7" x14ac:dyDescent="0.2">
      <c r="A595" s="126">
        <v>39909</v>
      </c>
      <c r="B595" s="127" t="s">
        <v>2139</v>
      </c>
      <c r="C595" s="130" t="s">
        <v>1819</v>
      </c>
      <c r="D595" s="129">
        <v>4939</v>
      </c>
      <c r="E595" s="130" t="s">
        <v>3176</v>
      </c>
      <c r="G595" s="56">
        <v>40051</v>
      </c>
    </row>
    <row r="596" spans="1:7" x14ac:dyDescent="0.2">
      <c r="A596" s="48">
        <v>39923</v>
      </c>
      <c r="B596" s="49" t="s">
        <v>722</v>
      </c>
      <c r="C596" s="50" t="s">
        <v>2566</v>
      </c>
      <c r="D596" s="51">
        <v>4942</v>
      </c>
      <c r="E596" s="50" t="s">
        <v>3175</v>
      </c>
      <c r="G596" s="56">
        <v>40085</v>
      </c>
    </row>
    <row r="597" spans="1:7" x14ac:dyDescent="0.2">
      <c r="A597" s="126">
        <v>39923</v>
      </c>
      <c r="B597" s="127" t="s">
        <v>721</v>
      </c>
      <c r="C597" s="130" t="s">
        <v>3433</v>
      </c>
      <c r="D597" s="129">
        <v>4943</v>
      </c>
      <c r="E597" s="130" t="s">
        <v>2504</v>
      </c>
      <c r="G597" s="56">
        <v>39945</v>
      </c>
    </row>
    <row r="598" spans="1:7" x14ac:dyDescent="0.2">
      <c r="A598" s="126">
        <v>39923</v>
      </c>
      <c r="B598" s="127" t="s">
        <v>1682</v>
      </c>
      <c r="C598" s="130" t="s">
        <v>3433</v>
      </c>
      <c r="D598" s="129">
        <v>4957</v>
      </c>
      <c r="E598" s="130" t="s">
        <v>2789</v>
      </c>
      <c r="G598" s="56">
        <v>39994</v>
      </c>
    </row>
    <row r="599" spans="1:7" x14ac:dyDescent="0.2">
      <c r="A599" s="48">
        <v>39930</v>
      </c>
      <c r="B599" s="49" t="s">
        <v>2764</v>
      </c>
      <c r="C599" s="50" t="s">
        <v>1819</v>
      </c>
      <c r="D599" s="51">
        <v>4994</v>
      </c>
      <c r="E599" s="50" t="s">
        <v>3162</v>
      </c>
      <c r="G599" s="56">
        <v>39982</v>
      </c>
    </row>
    <row r="600" spans="1:7" x14ac:dyDescent="0.2">
      <c r="A600" s="126">
        <v>39933</v>
      </c>
      <c r="B600" s="127" t="s">
        <v>1140</v>
      </c>
      <c r="C600" s="130" t="s">
        <v>1819</v>
      </c>
      <c r="D600" s="129">
        <v>4995</v>
      </c>
      <c r="E600" s="130" t="s">
        <v>3482</v>
      </c>
      <c r="G600" s="56">
        <v>39996</v>
      </c>
    </row>
    <row r="601" spans="1:7" x14ac:dyDescent="0.2">
      <c r="A601" s="48">
        <v>39961</v>
      </c>
      <c r="B601" s="49" t="s">
        <v>51</v>
      </c>
      <c r="C601" s="50" t="s">
        <v>3433</v>
      </c>
      <c r="D601" s="51">
        <v>5011</v>
      </c>
      <c r="E601" s="50" t="s">
        <v>3165</v>
      </c>
      <c r="G601" s="56">
        <v>39962</v>
      </c>
    </row>
    <row r="602" spans="1:7" x14ac:dyDescent="0.2">
      <c r="A602" s="48">
        <v>39961</v>
      </c>
      <c r="B602" s="49" t="s">
        <v>50</v>
      </c>
      <c r="C602" s="50" t="s">
        <v>3433</v>
      </c>
      <c r="D602" s="51">
        <v>5012</v>
      </c>
      <c r="E602" s="50" t="s">
        <v>3478</v>
      </c>
      <c r="G602" s="56">
        <v>40080</v>
      </c>
    </row>
    <row r="603" spans="1:7" x14ac:dyDescent="0.2">
      <c r="A603" s="126">
        <v>39961</v>
      </c>
      <c r="B603" s="127" t="s">
        <v>2520</v>
      </c>
      <c r="C603" s="130" t="s">
        <v>3433</v>
      </c>
      <c r="D603" s="129">
        <v>5013</v>
      </c>
      <c r="E603" s="130" t="s">
        <v>3478</v>
      </c>
      <c r="G603" s="56">
        <v>39973</v>
      </c>
    </row>
    <row r="604" spans="1:7" x14ac:dyDescent="0.2">
      <c r="A604" s="126">
        <v>39961</v>
      </c>
      <c r="B604" s="127" t="s">
        <v>2519</v>
      </c>
      <c r="C604" s="130" t="s">
        <v>4027</v>
      </c>
      <c r="D604" s="129">
        <v>5014</v>
      </c>
      <c r="E604" s="130" t="s">
        <v>1562</v>
      </c>
      <c r="G604" s="56">
        <v>40080</v>
      </c>
    </row>
    <row r="605" spans="1:7" x14ac:dyDescent="0.2">
      <c r="A605" s="126">
        <v>39961</v>
      </c>
      <c r="B605" s="127" t="s">
        <v>52</v>
      </c>
      <c r="C605" s="130" t="s">
        <v>4027</v>
      </c>
      <c r="D605" s="129">
        <v>5015</v>
      </c>
      <c r="E605" s="130" t="s">
        <v>1562</v>
      </c>
      <c r="G605" s="56">
        <v>40051</v>
      </c>
    </row>
    <row r="606" spans="1:7" x14ac:dyDescent="0.2">
      <c r="A606" s="48">
        <v>39939</v>
      </c>
      <c r="B606" s="49" t="s">
        <v>812</v>
      </c>
      <c r="C606" s="50" t="s">
        <v>3433</v>
      </c>
      <c r="D606" s="51">
        <v>5025</v>
      </c>
      <c r="E606" s="50" t="s">
        <v>2069</v>
      </c>
      <c r="G606" s="56">
        <v>39944</v>
      </c>
    </row>
    <row r="607" spans="1:7" x14ac:dyDescent="0.2">
      <c r="A607" s="48">
        <v>39939</v>
      </c>
      <c r="B607" s="49" t="s">
        <v>1945</v>
      </c>
      <c r="C607" s="50" t="s">
        <v>3433</v>
      </c>
      <c r="D607" s="51">
        <v>5028</v>
      </c>
      <c r="E607" s="50" t="s">
        <v>3480</v>
      </c>
      <c r="G607" s="56">
        <v>40009</v>
      </c>
    </row>
    <row r="608" spans="1:7" x14ac:dyDescent="0.2">
      <c r="A608" s="126">
        <v>39982</v>
      </c>
      <c r="B608" s="127" t="s">
        <v>3706</v>
      </c>
      <c r="C608" s="130" t="s">
        <v>4027</v>
      </c>
      <c r="D608" s="129">
        <v>5049</v>
      </c>
      <c r="E608" s="130" t="s">
        <v>3837</v>
      </c>
      <c r="G608" s="56">
        <v>40122</v>
      </c>
    </row>
    <row r="609" spans="1:7" x14ac:dyDescent="0.2">
      <c r="A609" s="126">
        <v>39982</v>
      </c>
      <c r="B609" s="127" t="s">
        <v>2237</v>
      </c>
      <c r="C609" s="130" t="s">
        <v>408</v>
      </c>
      <c r="D609" s="129">
        <v>5050</v>
      </c>
      <c r="E609" s="130" t="s">
        <v>2069</v>
      </c>
      <c r="G609" s="56">
        <v>39993</v>
      </c>
    </row>
    <row r="610" spans="1:7" x14ac:dyDescent="0.2">
      <c r="A610" s="48">
        <v>39996</v>
      </c>
      <c r="B610" s="49" t="s">
        <v>2513</v>
      </c>
      <c r="C610" s="50" t="s">
        <v>3433</v>
      </c>
      <c r="D610" s="51">
        <v>5063</v>
      </c>
      <c r="E610" s="50" t="s">
        <v>3478</v>
      </c>
      <c r="G610" s="56">
        <v>40009</v>
      </c>
    </row>
    <row r="611" spans="1:7" x14ac:dyDescent="0.2">
      <c r="A611" s="48">
        <v>40004</v>
      </c>
      <c r="B611" s="49" t="s">
        <v>1755</v>
      </c>
      <c r="C611" s="50" t="s">
        <v>3433</v>
      </c>
      <c r="D611" s="51">
        <v>5064</v>
      </c>
      <c r="E611" s="50" t="s">
        <v>3480</v>
      </c>
      <c r="G611" s="56">
        <v>40009</v>
      </c>
    </row>
    <row r="612" spans="1:7" x14ac:dyDescent="0.2">
      <c r="A612" s="48">
        <v>40004</v>
      </c>
      <c r="B612" s="49" t="s">
        <v>1756</v>
      </c>
      <c r="C612" s="50" t="s">
        <v>4027</v>
      </c>
      <c r="D612" s="51">
        <v>5065</v>
      </c>
      <c r="E612" s="50" t="s">
        <v>3480</v>
      </c>
      <c r="G612" s="56">
        <v>40009</v>
      </c>
    </row>
    <row r="613" spans="1:7" x14ac:dyDescent="0.2">
      <c r="A613" s="126">
        <v>40010</v>
      </c>
      <c r="B613" s="127" t="s">
        <v>3295</v>
      </c>
      <c r="C613" s="130" t="s">
        <v>3433</v>
      </c>
      <c r="D613" s="129">
        <v>5230</v>
      </c>
      <c r="E613" s="130" t="s">
        <v>838</v>
      </c>
      <c r="G613" s="56">
        <v>40014</v>
      </c>
    </row>
    <row r="614" spans="1:7" x14ac:dyDescent="0.2">
      <c r="A614" s="48">
        <v>40027</v>
      </c>
      <c r="B614" s="49" t="s">
        <v>10</v>
      </c>
      <c r="C614" s="50" t="s">
        <v>1819</v>
      </c>
      <c r="D614" s="51">
        <v>5253</v>
      </c>
      <c r="E614" s="50" t="s">
        <v>3486</v>
      </c>
      <c r="G614" s="56">
        <v>40051</v>
      </c>
    </row>
    <row r="615" spans="1:7" x14ac:dyDescent="0.2">
      <c r="A615" s="48">
        <v>40028</v>
      </c>
      <c r="B615" s="49" t="s">
        <v>3236</v>
      </c>
      <c r="C615" s="50" t="s">
        <v>4027</v>
      </c>
      <c r="D615" s="51">
        <v>5254</v>
      </c>
      <c r="E615" s="50" t="s">
        <v>3483</v>
      </c>
      <c r="G615" s="56">
        <v>40051</v>
      </c>
    </row>
    <row r="616" spans="1:7" x14ac:dyDescent="0.2">
      <c r="A616" s="126">
        <v>40030</v>
      </c>
      <c r="B616" s="127" t="s">
        <v>3878</v>
      </c>
      <c r="C616" s="130" t="s">
        <v>1819</v>
      </c>
      <c r="D616" s="129">
        <v>5257</v>
      </c>
      <c r="E616" s="130" t="s">
        <v>3483</v>
      </c>
      <c r="G616" s="56">
        <v>40051</v>
      </c>
    </row>
    <row r="617" spans="1:7" x14ac:dyDescent="0.2">
      <c r="A617" s="126">
        <v>40011</v>
      </c>
      <c r="B617" s="127" t="s">
        <v>2250</v>
      </c>
      <c r="C617" s="130" t="s">
        <v>1819</v>
      </c>
      <c r="D617" s="129">
        <v>5286</v>
      </c>
      <c r="E617" s="130" t="s">
        <v>3478</v>
      </c>
      <c r="G617" s="56">
        <v>40051</v>
      </c>
    </row>
    <row r="618" spans="1:7" x14ac:dyDescent="0.2">
      <c r="A618" s="48">
        <v>40014</v>
      </c>
      <c r="B618" s="49" t="s">
        <v>548</v>
      </c>
      <c r="C618" s="50" t="s">
        <v>1819</v>
      </c>
      <c r="D618" s="51">
        <v>5306</v>
      </c>
      <c r="E618" s="50" t="s">
        <v>3486</v>
      </c>
      <c r="G618" s="56">
        <v>40028</v>
      </c>
    </row>
    <row r="619" spans="1:7" x14ac:dyDescent="0.2">
      <c r="A619" s="48">
        <v>39980</v>
      </c>
      <c r="B619" s="49" t="s">
        <v>2485</v>
      </c>
      <c r="C619" s="50" t="s">
        <v>1404</v>
      </c>
      <c r="D619" s="51">
        <v>5313</v>
      </c>
      <c r="E619" s="50" t="s">
        <v>2504</v>
      </c>
      <c r="G619" s="56">
        <v>40051</v>
      </c>
    </row>
    <row r="620" spans="1:7" x14ac:dyDescent="0.2">
      <c r="A620" s="48">
        <v>39980</v>
      </c>
      <c r="B620" s="49" t="s">
        <v>82</v>
      </c>
      <c r="C620" s="50" t="s">
        <v>1404</v>
      </c>
      <c r="D620" s="51">
        <v>5314</v>
      </c>
      <c r="E620" s="50" t="s">
        <v>2504</v>
      </c>
      <c r="G620" s="56">
        <v>40051</v>
      </c>
    </row>
    <row r="621" spans="1:7" x14ac:dyDescent="0.2">
      <c r="A621" s="126">
        <v>40015</v>
      </c>
      <c r="B621" s="127" t="s">
        <v>2931</v>
      </c>
      <c r="C621" s="130" t="s">
        <v>2930</v>
      </c>
      <c r="D621" s="129">
        <v>5318</v>
      </c>
      <c r="E621" s="130" t="s">
        <v>3176</v>
      </c>
      <c r="G621" s="56">
        <v>40022</v>
      </c>
    </row>
    <row r="622" spans="1:7" x14ac:dyDescent="0.2">
      <c r="A622" s="126">
        <v>40015</v>
      </c>
      <c r="B622" s="127" t="s">
        <v>2419</v>
      </c>
      <c r="C622" s="130" t="s">
        <v>1819</v>
      </c>
      <c r="D622" s="129">
        <v>5321</v>
      </c>
      <c r="E622" s="130" t="s">
        <v>1562</v>
      </c>
      <c r="G622" s="56">
        <v>40018</v>
      </c>
    </row>
    <row r="623" spans="1:7" x14ac:dyDescent="0.2">
      <c r="A623" s="48">
        <v>39980</v>
      </c>
      <c r="B623" s="49" t="s">
        <v>3180</v>
      </c>
      <c r="C623" s="50" t="s">
        <v>1404</v>
      </c>
      <c r="D623" s="51">
        <v>5328</v>
      </c>
      <c r="E623" s="50" t="s">
        <v>2504</v>
      </c>
      <c r="G623" s="56">
        <v>40014</v>
      </c>
    </row>
    <row r="624" spans="1:7" x14ac:dyDescent="0.2">
      <c r="A624" s="48">
        <v>40021</v>
      </c>
      <c r="B624" s="49" t="s">
        <v>1108</v>
      </c>
      <c r="C624" s="50" t="s">
        <v>4027</v>
      </c>
      <c r="D624" s="51">
        <v>5329</v>
      </c>
      <c r="E624" s="50" t="s">
        <v>3480</v>
      </c>
      <c r="G624" s="56">
        <v>40122</v>
      </c>
    </row>
    <row r="625" spans="1:7" x14ac:dyDescent="0.2">
      <c r="A625" s="48">
        <v>39980</v>
      </c>
      <c r="B625" s="49" t="s">
        <v>3181</v>
      </c>
      <c r="C625" s="50" t="s">
        <v>1404</v>
      </c>
      <c r="D625" s="51">
        <v>5331</v>
      </c>
      <c r="E625" s="50" t="s">
        <v>2504</v>
      </c>
      <c r="G625" s="56">
        <v>40014</v>
      </c>
    </row>
    <row r="626" spans="1:7" x14ac:dyDescent="0.2">
      <c r="A626" s="48">
        <v>40071</v>
      </c>
      <c r="B626" s="49" t="s">
        <v>3660</v>
      </c>
      <c r="C626" s="50" t="s">
        <v>4027</v>
      </c>
      <c r="D626" s="51">
        <v>5462</v>
      </c>
      <c r="G626" s="56">
        <v>40138</v>
      </c>
    </row>
    <row r="627" spans="1:7" x14ac:dyDescent="0.2">
      <c r="A627" s="126">
        <v>40100</v>
      </c>
      <c r="B627" s="127" t="s">
        <v>927</v>
      </c>
      <c r="C627" s="130" t="s">
        <v>928</v>
      </c>
      <c r="D627" s="129">
        <v>5482</v>
      </c>
      <c r="E627" s="130" t="s">
        <v>3162</v>
      </c>
      <c r="G627" s="56">
        <v>40105</v>
      </c>
    </row>
    <row r="628" spans="1:7" x14ac:dyDescent="0.2">
      <c r="A628" s="48">
        <v>40119</v>
      </c>
      <c r="B628" s="49" t="s">
        <v>2843</v>
      </c>
      <c r="C628" s="50" t="s">
        <v>1819</v>
      </c>
      <c r="D628" s="51">
        <v>5492</v>
      </c>
      <c r="E628" s="50" t="s">
        <v>1758</v>
      </c>
      <c r="G628" s="56">
        <v>40120</v>
      </c>
    </row>
    <row r="629" spans="1:7" x14ac:dyDescent="0.2">
      <c r="A629" s="48">
        <v>40087</v>
      </c>
      <c r="B629" s="49" t="s">
        <v>925</v>
      </c>
      <c r="C629" s="50" t="s">
        <v>3963</v>
      </c>
      <c r="D629" s="51">
        <v>5510</v>
      </c>
      <c r="E629" s="50" t="s">
        <v>926</v>
      </c>
      <c r="G629" s="56">
        <v>40105</v>
      </c>
    </row>
    <row r="630" spans="1:7" x14ac:dyDescent="0.2">
      <c r="A630" s="48">
        <v>39993</v>
      </c>
      <c r="B630" s="49" t="s">
        <v>3211</v>
      </c>
      <c r="C630" s="50" t="s">
        <v>3433</v>
      </c>
      <c r="D630" s="51">
        <v>5625</v>
      </c>
      <c r="G630" s="56">
        <v>40053</v>
      </c>
    </row>
    <row r="631" spans="1:7" x14ac:dyDescent="0.2">
      <c r="A631" s="48">
        <v>39986</v>
      </c>
      <c r="B631" s="49" t="s">
        <v>1972</v>
      </c>
      <c r="C631" s="50" t="s">
        <v>3433</v>
      </c>
      <c r="D631" s="51">
        <v>5626</v>
      </c>
      <c r="E631" s="50" t="s">
        <v>3482</v>
      </c>
      <c r="G631" s="56">
        <v>40009</v>
      </c>
    </row>
    <row r="632" spans="1:7" x14ac:dyDescent="0.2">
      <c r="A632" s="48">
        <v>40098</v>
      </c>
      <c r="B632" s="49" t="s">
        <v>3721</v>
      </c>
      <c r="C632" s="50" t="s">
        <v>4027</v>
      </c>
      <c r="D632" s="51">
        <v>5687</v>
      </c>
      <c r="G632" s="56">
        <v>40182</v>
      </c>
    </row>
    <row r="633" spans="1:7" x14ac:dyDescent="0.2">
      <c r="A633" s="48">
        <v>40098</v>
      </c>
      <c r="B633" s="49" t="s">
        <v>1680</v>
      </c>
      <c r="C633" s="50" t="s">
        <v>3433</v>
      </c>
      <c r="D633" s="51">
        <v>5688</v>
      </c>
      <c r="E633" s="50" t="s">
        <v>3480</v>
      </c>
      <c r="G633" s="56">
        <v>40141</v>
      </c>
    </row>
    <row r="634" spans="1:7" x14ac:dyDescent="0.2">
      <c r="A634" s="48">
        <v>40102</v>
      </c>
      <c r="B634" s="49" t="s">
        <v>1339</v>
      </c>
      <c r="C634" s="50" t="s">
        <v>4027</v>
      </c>
      <c r="D634" s="51">
        <v>5689</v>
      </c>
      <c r="E634" s="50" t="s">
        <v>3837</v>
      </c>
      <c r="G634" s="56">
        <v>40121</v>
      </c>
    </row>
    <row r="635" spans="1:7" x14ac:dyDescent="0.2">
      <c r="A635" s="126">
        <v>40113</v>
      </c>
      <c r="B635" s="127" t="s">
        <v>3261</v>
      </c>
      <c r="C635" s="130" t="s">
        <v>4027</v>
      </c>
      <c r="D635" s="129">
        <v>5692</v>
      </c>
      <c r="E635" s="130" t="s">
        <v>3165</v>
      </c>
      <c r="G635" s="56">
        <v>40138</v>
      </c>
    </row>
    <row r="636" spans="1:7" x14ac:dyDescent="0.2">
      <c r="A636" s="126">
        <v>40114</v>
      </c>
      <c r="B636" s="127" t="s">
        <v>2365</v>
      </c>
      <c r="C636" s="130" t="s">
        <v>4027</v>
      </c>
      <c r="D636" s="129">
        <v>5693</v>
      </c>
      <c r="E636" s="130" t="s">
        <v>3165</v>
      </c>
      <c r="G636" s="56">
        <v>40121</v>
      </c>
    </row>
    <row r="637" spans="1:7" x14ac:dyDescent="0.2">
      <c r="A637" s="126">
        <v>40114</v>
      </c>
      <c r="B637" s="127" t="s">
        <v>2034</v>
      </c>
      <c r="C637" s="130" t="s">
        <v>4027</v>
      </c>
      <c r="D637" s="129">
        <v>5694</v>
      </c>
      <c r="E637" s="130" t="s">
        <v>2476</v>
      </c>
      <c r="G637" s="56">
        <v>40121</v>
      </c>
    </row>
    <row r="638" spans="1:7" x14ac:dyDescent="0.2">
      <c r="A638" s="126">
        <v>40116</v>
      </c>
      <c r="B638" s="127" t="s">
        <v>3028</v>
      </c>
      <c r="C638" s="130" t="s">
        <v>1819</v>
      </c>
      <c r="D638" s="129">
        <v>5696</v>
      </c>
      <c r="E638" s="130" t="s">
        <v>3165</v>
      </c>
      <c r="G638" s="56">
        <v>40129</v>
      </c>
    </row>
    <row r="639" spans="1:7" x14ac:dyDescent="0.2">
      <c r="A639" s="48">
        <v>40118</v>
      </c>
      <c r="B639" s="49" t="s">
        <v>484</v>
      </c>
      <c r="C639" s="50" t="s">
        <v>3433</v>
      </c>
      <c r="D639" s="51">
        <v>5697</v>
      </c>
      <c r="E639" s="50" t="s">
        <v>3480</v>
      </c>
      <c r="G639" s="56">
        <v>40134</v>
      </c>
    </row>
    <row r="640" spans="1:7" x14ac:dyDescent="0.2">
      <c r="A640" s="48">
        <v>40121</v>
      </c>
      <c r="B640" s="49" t="s">
        <v>2311</v>
      </c>
      <c r="C640" s="50" t="s">
        <v>1404</v>
      </c>
      <c r="D640" s="51">
        <v>5698</v>
      </c>
      <c r="E640" s="50" t="s">
        <v>3162</v>
      </c>
      <c r="G640" s="56">
        <v>40147</v>
      </c>
    </row>
    <row r="641" spans="1:7" x14ac:dyDescent="0.2">
      <c r="A641" s="48">
        <v>40121</v>
      </c>
      <c r="B641" s="49" t="s">
        <v>327</v>
      </c>
      <c r="C641" s="50" t="s">
        <v>1404</v>
      </c>
      <c r="D641" s="51">
        <v>5699</v>
      </c>
      <c r="E641" s="50" t="s">
        <v>328</v>
      </c>
      <c r="G641" s="56">
        <v>40138</v>
      </c>
    </row>
    <row r="642" spans="1:7" x14ac:dyDescent="0.2">
      <c r="A642" s="48">
        <v>40121</v>
      </c>
      <c r="B642" s="49" t="s">
        <v>329</v>
      </c>
      <c r="C642" s="50" t="s">
        <v>1404</v>
      </c>
      <c r="D642" s="51">
        <v>5700</v>
      </c>
      <c r="E642" s="50" t="s">
        <v>3165</v>
      </c>
      <c r="G642" s="56">
        <v>40134</v>
      </c>
    </row>
    <row r="643" spans="1:7" x14ac:dyDescent="0.2">
      <c r="A643" s="48">
        <v>40131</v>
      </c>
      <c r="B643" s="49" t="s">
        <v>2630</v>
      </c>
      <c r="C643" s="50" t="s">
        <v>1404</v>
      </c>
      <c r="D643" s="51">
        <v>5702</v>
      </c>
      <c r="E643" s="50" t="s">
        <v>3483</v>
      </c>
      <c r="G643" s="56">
        <v>40182</v>
      </c>
    </row>
    <row r="644" spans="1:7" x14ac:dyDescent="0.2">
      <c r="A644" s="48">
        <v>40131</v>
      </c>
      <c r="B644" s="49" t="s">
        <v>3814</v>
      </c>
      <c r="C644" s="50" t="s">
        <v>1404</v>
      </c>
      <c r="D644" s="51">
        <v>5703</v>
      </c>
      <c r="E644" s="50" t="s">
        <v>3483</v>
      </c>
      <c r="G644" s="56">
        <v>40136</v>
      </c>
    </row>
    <row r="645" spans="1:7" x14ac:dyDescent="0.2">
      <c r="A645" s="48">
        <v>40136</v>
      </c>
      <c r="B645" s="49" t="s">
        <v>1328</v>
      </c>
      <c r="C645" s="50" t="s">
        <v>1819</v>
      </c>
      <c r="D645" s="51">
        <v>5704</v>
      </c>
      <c r="E645" s="50" t="s">
        <v>3478</v>
      </c>
      <c r="G645" s="56">
        <v>40182</v>
      </c>
    </row>
    <row r="646" spans="1:7" x14ac:dyDescent="0.2">
      <c r="A646" s="48">
        <v>40148</v>
      </c>
      <c r="B646" s="49" t="s">
        <v>410</v>
      </c>
      <c r="C646" s="50" t="s">
        <v>3433</v>
      </c>
      <c r="D646" s="51">
        <v>5705</v>
      </c>
      <c r="E646" s="50" t="s">
        <v>3480</v>
      </c>
      <c r="G646" s="56">
        <v>40631</v>
      </c>
    </row>
    <row r="647" spans="1:7" x14ac:dyDescent="0.2">
      <c r="A647" s="126">
        <v>40148</v>
      </c>
      <c r="B647" s="127" t="s">
        <v>987</v>
      </c>
      <c r="C647" s="130" t="s">
        <v>3433</v>
      </c>
      <c r="D647" s="129">
        <v>5706</v>
      </c>
      <c r="E647" s="130" t="s">
        <v>2476</v>
      </c>
      <c r="G647" s="56">
        <v>40169</v>
      </c>
    </row>
    <row r="648" spans="1:7" x14ac:dyDescent="0.2">
      <c r="A648" s="48">
        <v>40182</v>
      </c>
      <c r="B648" s="49" t="s">
        <v>3513</v>
      </c>
      <c r="C648" s="50" t="s">
        <v>3514</v>
      </c>
      <c r="D648" s="51">
        <v>5707</v>
      </c>
      <c r="E648" s="50" t="s">
        <v>3485</v>
      </c>
      <c r="G648" s="56">
        <v>40217</v>
      </c>
    </row>
    <row r="649" spans="1:7" x14ac:dyDescent="0.2">
      <c r="A649" s="48">
        <v>40189</v>
      </c>
      <c r="B649" s="49" t="s">
        <v>2270</v>
      </c>
      <c r="C649" s="50" t="s">
        <v>1819</v>
      </c>
      <c r="D649" s="51">
        <v>5709</v>
      </c>
      <c r="E649" s="50" t="s">
        <v>846</v>
      </c>
      <c r="G649" s="56">
        <v>40631</v>
      </c>
    </row>
    <row r="650" spans="1:7" x14ac:dyDescent="0.2">
      <c r="A650" s="48">
        <v>40136</v>
      </c>
      <c r="B650" s="49" t="s">
        <v>2707</v>
      </c>
      <c r="C650" s="50" t="s">
        <v>928</v>
      </c>
      <c r="D650" s="51">
        <v>5725</v>
      </c>
      <c r="E650" s="50" t="s">
        <v>3485</v>
      </c>
      <c r="G650" s="56">
        <v>40138</v>
      </c>
    </row>
    <row r="651" spans="1:7" x14ac:dyDescent="0.2">
      <c r="A651" s="48">
        <v>40162</v>
      </c>
      <c r="B651" s="49" t="s">
        <v>81</v>
      </c>
      <c r="C651" s="50" t="s">
        <v>1819</v>
      </c>
      <c r="D651" s="51">
        <v>5731</v>
      </c>
      <c r="E651" s="50" t="s">
        <v>3165</v>
      </c>
      <c r="G651" s="56">
        <v>40210</v>
      </c>
    </row>
    <row r="652" spans="1:7" x14ac:dyDescent="0.2">
      <c r="A652" s="48">
        <v>40205</v>
      </c>
      <c r="B652" s="49" t="s">
        <v>3526</v>
      </c>
      <c r="C652" s="50" t="s">
        <v>1819</v>
      </c>
      <c r="D652" s="51">
        <v>5735</v>
      </c>
      <c r="E652" s="50" t="s">
        <v>3165</v>
      </c>
      <c r="G652" s="56">
        <v>40210</v>
      </c>
    </row>
    <row r="653" spans="1:7" x14ac:dyDescent="0.2">
      <c r="A653" s="48">
        <v>40205</v>
      </c>
      <c r="B653" s="49" t="s">
        <v>3683</v>
      </c>
      <c r="C653" s="50" t="s">
        <v>1819</v>
      </c>
      <c r="D653" s="51">
        <v>5736</v>
      </c>
      <c r="E653" s="50" t="s">
        <v>3165</v>
      </c>
      <c r="G653" s="56">
        <v>40210</v>
      </c>
    </row>
    <row r="654" spans="1:7" hidden="1" x14ac:dyDescent="0.2">
      <c r="A654" s="48">
        <v>40205</v>
      </c>
      <c r="B654" s="49" t="s">
        <v>2269</v>
      </c>
      <c r="C654" s="50" t="s">
        <v>1102</v>
      </c>
      <c r="D654" s="51">
        <v>5737</v>
      </c>
      <c r="E654" s="50" t="s">
        <v>2494</v>
      </c>
    </row>
    <row r="655" spans="1:7" x14ac:dyDescent="0.2">
      <c r="A655" s="48">
        <v>40205</v>
      </c>
      <c r="B655" s="49" t="s">
        <v>3645</v>
      </c>
      <c r="C655" s="50" t="s">
        <v>1819</v>
      </c>
      <c r="D655" s="51">
        <v>5738</v>
      </c>
      <c r="E655" s="50" t="s">
        <v>2494</v>
      </c>
      <c r="G655" s="56">
        <v>40210</v>
      </c>
    </row>
    <row r="656" spans="1:7" x14ac:dyDescent="0.2">
      <c r="A656" s="48">
        <v>40211</v>
      </c>
      <c r="B656" s="49" t="s">
        <v>3277</v>
      </c>
      <c r="C656" s="50" t="s">
        <v>3278</v>
      </c>
      <c r="D656" s="51">
        <v>5739</v>
      </c>
      <c r="G656" s="56">
        <v>40436</v>
      </c>
    </row>
    <row r="657" spans="1:7" x14ac:dyDescent="0.2">
      <c r="A657" s="48">
        <v>40214</v>
      </c>
      <c r="B657" s="49" t="s">
        <v>3431</v>
      </c>
      <c r="C657" s="50" t="s">
        <v>3514</v>
      </c>
      <c r="D657" s="51">
        <v>5741</v>
      </c>
      <c r="E657" s="50" t="s">
        <v>3165</v>
      </c>
      <c r="G657" s="56">
        <v>40268</v>
      </c>
    </row>
    <row r="658" spans="1:7" hidden="1" x14ac:dyDescent="0.2">
      <c r="A658" s="48">
        <v>40217</v>
      </c>
      <c r="B658" s="49" t="s">
        <v>3945</v>
      </c>
      <c r="C658" s="50" t="s">
        <v>3946</v>
      </c>
      <c r="D658" s="51">
        <v>5742</v>
      </c>
      <c r="E658" s="50" t="s">
        <v>328</v>
      </c>
    </row>
    <row r="659" spans="1:7" x14ac:dyDescent="0.2">
      <c r="A659" s="48">
        <v>40218</v>
      </c>
      <c r="B659" s="49" t="s">
        <v>3432</v>
      </c>
      <c r="C659" s="50" t="s">
        <v>3514</v>
      </c>
      <c r="D659" s="51">
        <v>5743</v>
      </c>
      <c r="E659" s="50" t="s">
        <v>3165</v>
      </c>
      <c r="G659" s="56">
        <v>40268</v>
      </c>
    </row>
    <row r="660" spans="1:7" x14ac:dyDescent="0.2">
      <c r="A660" s="48">
        <v>40218</v>
      </c>
      <c r="B660" s="49" t="s">
        <v>1995</v>
      </c>
      <c r="D660" s="51">
        <v>5744</v>
      </c>
      <c r="G660" s="56">
        <v>40535</v>
      </c>
    </row>
    <row r="661" spans="1:7" x14ac:dyDescent="0.2">
      <c r="A661" s="48">
        <v>40218</v>
      </c>
      <c r="B661" s="49" t="s">
        <v>2810</v>
      </c>
      <c r="C661" s="50" t="s">
        <v>2811</v>
      </c>
      <c r="D661" s="51">
        <v>5745</v>
      </c>
      <c r="E661" s="50" t="s">
        <v>3837</v>
      </c>
      <c r="G661" s="56">
        <v>40504</v>
      </c>
    </row>
    <row r="662" spans="1:7" x14ac:dyDescent="0.2">
      <c r="A662" s="48">
        <v>40190</v>
      </c>
      <c r="B662" s="49" t="s">
        <v>3009</v>
      </c>
      <c r="C662" s="50" t="s">
        <v>3514</v>
      </c>
      <c r="D662" s="51">
        <v>5747</v>
      </c>
      <c r="E662" s="50" t="s">
        <v>3613</v>
      </c>
      <c r="G662" s="56">
        <v>40334</v>
      </c>
    </row>
    <row r="663" spans="1:7" ht="25.5" x14ac:dyDescent="0.2">
      <c r="A663" s="48">
        <v>40114</v>
      </c>
      <c r="B663" s="49" t="s">
        <v>3260</v>
      </c>
      <c r="C663" s="50" t="s">
        <v>4027</v>
      </c>
      <c r="D663" s="51">
        <v>5748</v>
      </c>
      <c r="E663" s="50" t="s">
        <v>3479</v>
      </c>
      <c r="G663" s="56">
        <v>40182</v>
      </c>
    </row>
    <row r="664" spans="1:7" hidden="1" x14ac:dyDescent="0.2">
      <c r="A664" s="48">
        <v>40190</v>
      </c>
      <c r="B664" s="49" t="s">
        <v>1886</v>
      </c>
      <c r="C664" s="50" t="s">
        <v>3946</v>
      </c>
      <c r="D664" s="51">
        <v>5749</v>
      </c>
      <c r="E664" s="50" t="s">
        <v>328</v>
      </c>
    </row>
    <row r="665" spans="1:7" hidden="1" x14ac:dyDescent="0.2">
      <c r="A665" s="48">
        <v>40211</v>
      </c>
      <c r="B665" s="49" t="s">
        <v>481</v>
      </c>
      <c r="C665" s="50" t="s">
        <v>1819</v>
      </c>
      <c r="D665" s="51">
        <v>5757</v>
      </c>
      <c r="E665" s="50" t="s">
        <v>3597</v>
      </c>
    </row>
    <row r="666" spans="1:7" x14ac:dyDescent="0.2">
      <c r="A666" s="48">
        <v>40261</v>
      </c>
      <c r="B666" s="49" t="s">
        <v>3537</v>
      </c>
      <c r="D666" s="51">
        <v>5766</v>
      </c>
      <c r="G666" s="56">
        <v>40547</v>
      </c>
    </row>
    <row r="667" spans="1:7" x14ac:dyDescent="0.2">
      <c r="A667" s="48">
        <v>40298</v>
      </c>
      <c r="B667" s="49" t="s">
        <v>1800</v>
      </c>
      <c r="C667" s="50" t="s">
        <v>1819</v>
      </c>
      <c r="D667" s="51">
        <v>5771</v>
      </c>
      <c r="E667" s="50" t="s">
        <v>3613</v>
      </c>
      <c r="G667" s="56">
        <v>40334</v>
      </c>
    </row>
    <row r="668" spans="1:7" x14ac:dyDescent="0.2">
      <c r="A668" s="48">
        <v>40301</v>
      </c>
      <c r="B668" s="49" t="s">
        <v>242</v>
      </c>
      <c r="C668" s="50" t="s">
        <v>1819</v>
      </c>
      <c r="D668" s="51">
        <v>5778</v>
      </c>
      <c r="G668" s="56">
        <v>40436</v>
      </c>
    </row>
    <row r="669" spans="1:7" x14ac:dyDescent="0.2">
      <c r="A669" s="48">
        <v>40315</v>
      </c>
      <c r="B669" s="49" t="s">
        <v>2951</v>
      </c>
      <c r="C669" s="50" t="s">
        <v>392</v>
      </c>
      <c r="D669" s="51">
        <v>5780</v>
      </c>
      <c r="G669" s="56">
        <v>40437</v>
      </c>
    </row>
    <row r="670" spans="1:7" x14ac:dyDescent="0.2">
      <c r="A670" s="48">
        <v>40319</v>
      </c>
      <c r="B670" s="49" t="s">
        <v>4002</v>
      </c>
      <c r="C670" s="50" t="s">
        <v>411</v>
      </c>
      <c r="D670" s="51">
        <v>5785</v>
      </c>
      <c r="E670" s="50" t="s">
        <v>3837</v>
      </c>
      <c r="G670" s="56">
        <v>40631</v>
      </c>
    </row>
    <row r="671" spans="1:7" x14ac:dyDescent="0.2">
      <c r="A671" s="48">
        <v>40330</v>
      </c>
      <c r="B671" s="49" t="s">
        <v>1791</v>
      </c>
      <c r="C671" s="50" t="s">
        <v>1792</v>
      </c>
      <c r="D671" s="51">
        <v>5787</v>
      </c>
      <c r="G671" s="56">
        <v>40436</v>
      </c>
    </row>
    <row r="672" spans="1:7" ht="25.5" x14ac:dyDescent="0.2">
      <c r="A672" s="48">
        <v>40337</v>
      </c>
      <c r="B672" s="49" t="s">
        <v>2077</v>
      </c>
      <c r="C672" s="50" t="s">
        <v>2078</v>
      </c>
      <c r="D672" s="51">
        <v>5790</v>
      </c>
      <c r="G672" s="56">
        <v>40437</v>
      </c>
    </row>
    <row r="673" spans="1:7" x14ac:dyDescent="0.2">
      <c r="A673" s="48">
        <v>40390</v>
      </c>
      <c r="B673" s="49" t="s">
        <v>1525</v>
      </c>
      <c r="C673" s="50" t="s">
        <v>3433</v>
      </c>
      <c r="D673" s="51">
        <v>5793</v>
      </c>
      <c r="E673" s="50" t="s">
        <v>2494</v>
      </c>
      <c r="G673" s="56">
        <v>40631</v>
      </c>
    </row>
    <row r="674" spans="1:7" x14ac:dyDescent="0.2">
      <c r="A674" s="48">
        <v>40137</v>
      </c>
      <c r="B674" s="49" t="s">
        <v>535</v>
      </c>
      <c r="C674" s="50" t="s">
        <v>3433</v>
      </c>
      <c r="D674" s="51">
        <v>5797</v>
      </c>
      <c r="E674" s="50" t="s">
        <v>3478</v>
      </c>
      <c r="G674" s="56">
        <v>40138</v>
      </c>
    </row>
    <row r="675" spans="1:7" x14ac:dyDescent="0.2">
      <c r="A675" s="48">
        <v>40135</v>
      </c>
      <c r="B675" s="49" t="s">
        <v>536</v>
      </c>
      <c r="C675" s="50" t="s">
        <v>928</v>
      </c>
      <c r="D675" s="51">
        <v>5798</v>
      </c>
      <c r="E675" s="50" t="s">
        <v>3485</v>
      </c>
      <c r="G675" s="56">
        <v>40138</v>
      </c>
    </row>
    <row r="676" spans="1:7" x14ac:dyDescent="0.2">
      <c r="A676" s="48">
        <v>40135</v>
      </c>
      <c r="B676" s="49" t="s">
        <v>537</v>
      </c>
      <c r="C676" s="50" t="s">
        <v>928</v>
      </c>
      <c r="D676" s="51">
        <v>5799</v>
      </c>
      <c r="E676" s="50" t="s">
        <v>3485</v>
      </c>
      <c r="G676" s="56">
        <v>40138</v>
      </c>
    </row>
    <row r="677" spans="1:7" x14ac:dyDescent="0.2">
      <c r="A677" s="48">
        <v>40135</v>
      </c>
      <c r="B677" s="49" t="s">
        <v>2099</v>
      </c>
      <c r="C677" s="50" t="s">
        <v>408</v>
      </c>
      <c r="D677" s="51">
        <v>5800</v>
      </c>
      <c r="E677" s="50" t="s">
        <v>3482</v>
      </c>
      <c r="G677" s="56">
        <v>40138</v>
      </c>
    </row>
    <row r="678" spans="1:7" x14ac:dyDescent="0.2">
      <c r="A678" s="48">
        <v>40135</v>
      </c>
      <c r="B678" s="49" t="s">
        <v>700</v>
      </c>
      <c r="C678" s="50" t="s">
        <v>1819</v>
      </c>
      <c r="D678" s="51">
        <v>5801</v>
      </c>
      <c r="E678" s="50" t="s">
        <v>3482</v>
      </c>
      <c r="G678" s="56">
        <v>40138</v>
      </c>
    </row>
    <row r="679" spans="1:7" x14ac:dyDescent="0.2">
      <c r="A679" s="48">
        <v>40119</v>
      </c>
      <c r="B679" s="49" t="s">
        <v>1558</v>
      </c>
      <c r="C679" s="50" t="s">
        <v>1819</v>
      </c>
      <c r="D679" s="51">
        <v>5802</v>
      </c>
      <c r="E679" s="50" t="s">
        <v>3480</v>
      </c>
      <c r="G679" s="56">
        <v>40138</v>
      </c>
    </row>
    <row r="680" spans="1:7" x14ac:dyDescent="0.2">
      <c r="A680" s="48">
        <v>40132</v>
      </c>
      <c r="B680" s="49" t="s">
        <v>570</v>
      </c>
      <c r="C680" s="50" t="s">
        <v>1819</v>
      </c>
      <c r="D680" s="51">
        <v>5803</v>
      </c>
      <c r="E680" s="50" t="s">
        <v>3480</v>
      </c>
      <c r="G680" s="56">
        <v>40138</v>
      </c>
    </row>
    <row r="681" spans="1:7" x14ac:dyDescent="0.2">
      <c r="A681" s="48">
        <v>40128</v>
      </c>
      <c r="B681" s="49" t="s">
        <v>2621</v>
      </c>
      <c r="C681" s="50" t="s">
        <v>1819</v>
      </c>
      <c r="D681" s="51">
        <v>5804</v>
      </c>
      <c r="E681" s="50" t="s">
        <v>3486</v>
      </c>
      <c r="G681" s="56">
        <v>40138</v>
      </c>
    </row>
    <row r="682" spans="1:7" x14ac:dyDescent="0.2">
      <c r="A682" s="48">
        <v>40134</v>
      </c>
      <c r="B682" s="49" t="s">
        <v>1270</v>
      </c>
      <c r="C682" s="50" t="s">
        <v>4027</v>
      </c>
      <c r="D682" s="51">
        <v>5806</v>
      </c>
      <c r="E682" s="50" t="s">
        <v>1562</v>
      </c>
      <c r="G682" s="56">
        <v>40182</v>
      </c>
    </row>
    <row r="683" spans="1:7" x14ac:dyDescent="0.2">
      <c r="A683" s="126">
        <v>40135</v>
      </c>
      <c r="B683" s="127" t="s">
        <v>1271</v>
      </c>
      <c r="C683" s="130" t="s">
        <v>1404</v>
      </c>
      <c r="D683" s="129">
        <v>5807</v>
      </c>
      <c r="E683" s="130" t="s">
        <v>3483</v>
      </c>
      <c r="G683" s="56">
        <v>40143</v>
      </c>
    </row>
    <row r="684" spans="1:7" x14ac:dyDescent="0.2">
      <c r="A684" s="126">
        <v>40118</v>
      </c>
      <c r="B684" s="127" t="s">
        <v>1272</v>
      </c>
      <c r="C684" s="130" t="s">
        <v>1819</v>
      </c>
      <c r="D684" s="129">
        <v>5808</v>
      </c>
      <c r="E684" s="130" t="s">
        <v>2789</v>
      </c>
      <c r="G684" s="56">
        <v>40143</v>
      </c>
    </row>
    <row r="685" spans="1:7" x14ac:dyDescent="0.2">
      <c r="A685" s="126">
        <v>40030</v>
      </c>
      <c r="B685" s="127" t="s">
        <v>3040</v>
      </c>
      <c r="C685" s="130" t="s">
        <v>1404</v>
      </c>
      <c r="D685" s="129">
        <v>5832</v>
      </c>
      <c r="E685" s="130" t="s">
        <v>2504</v>
      </c>
      <c r="G685" s="56">
        <v>40051</v>
      </c>
    </row>
    <row r="686" spans="1:7" hidden="1" x14ac:dyDescent="0.2">
      <c r="A686" s="48">
        <v>40242</v>
      </c>
      <c r="B686" s="49" t="s">
        <v>79</v>
      </c>
      <c r="C686" s="50" t="s">
        <v>3514</v>
      </c>
      <c r="D686" s="51">
        <v>5922</v>
      </c>
      <c r="E686" s="50" t="s">
        <v>3478</v>
      </c>
    </row>
    <row r="687" spans="1:7" hidden="1" x14ac:dyDescent="0.2">
      <c r="A687" s="48">
        <v>40242</v>
      </c>
      <c r="B687" s="49" t="s">
        <v>3944</v>
      </c>
      <c r="C687" s="50" t="s">
        <v>3514</v>
      </c>
      <c r="D687" s="51">
        <v>5923</v>
      </c>
      <c r="E687" s="50" t="s">
        <v>2494</v>
      </c>
    </row>
    <row r="688" spans="1:7" x14ac:dyDescent="0.2">
      <c r="A688" s="48">
        <v>40245</v>
      </c>
      <c r="B688" s="49" t="s">
        <v>3884</v>
      </c>
      <c r="C688" s="50" t="s">
        <v>1819</v>
      </c>
      <c r="D688" s="51">
        <v>5924</v>
      </c>
      <c r="E688" s="50" t="s">
        <v>3162</v>
      </c>
      <c r="G688" s="56">
        <v>40268</v>
      </c>
    </row>
    <row r="689" spans="1:7" x14ac:dyDescent="0.2">
      <c r="A689" s="48">
        <v>40246</v>
      </c>
      <c r="B689" s="49" t="s">
        <v>3237</v>
      </c>
      <c r="C689" s="50" t="s">
        <v>411</v>
      </c>
      <c r="D689" s="51">
        <v>5925</v>
      </c>
      <c r="E689" s="50" t="s">
        <v>328</v>
      </c>
      <c r="G689" s="56">
        <v>40616</v>
      </c>
    </row>
    <row r="690" spans="1:7" x14ac:dyDescent="0.2">
      <c r="A690" s="48">
        <v>40246</v>
      </c>
      <c r="B690" s="49" t="s">
        <v>3702</v>
      </c>
      <c r="C690" s="50" t="s">
        <v>3047</v>
      </c>
      <c r="D690" s="51">
        <v>5926</v>
      </c>
      <c r="E690" s="50" t="s">
        <v>3478</v>
      </c>
      <c r="G690" s="56">
        <v>40266</v>
      </c>
    </row>
    <row r="691" spans="1:7" x14ac:dyDescent="0.2">
      <c r="A691" s="48">
        <v>40247</v>
      </c>
      <c r="B691" s="49" t="s">
        <v>643</v>
      </c>
      <c r="C691" s="50" t="s">
        <v>3514</v>
      </c>
      <c r="D691" s="51">
        <v>5927</v>
      </c>
      <c r="E691" s="50" t="s">
        <v>3165</v>
      </c>
      <c r="G691" s="56">
        <v>40268</v>
      </c>
    </row>
    <row r="692" spans="1:7" x14ac:dyDescent="0.2">
      <c r="A692" s="48">
        <v>40247</v>
      </c>
      <c r="B692" s="49" t="s">
        <v>2897</v>
      </c>
      <c r="C692" s="50" t="s">
        <v>1819</v>
      </c>
      <c r="D692" s="51">
        <v>5928</v>
      </c>
      <c r="E692" s="50" t="s">
        <v>328</v>
      </c>
      <c r="G692" s="56">
        <v>40504</v>
      </c>
    </row>
    <row r="693" spans="1:7" x14ac:dyDescent="0.2">
      <c r="A693" s="48">
        <v>40252</v>
      </c>
      <c r="B693" s="49" t="s">
        <v>2223</v>
      </c>
      <c r="C693" s="50" t="s">
        <v>1819</v>
      </c>
      <c r="D693" s="51">
        <v>5929</v>
      </c>
      <c r="E693" s="50" t="s">
        <v>3162</v>
      </c>
      <c r="G693" s="56">
        <v>40266</v>
      </c>
    </row>
    <row r="694" spans="1:7" x14ac:dyDescent="0.2">
      <c r="A694" s="48">
        <v>40253</v>
      </c>
      <c r="B694" s="49" t="s">
        <v>3319</v>
      </c>
      <c r="C694" s="50" t="s">
        <v>3320</v>
      </c>
      <c r="D694" s="51">
        <v>5931</v>
      </c>
      <c r="G694" s="56">
        <v>40436</v>
      </c>
    </row>
    <row r="695" spans="1:7" x14ac:dyDescent="0.2">
      <c r="A695" s="48">
        <v>40256</v>
      </c>
      <c r="B695" s="49" t="s">
        <v>718</v>
      </c>
      <c r="D695" s="51">
        <v>5933</v>
      </c>
      <c r="G695" s="56">
        <v>40616</v>
      </c>
    </row>
    <row r="696" spans="1:7" x14ac:dyDescent="0.2">
      <c r="A696" s="48">
        <v>40256</v>
      </c>
      <c r="B696" s="49" t="s">
        <v>3701</v>
      </c>
      <c r="C696" s="50" t="s">
        <v>3514</v>
      </c>
      <c r="D696" s="51">
        <v>5935</v>
      </c>
      <c r="E696" s="50" t="s">
        <v>711</v>
      </c>
      <c r="G696" s="56">
        <v>40504</v>
      </c>
    </row>
    <row r="697" spans="1:7" ht="25.5" x14ac:dyDescent="0.2">
      <c r="A697" s="48">
        <v>40263</v>
      </c>
      <c r="B697" s="49" t="s">
        <v>3690</v>
      </c>
      <c r="D697" s="51">
        <v>5938</v>
      </c>
      <c r="G697" s="56">
        <v>40535</v>
      </c>
    </row>
    <row r="698" spans="1:7" x14ac:dyDescent="0.2">
      <c r="A698" s="126">
        <v>40269</v>
      </c>
      <c r="B698" s="127" t="s">
        <v>3635</v>
      </c>
      <c r="C698" s="130"/>
      <c r="D698" s="129">
        <v>5941</v>
      </c>
      <c r="E698" s="130"/>
      <c r="G698" s="56">
        <v>40529</v>
      </c>
    </row>
    <row r="699" spans="1:7" x14ac:dyDescent="0.2">
      <c r="A699" s="48">
        <v>40291</v>
      </c>
      <c r="B699" s="49" t="s">
        <v>190</v>
      </c>
      <c r="C699" s="50" t="s">
        <v>411</v>
      </c>
      <c r="D699" s="51">
        <v>5947</v>
      </c>
      <c r="E699" s="50" t="s">
        <v>774</v>
      </c>
      <c r="G699" s="56">
        <v>40334</v>
      </c>
    </row>
    <row r="700" spans="1:7" x14ac:dyDescent="0.2">
      <c r="A700" s="48">
        <v>40310</v>
      </c>
      <c r="B700" s="49" t="s">
        <v>4003</v>
      </c>
      <c r="C700" s="50" t="s">
        <v>2156</v>
      </c>
      <c r="D700" s="51">
        <v>5948</v>
      </c>
      <c r="E700" s="50" t="s">
        <v>3162</v>
      </c>
      <c r="G700" s="56">
        <v>40631</v>
      </c>
    </row>
    <row r="701" spans="1:7" x14ac:dyDescent="0.2">
      <c r="A701" s="48">
        <v>40332</v>
      </c>
      <c r="B701" s="49" t="s">
        <v>3172</v>
      </c>
      <c r="C701" s="50" t="s">
        <v>1507</v>
      </c>
      <c r="D701" s="51">
        <v>5954</v>
      </c>
      <c r="G701" s="56">
        <v>40436</v>
      </c>
    </row>
    <row r="702" spans="1:7" x14ac:dyDescent="0.2">
      <c r="A702" s="48">
        <v>40350</v>
      </c>
      <c r="B702" s="49" t="s">
        <v>750</v>
      </c>
      <c r="C702" s="50" t="s">
        <v>1819</v>
      </c>
      <c r="D702" s="51">
        <v>5955</v>
      </c>
      <c r="E702" s="50" t="s">
        <v>2494</v>
      </c>
      <c r="G702" s="56">
        <v>40631</v>
      </c>
    </row>
    <row r="703" spans="1:7" x14ac:dyDescent="0.2">
      <c r="A703" s="48">
        <v>40343</v>
      </c>
      <c r="B703" s="49" t="s">
        <v>2451</v>
      </c>
      <c r="C703" s="50" t="s">
        <v>411</v>
      </c>
      <c r="D703" s="51">
        <v>5956</v>
      </c>
      <c r="G703" s="56">
        <v>40436</v>
      </c>
    </row>
    <row r="704" spans="1:7" x14ac:dyDescent="0.2">
      <c r="A704" s="48">
        <v>40351</v>
      </c>
      <c r="B704" s="49" t="s">
        <v>2792</v>
      </c>
      <c r="C704" s="50" t="s">
        <v>2793</v>
      </c>
      <c r="D704" s="51">
        <v>5958</v>
      </c>
      <c r="G704" s="56">
        <v>40436</v>
      </c>
    </row>
    <row r="705" spans="1:7" x14ac:dyDescent="0.2">
      <c r="A705" s="48">
        <v>40352</v>
      </c>
      <c r="B705" s="49" t="s">
        <v>3041</v>
      </c>
      <c r="C705" s="50" t="s">
        <v>474</v>
      </c>
      <c r="D705" s="51">
        <v>5959</v>
      </c>
      <c r="G705" s="56">
        <v>40436</v>
      </c>
    </row>
    <row r="706" spans="1:7" x14ac:dyDescent="0.2">
      <c r="A706" s="48">
        <v>40353</v>
      </c>
      <c r="B706" s="49" t="s">
        <v>1215</v>
      </c>
      <c r="C706" s="50" t="s">
        <v>2441</v>
      </c>
      <c r="D706" s="51">
        <v>5961</v>
      </c>
      <c r="G706" s="56">
        <v>40436</v>
      </c>
    </row>
    <row r="707" spans="1:7" x14ac:dyDescent="0.2">
      <c r="A707" s="48">
        <v>40355</v>
      </c>
      <c r="B707" s="49" t="s">
        <v>2126</v>
      </c>
      <c r="C707" s="50" t="s">
        <v>2127</v>
      </c>
      <c r="D707" s="51">
        <v>5963</v>
      </c>
      <c r="G707" s="56">
        <v>40436</v>
      </c>
    </row>
    <row r="708" spans="1:7" x14ac:dyDescent="0.2">
      <c r="A708" s="48">
        <v>40355</v>
      </c>
      <c r="B708" s="49" t="s">
        <v>1543</v>
      </c>
      <c r="C708" s="50" t="s">
        <v>2960</v>
      </c>
      <c r="D708" s="51">
        <v>5965</v>
      </c>
      <c r="G708" s="56">
        <v>40436</v>
      </c>
    </row>
    <row r="709" spans="1:7" x14ac:dyDescent="0.2">
      <c r="A709" s="48">
        <v>40355</v>
      </c>
      <c r="B709" s="49" t="s">
        <v>1599</v>
      </c>
      <c r="C709" s="50" t="s">
        <v>1600</v>
      </c>
      <c r="D709" s="51">
        <v>5966</v>
      </c>
      <c r="G709" s="56">
        <v>40436</v>
      </c>
    </row>
    <row r="710" spans="1:7" x14ac:dyDescent="0.2">
      <c r="A710" s="48">
        <v>40355</v>
      </c>
      <c r="B710" s="49" t="s">
        <v>1598</v>
      </c>
      <c r="C710" s="50" t="s">
        <v>3514</v>
      </c>
      <c r="D710" s="51">
        <v>5967</v>
      </c>
      <c r="G710" s="56">
        <v>40436</v>
      </c>
    </row>
    <row r="711" spans="1:7" x14ac:dyDescent="0.2">
      <c r="A711" s="48">
        <v>40355</v>
      </c>
      <c r="B711" s="49" t="s">
        <v>243</v>
      </c>
      <c r="C711" s="50" t="s">
        <v>2820</v>
      </c>
      <c r="D711" s="51">
        <v>5968</v>
      </c>
      <c r="G711" s="56">
        <v>40436</v>
      </c>
    </row>
    <row r="712" spans="1:7" x14ac:dyDescent="0.2">
      <c r="A712" s="48">
        <v>40352</v>
      </c>
      <c r="B712" s="49" t="s">
        <v>3952</v>
      </c>
      <c r="C712" s="50" t="s">
        <v>2349</v>
      </c>
      <c r="D712" s="51">
        <v>5969</v>
      </c>
      <c r="G712" s="56">
        <v>40436</v>
      </c>
    </row>
    <row r="713" spans="1:7" x14ac:dyDescent="0.2">
      <c r="A713" s="48">
        <v>40366</v>
      </c>
      <c r="B713" s="49" t="s">
        <v>3777</v>
      </c>
      <c r="C713" s="50" t="s">
        <v>3433</v>
      </c>
      <c r="D713" s="51">
        <v>5971</v>
      </c>
      <c r="E713" s="50" t="s">
        <v>2494</v>
      </c>
      <c r="F713" s="50">
        <v>4</v>
      </c>
      <c r="G713" s="56">
        <v>40631</v>
      </c>
    </row>
    <row r="714" spans="1:7" x14ac:dyDescent="0.2">
      <c r="A714" s="126">
        <v>40368</v>
      </c>
      <c r="B714" s="127" t="s">
        <v>64</v>
      </c>
      <c r="C714" s="130" t="s">
        <v>1819</v>
      </c>
      <c r="D714" s="129">
        <v>5972</v>
      </c>
      <c r="E714" s="130"/>
      <c r="G714" s="56">
        <v>40436</v>
      </c>
    </row>
    <row r="715" spans="1:7" x14ac:dyDescent="0.2">
      <c r="A715" s="48">
        <v>40371</v>
      </c>
      <c r="B715" s="49" t="s">
        <v>861</v>
      </c>
      <c r="C715" s="50" t="s">
        <v>411</v>
      </c>
      <c r="D715" s="51">
        <v>5973</v>
      </c>
      <c r="E715" s="50" t="s">
        <v>774</v>
      </c>
      <c r="G715" s="56">
        <v>40631</v>
      </c>
    </row>
    <row r="716" spans="1:7" x14ac:dyDescent="0.2">
      <c r="A716" s="48">
        <v>40371</v>
      </c>
      <c r="B716" s="49" t="s">
        <v>412</v>
      </c>
      <c r="C716" s="50" t="s">
        <v>411</v>
      </c>
      <c r="D716" s="51">
        <v>5974</v>
      </c>
      <c r="E716" s="50" t="s">
        <v>774</v>
      </c>
      <c r="G716" s="56">
        <v>40631</v>
      </c>
    </row>
    <row r="717" spans="1:7" x14ac:dyDescent="0.2">
      <c r="A717" s="48">
        <v>40372</v>
      </c>
      <c r="B717" s="49" t="s">
        <v>2151</v>
      </c>
      <c r="C717" s="50" t="s">
        <v>2152</v>
      </c>
      <c r="D717" s="51">
        <v>5977</v>
      </c>
      <c r="E717" s="50" t="s">
        <v>774</v>
      </c>
      <c r="G717" s="56">
        <v>40631</v>
      </c>
    </row>
    <row r="718" spans="1:7" x14ac:dyDescent="0.2">
      <c r="A718" s="48">
        <v>40362</v>
      </c>
      <c r="B718" s="49" t="s">
        <v>2848</v>
      </c>
      <c r="C718" s="50" t="s">
        <v>2849</v>
      </c>
      <c r="D718" s="51">
        <v>5978</v>
      </c>
      <c r="G718" s="56">
        <v>40436</v>
      </c>
    </row>
    <row r="719" spans="1:7" x14ac:dyDescent="0.2">
      <c r="A719" s="48">
        <v>40372</v>
      </c>
      <c r="B719" s="49" t="s">
        <v>2850</v>
      </c>
      <c r="C719" s="50" t="s">
        <v>1600</v>
      </c>
      <c r="D719" s="51">
        <v>5979</v>
      </c>
      <c r="G719" s="56">
        <v>40436</v>
      </c>
    </row>
    <row r="720" spans="1:7" x14ac:dyDescent="0.2">
      <c r="A720" s="48">
        <v>40374</v>
      </c>
      <c r="B720" s="49" t="s">
        <v>3323</v>
      </c>
      <c r="C720" s="50" t="s">
        <v>411</v>
      </c>
      <c r="D720" s="51">
        <v>5983</v>
      </c>
      <c r="E720" s="50" t="s">
        <v>3162</v>
      </c>
      <c r="G720" s="56">
        <v>40631</v>
      </c>
    </row>
    <row r="721" spans="1:7" x14ac:dyDescent="0.2">
      <c r="A721" s="48">
        <v>40368</v>
      </c>
      <c r="B721" s="49" t="s">
        <v>1399</v>
      </c>
      <c r="C721" s="50" t="s">
        <v>1819</v>
      </c>
      <c r="D721" s="51">
        <v>5985</v>
      </c>
      <c r="G721" s="56">
        <v>40436</v>
      </c>
    </row>
    <row r="722" spans="1:7" x14ac:dyDescent="0.2">
      <c r="A722" s="48">
        <v>40361</v>
      </c>
      <c r="B722" s="49" t="s">
        <v>1402</v>
      </c>
      <c r="C722" s="50" t="s">
        <v>1600</v>
      </c>
      <c r="D722" s="51">
        <v>5986</v>
      </c>
      <c r="G722" s="56">
        <v>40436</v>
      </c>
    </row>
    <row r="723" spans="1:7" x14ac:dyDescent="0.2">
      <c r="A723" s="48">
        <v>40380</v>
      </c>
      <c r="B723" s="49" t="s">
        <v>580</v>
      </c>
      <c r="C723" s="50" t="s">
        <v>1819</v>
      </c>
      <c r="D723" s="51">
        <v>5987</v>
      </c>
      <c r="E723" s="50" t="s">
        <v>2494</v>
      </c>
      <c r="G723" s="56">
        <v>40616</v>
      </c>
    </row>
    <row r="724" spans="1:7" x14ac:dyDescent="0.2">
      <c r="A724" s="48">
        <v>40389</v>
      </c>
      <c r="B724" s="49" t="s">
        <v>63</v>
      </c>
      <c r="C724" s="50" t="s">
        <v>1600</v>
      </c>
      <c r="D724" s="51">
        <v>5989</v>
      </c>
      <c r="G724" s="56">
        <v>40436</v>
      </c>
    </row>
    <row r="725" spans="1:7" x14ac:dyDescent="0.2">
      <c r="A725" s="48">
        <v>40389</v>
      </c>
      <c r="B725" s="49" t="s">
        <v>1400</v>
      </c>
      <c r="C725" s="50" t="s">
        <v>1401</v>
      </c>
      <c r="D725" s="51">
        <v>5990</v>
      </c>
      <c r="G725" s="56">
        <v>40436</v>
      </c>
    </row>
    <row r="726" spans="1:7" x14ac:dyDescent="0.2">
      <c r="A726" s="48">
        <v>40389</v>
      </c>
      <c r="B726" s="49" t="s">
        <v>2434</v>
      </c>
      <c r="C726" s="50" t="s">
        <v>474</v>
      </c>
      <c r="D726" s="51">
        <v>5991</v>
      </c>
      <c r="G726" s="56">
        <v>40436</v>
      </c>
    </row>
    <row r="727" spans="1:7" x14ac:dyDescent="0.2">
      <c r="A727" s="48">
        <v>40389</v>
      </c>
      <c r="B727" s="49" t="s">
        <v>1689</v>
      </c>
      <c r="C727" s="50" t="s">
        <v>474</v>
      </c>
      <c r="D727" s="51">
        <v>5992</v>
      </c>
      <c r="G727" s="56">
        <v>40437</v>
      </c>
    </row>
    <row r="728" spans="1:7" x14ac:dyDescent="0.2">
      <c r="A728" s="48">
        <v>40395</v>
      </c>
      <c r="B728" s="49" t="s">
        <v>3605</v>
      </c>
      <c r="C728" s="50" t="s">
        <v>1819</v>
      </c>
      <c r="D728" s="51">
        <v>5994</v>
      </c>
      <c r="G728" s="56">
        <v>40437</v>
      </c>
    </row>
    <row r="729" spans="1:7" x14ac:dyDescent="0.2">
      <c r="A729" s="48">
        <v>40448</v>
      </c>
      <c r="B729" s="49" t="s">
        <v>1002</v>
      </c>
      <c r="C729" s="50" t="s">
        <v>3514</v>
      </c>
      <c r="D729" s="51">
        <v>6007</v>
      </c>
      <c r="E729" s="50" t="s">
        <v>323</v>
      </c>
      <c r="G729" s="56">
        <v>40631</v>
      </c>
    </row>
    <row r="730" spans="1:7" x14ac:dyDescent="0.2">
      <c r="A730" s="196">
        <v>40456</v>
      </c>
      <c r="B730" s="195" t="s">
        <v>3555</v>
      </c>
      <c r="C730" s="199"/>
      <c r="D730" s="198">
        <v>6014</v>
      </c>
      <c r="E730" s="199"/>
      <c r="G730" s="56">
        <v>40616</v>
      </c>
    </row>
    <row r="731" spans="1:7" x14ac:dyDescent="0.2">
      <c r="A731" s="48">
        <v>40460</v>
      </c>
      <c r="B731" s="49" t="s">
        <v>482</v>
      </c>
      <c r="C731" s="50" t="s">
        <v>3514</v>
      </c>
      <c r="D731" s="51">
        <v>6017</v>
      </c>
      <c r="E731" s="50" t="s">
        <v>3478</v>
      </c>
      <c r="G731" s="56">
        <v>40631</v>
      </c>
    </row>
    <row r="732" spans="1:7" x14ac:dyDescent="0.2">
      <c r="A732" s="126">
        <v>40471</v>
      </c>
      <c r="B732" s="127" t="s">
        <v>856</v>
      </c>
      <c r="C732" s="130" t="s">
        <v>1819</v>
      </c>
      <c r="D732" s="129">
        <v>6023</v>
      </c>
      <c r="E732" s="130" t="s">
        <v>328</v>
      </c>
      <c r="G732" s="56">
        <v>40497</v>
      </c>
    </row>
    <row r="733" spans="1:7" x14ac:dyDescent="0.2">
      <c r="A733" s="48">
        <v>40472</v>
      </c>
      <c r="B733" s="49" t="s">
        <v>1246</v>
      </c>
      <c r="C733" s="50" t="s">
        <v>3514</v>
      </c>
      <c r="D733" s="51">
        <v>6025</v>
      </c>
      <c r="E733" s="50" t="s">
        <v>3597</v>
      </c>
      <c r="G733" s="56">
        <v>40497</v>
      </c>
    </row>
    <row r="734" spans="1:7" x14ac:dyDescent="0.2">
      <c r="A734" s="126">
        <v>40477</v>
      </c>
      <c r="B734" s="127" t="s">
        <v>1298</v>
      </c>
      <c r="C734" s="130" t="s">
        <v>3433</v>
      </c>
      <c r="D734" s="129">
        <v>6027</v>
      </c>
      <c r="E734" s="130" t="s">
        <v>2494</v>
      </c>
      <c r="G734" s="56">
        <v>40504</v>
      </c>
    </row>
    <row r="735" spans="1:7" x14ac:dyDescent="0.2">
      <c r="A735" s="126">
        <v>40477</v>
      </c>
      <c r="B735" s="127" t="s">
        <v>1297</v>
      </c>
      <c r="C735" s="130" t="s">
        <v>3433</v>
      </c>
      <c r="D735" s="129">
        <v>6029</v>
      </c>
      <c r="E735" s="130" t="s">
        <v>2115</v>
      </c>
      <c r="G735" s="56">
        <v>40497</v>
      </c>
    </row>
    <row r="736" spans="1:7" ht="25.5" x14ac:dyDescent="0.2">
      <c r="A736" s="48">
        <v>40200</v>
      </c>
      <c r="B736" s="49" t="s">
        <v>2748</v>
      </c>
      <c r="C736" s="50" t="s">
        <v>1819</v>
      </c>
      <c r="D736" s="51">
        <v>6031</v>
      </c>
      <c r="E736" s="50" t="s">
        <v>328</v>
      </c>
      <c r="G736" s="56">
        <v>40504</v>
      </c>
    </row>
    <row r="737" spans="1:7" x14ac:dyDescent="0.2">
      <c r="A737" s="48">
        <v>40191</v>
      </c>
      <c r="B737" s="49" t="s">
        <v>2950</v>
      </c>
      <c r="C737" s="50" t="s">
        <v>3514</v>
      </c>
      <c r="D737" s="51">
        <v>6033</v>
      </c>
      <c r="E737" s="50" t="s">
        <v>3176</v>
      </c>
      <c r="G737" s="56">
        <v>40631</v>
      </c>
    </row>
    <row r="738" spans="1:7" x14ac:dyDescent="0.2">
      <c r="A738" s="48">
        <v>40189</v>
      </c>
      <c r="B738" s="49" t="s">
        <v>658</v>
      </c>
      <c r="C738" s="50" t="s">
        <v>408</v>
      </c>
      <c r="D738" s="51">
        <v>6035</v>
      </c>
      <c r="E738" s="50" t="s">
        <v>3478</v>
      </c>
      <c r="G738" s="56">
        <v>40631</v>
      </c>
    </row>
    <row r="739" spans="1:7" x14ac:dyDescent="0.2">
      <c r="A739" s="48">
        <v>40191</v>
      </c>
      <c r="B739" s="49" t="s">
        <v>2808</v>
      </c>
      <c r="C739" s="50" t="s">
        <v>1819</v>
      </c>
      <c r="D739" s="51">
        <v>6036</v>
      </c>
      <c r="E739" s="50" t="s">
        <v>3175</v>
      </c>
      <c r="G739" s="56">
        <v>40631</v>
      </c>
    </row>
    <row r="740" spans="1:7" x14ac:dyDescent="0.2">
      <c r="A740" s="48">
        <v>40150</v>
      </c>
      <c r="B740" s="49" t="s">
        <v>1983</v>
      </c>
      <c r="C740" s="50" t="s">
        <v>1819</v>
      </c>
      <c r="D740" s="51">
        <v>6038</v>
      </c>
      <c r="E740" s="50" t="s">
        <v>3482</v>
      </c>
      <c r="G740" s="56">
        <v>40182</v>
      </c>
    </row>
    <row r="741" spans="1:7" x14ac:dyDescent="0.2">
      <c r="A741" s="48">
        <v>40150</v>
      </c>
      <c r="B741" s="49" t="s">
        <v>691</v>
      </c>
      <c r="C741" s="50" t="s">
        <v>1819</v>
      </c>
      <c r="D741" s="51">
        <v>6039</v>
      </c>
      <c r="E741" s="50" t="s">
        <v>3486</v>
      </c>
      <c r="G741" s="56">
        <v>40631</v>
      </c>
    </row>
    <row r="742" spans="1:7" x14ac:dyDescent="0.2">
      <c r="A742" s="48">
        <v>40205</v>
      </c>
      <c r="B742" s="49" t="s">
        <v>2796</v>
      </c>
      <c r="C742" s="50" t="s">
        <v>1819</v>
      </c>
      <c r="D742" s="51">
        <v>6044</v>
      </c>
      <c r="E742" s="50" t="s">
        <v>2797</v>
      </c>
      <c r="G742" s="56">
        <v>40210</v>
      </c>
    </row>
    <row r="743" spans="1:7" x14ac:dyDescent="0.2">
      <c r="A743" s="48">
        <v>40200</v>
      </c>
      <c r="B743" s="49" t="s">
        <v>2240</v>
      </c>
      <c r="C743" s="50" t="s">
        <v>1819</v>
      </c>
      <c r="D743" s="51">
        <v>6045</v>
      </c>
      <c r="E743" s="50" t="s">
        <v>2241</v>
      </c>
      <c r="G743" s="56">
        <v>40504</v>
      </c>
    </row>
    <row r="744" spans="1:7" x14ac:dyDescent="0.2">
      <c r="A744" s="48">
        <v>40120</v>
      </c>
      <c r="B744" s="49" t="s">
        <v>1698</v>
      </c>
      <c r="C744" s="50" t="s">
        <v>1819</v>
      </c>
      <c r="D744" s="51">
        <v>6057</v>
      </c>
      <c r="E744" s="50" t="s">
        <v>3162</v>
      </c>
      <c r="G744" s="56">
        <v>40210</v>
      </c>
    </row>
    <row r="745" spans="1:7" x14ac:dyDescent="0.2">
      <c r="A745" s="48">
        <v>40328</v>
      </c>
      <c r="B745" s="49" t="s">
        <v>3557</v>
      </c>
      <c r="C745" s="50" t="s">
        <v>3558</v>
      </c>
      <c r="D745" s="51">
        <v>6074</v>
      </c>
      <c r="G745" s="56">
        <v>40437</v>
      </c>
    </row>
    <row r="746" spans="1:7" x14ac:dyDescent="0.2">
      <c r="A746" s="48">
        <v>40485</v>
      </c>
      <c r="B746" s="49" t="s">
        <v>340</v>
      </c>
      <c r="D746" s="51">
        <v>6101</v>
      </c>
      <c r="G746" s="56">
        <v>40616</v>
      </c>
    </row>
    <row r="747" spans="1:7" x14ac:dyDescent="0.2">
      <c r="A747" s="48">
        <v>40240</v>
      </c>
      <c r="B747" s="49" t="s">
        <v>1407</v>
      </c>
      <c r="C747" s="50" t="s">
        <v>1819</v>
      </c>
      <c r="D747" s="51">
        <v>6106</v>
      </c>
      <c r="E747" s="50" t="s">
        <v>3597</v>
      </c>
      <c r="G747" s="56">
        <v>40266</v>
      </c>
    </row>
    <row r="748" spans="1:7" x14ac:dyDescent="0.2">
      <c r="A748" s="126">
        <v>40240</v>
      </c>
      <c r="B748" s="127" t="s">
        <v>1408</v>
      </c>
      <c r="C748" s="130" t="s">
        <v>3514</v>
      </c>
      <c r="D748" s="129">
        <v>6107</v>
      </c>
      <c r="E748" s="130" t="s">
        <v>3597</v>
      </c>
      <c r="G748" s="56">
        <v>40266</v>
      </c>
    </row>
    <row r="749" spans="1:7" x14ac:dyDescent="0.2">
      <c r="A749" s="48">
        <v>40241</v>
      </c>
      <c r="B749" s="49" t="s">
        <v>3115</v>
      </c>
      <c r="C749" s="50" t="s">
        <v>411</v>
      </c>
      <c r="D749" s="51">
        <v>6109</v>
      </c>
      <c r="E749" s="50" t="s">
        <v>3162</v>
      </c>
      <c r="G749" s="56">
        <v>40268</v>
      </c>
    </row>
    <row r="750" spans="1:7" x14ac:dyDescent="0.2">
      <c r="A750" s="48">
        <v>40241</v>
      </c>
      <c r="B750" s="49" t="s">
        <v>772</v>
      </c>
      <c r="C750" s="50" t="s">
        <v>773</v>
      </c>
      <c r="D750" s="51">
        <v>6110</v>
      </c>
      <c r="E750" s="50" t="s">
        <v>774</v>
      </c>
      <c r="G750" s="56">
        <v>40268</v>
      </c>
    </row>
    <row r="751" spans="1:7" x14ac:dyDescent="0.2">
      <c r="A751" s="48">
        <v>40241</v>
      </c>
      <c r="B751" s="49" t="s">
        <v>3177</v>
      </c>
      <c r="D751" s="51">
        <v>6111</v>
      </c>
      <c r="G751" s="56">
        <v>40535</v>
      </c>
    </row>
    <row r="752" spans="1:7" x14ac:dyDescent="0.2">
      <c r="A752" s="48">
        <v>40241</v>
      </c>
      <c r="B752" s="49" t="s">
        <v>3883</v>
      </c>
      <c r="C752" s="50" t="s">
        <v>411</v>
      </c>
      <c r="D752" s="51">
        <v>6112</v>
      </c>
      <c r="E752" s="50" t="s">
        <v>3478</v>
      </c>
      <c r="G752" s="56">
        <v>40268</v>
      </c>
    </row>
    <row r="753" spans="1:8" x14ac:dyDescent="0.2">
      <c r="A753" s="48">
        <v>40241</v>
      </c>
      <c r="B753" s="49" t="s">
        <v>3178</v>
      </c>
      <c r="D753" s="51">
        <v>6113</v>
      </c>
      <c r="G753" s="56">
        <v>40535</v>
      </c>
    </row>
    <row r="754" spans="1:8" x14ac:dyDescent="0.2">
      <c r="A754" s="48">
        <v>40241</v>
      </c>
      <c r="B754" s="49" t="s">
        <v>459</v>
      </c>
      <c r="C754" s="50" t="s">
        <v>411</v>
      </c>
      <c r="D754" s="51">
        <v>6114</v>
      </c>
      <c r="G754" s="56">
        <v>40334</v>
      </c>
    </row>
    <row r="755" spans="1:8" x14ac:dyDescent="0.2">
      <c r="A755" s="48">
        <v>40241</v>
      </c>
      <c r="B755" s="49" t="s">
        <v>1293</v>
      </c>
      <c r="C755" s="50" t="s">
        <v>3514</v>
      </c>
      <c r="D755" s="51">
        <v>6116</v>
      </c>
      <c r="E755" s="50" t="s">
        <v>3165</v>
      </c>
      <c r="G755" s="56">
        <v>40268</v>
      </c>
    </row>
    <row r="756" spans="1:8" hidden="1" x14ac:dyDescent="0.2">
      <c r="A756" s="48">
        <v>40241</v>
      </c>
      <c r="B756" s="49" t="s">
        <v>80</v>
      </c>
      <c r="C756" s="50" t="s">
        <v>3514</v>
      </c>
      <c r="D756" s="51">
        <v>6117</v>
      </c>
      <c r="E756" s="50" t="s">
        <v>3482</v>
      </c>
    </row>
    <row r="757" spans="1:8" x14ac:dyDescent="0.2">
      <c r="A757" s="126">
        <v>40470</v>
      </c>
      <c r="B757" s="127" t="s">
        <v>3447</v>
      </c>
      <c r="C757" s="130"/>
      <c r="D757" s="129">
        <v>6270</v>
      </c>
      <c r="E757" s="130"/>
      <c r="G757" s="56">
        <v>40529</v>
      </c>
    </row>
    <row r="758" spans="1:8" x14ac:dyDescent="0.2">
      <c r="A758" s="48">
        <v>40394</v>
      </c>
      <c r="B758" s="49" t="s">
        <v>2257</v>
      </c>
      <c r="C758" s="50" t="s">
        <v>2258</v>
      </c>
      <c r="D758" s="51">
        <v>6274</v>
      </c>
      <c r="G758" s="56">
        <v>40437</v>
      </c>
    </row>
    <row r="759" spans="1:8" x14ac:dyDescent="0.2">
      <c r="A759" s="48">
        <v>40361</v>
      </c>
      <c r="B759" s="49" t="s">
        <v>2851</v>
      </c>
      <c r="C759" s="50" t="s">
        <v>2852</v>
      </c>
      <c r="D759" s="51">
        <v>6428</v>
      </c>
      <c r="G759" s="56">
        <v>40436</v>
      </c>
    </row>
    <row r="760" spans="1:8" x14ac:dyDescent="0.2">
      <c r="A760" s="48">
        <v>40366</v>
      </c>
      <c r="B760" s="49" t="s">
        <v>2430</v>
      </c>
      <c r="C760" s="50" t="s">
        <v>474</v>
      </c>
      <c r="D760" s="51">
        <v>6429</v>
      </c>
      <c r="G760" s="56">
        <v>40437</v>
      </c>
    </row>
    <row r="761" spans="1:8" x14ac:dyDescent="0.2">
      <c r="A761" s="48">
        <v>40367</v>
      </c>
      <c r="B761" s="49" t="s">
        <v>1036</v>
      </c>
      <c r="C761" s="50" t="s">
        <v>1600</v>
      </c>
      <c r="D761" s="51">
        <v>6434</v>
      </c>
      <c r="G761" s="56">
        <v>40436</v>
      </c>
    </row>
    <row r="762" spans="1:8" x14ac:dyDescent="0.2">
      <c r="A762" s="48">
        <v>40456</v>
      </c>
      <c r="B762" s="49" t="s">
        <v>3149</v>
      </c>
      <c r="C762" s="50" t="s">
        <v>1819</v>
      </c>
      <c r="D762" s="51">
        <v>6451</v>
      </c>
      <c r="E762" s="50" t="s">
        <v>3597</v>
      </c>
      <c r="G762" s="56">
        <v>40497</v>
      </c>
    </row>
    <row r="763" spans="1:8" x14ac:dyDescent="0.2">
      <c r="A763" s="126">
        <v>40458</v>
      </c>
      <c r="B763" s="127" t="s">
        <v>1605</v>
      </c>
      <c r="C763" s="130"/>
      <c r="D763" s="129">
        <v>6452</v>
      </c>
      <c r="E763" s="130"/>
      <c r="G763" s="56">
        <v>40529</v>
      </c>
    </row>
    <row r="764" spans="1:8" x14ac:dyDescent="0.2">
      <c r="A764" s="48">
        <v>40479</v>
      </c>
      <c r="B764" s="49" t="s">
        <v>2581</v>
      </c>
      <c r="D764" s="51">
        <v>6460</v>
      </c>
      <c r="G764" s="56">
        <v>40535</v>
      </c>
    </row>
    <row r="765" spans="1:8" x14ac:dyDescent="0.2">
      <c r="A765" s="48">
        <v>40486</v>
      </c>
      <c r="B765" s="49" t="s">
        <v>2835</v>
      </c>
      <c r="D765" s="51">
        <v>6465</v>
      </c>
      <c r="G765" s="56">
        <v>40535</v>
      </c>
    </row>
    <row r="766" spans="1:8" x14ac:dyDescent="0.2">
      <c r="A766" s="48">
        <v>40506</v>
      </c>
      <c r="B766" s="49" t="s">
        <v>3129</v>
      </c>
      <c r="C766" s="50" t="s">
        <v>2152</v>
      </c>
      <c r="D766" s="51">
        <v>6626</v>
      </c>
      <c r="G766" s="56">
        <v>40513</v>
      </c>
    </row>
    <row r="767" spans="1:8" x14ac:dyDescent="0.2">
      <c r="A767" s="48">
        <v>40505</v>
      </c>
      <c r="B767" s="49" t="s">
        <v>3128</v>
      </c>
      <c r="C767" s="50" t="s">
        <v>1819</v>
      </c>
      <c r="D767" s="51">
        <v>6631</v>
      </c>
      <c r="G767" s="56">
        <v>40520</v>
      </c>
    </row>
    <row r="768" spans="1:8" x14ac:dyDescent="0.2">
      <c r="A768" s="48">
        <v>40527</v>
      </c>
      <c r="B768" s="49" t="s">
        <v>2692</v>
      </c>
      <c r="C768" s="50" t="s">
        <v>2580</v>
      </c>
      <c r="D768" s="51">
        <v>6646</v>
      </c>
      <c r="E768" s="50" t="s">
        <v>2494</v>
      </c>
      <c r="F768" s="50">
        <v>1</v>
      </c>
      <c r="G768" s="56">
        <v>40714</v>
      </c>
      <c r="H768" t="s">
        <v>1868</v>
      </c>
    </row>
    <row r="769" spans="1:7" x14ac:dyDescent="0.2">
      <c r="A769" s="48">
        <v>40462</v>
      </c>
      <c r="B769" s="49" t="s">
        <v>2471</v>
      </c>
      <c r="C769" s="50" t="s">
        <v>2472</v>
      </c>
      <c r="D769" s="51">
        <v>6838</v>
      </c>
      <c r="E769" s="50" t="s">
        <v>2504</v>
      </c>
      <c r="G769" s="56">
        <v>40631</v>
      </c>
    </row>
    <row r="770" spans="1:7" x14ac:dyDescent="0.2">
      <c r="A770" s="48">
        <v>40464</v>
      </c>
      <c r="B770" s="49" t="s">
        <v>1345</v>
      </c>
      <c r="C770" s="50" t="s">
        <v>1819</v>
      </c>
      <c r="D770" s="51">
        <v>6845</v>
      </c>
      <c r="E770" s="50" t="s">
        <v>3837</v>
      </c>
      <c r="G770" s="56">
        <v>40631</v>
      </c>
    </row>
    <row r="771" spans="1:7" x14ac:dyDescent="0.2">
      <c r="A771" s="48">
        <v>40364</v>
      </c>
      <c r="B771" s="49" t="s">
        <v>3410</v>
      </c>
      <c r="C771" s="50" t="s">
        <v>3411</v>
      </c>
      <c r="D771" s="51">
        <v>6924</v>
      </c>
      <c r="G771" s="56">
        <v>40535</v>
      </c>
    </row>
    <row r="772" spans="1:7" x14ac:dyDescent="0.2">
      <c r="A772" s="48">
        <v>40595</v>
      </c>
      <c r="B772" s="49" t="s">
        <v>133</v>
      </c>
      <c r="C772" s="50" t="s">
        <v>3514</v>
      </c>
      <c r="D772" s="51">
        <v>7057</v>
      </c>
      <c r="E772" s="50" t="s">
        <v>3162</v>
      </c>
      <c r="G772" s="56">
        <v>40616</v>
      </c>
    </row>
    <row r="773" spans="1:7" x14ac:dyDescent="0.2">
      <c r="A773" s="48">
        <v>40595</v>
      </c>
      <c r="B773" s="49" t="s">
        <v>3072</v>
      </c>
      <c r="C773" s="50" t="s">
        <v>3514</v>
      </c>
      <c r="D773" s="51">
        <v>7061</v>
      </c>
      <c r="E773" s="50" t="s">
        <v>3162</v>
      </c>
      <c r="G773" s="56">
        <v>40631</v>
      </c>
    </row>
    <row r="774" spans="1:7" x14ac:dyDescent="0.2">
      <c r="A774" s="48">
        <v>40612</v>
      </c>
      <c r="B774" s="49" t="s">
        <v>1236</v>
      </c>
      <c r="C774" s="50" t="s">
        <v>1819</v>
      </c>
      <c r="D774" s="51">
        <v>7063</v>
      </c>
      <c r="E774" s="50" t="s">
        <v>2494</v>
      </c>
      <c r="F774" s="50">
        <v>1</v>
      </c>
      <c r="G774" s="56">
        <v>40689</v>
      </c>
    </row>
    <row r="775" spans="1:7" x14ac:dyDescent="0.2">
      <c r="A775" s="48">
        <v>40669</v>
      </c>
      <c r="B775" s="49" t="s">
        <v>2508</v>
      </c>
      <c r="C775" s="50" t="s">
        <v>2509</v>
      </c>
      <c r="D775" s="51">
        <v>7066</v>
      </c>
      <c r="E775" s="50" t="s">
        <v>3165</v>
      </c>
      <c r="G775" s="56">
        <v>40689</v>
      </c>
    </row>
    <row r="776" spans="1:7" x14ac:dyDescent="0.2">
      <c r="A776" s="48">
        <v>40673</v>
      </c>
      <c r="B776" s="49" t="s">
        <v>1501</v>
      </c>
      <c r="C776" s="50" t="s">
        <v>1819</v>
      </c>
      <c r="D776" s="51">
        <v>7067</v>
      </c>
      <c r="E776" s="50" t="s">
        <v>774</v>
      </c>
      <c r="F776" s="50">
        <v>4</v>
      </c>
      <c r="G776" s="56">
        <v>40735</v>
      </c>
    </row>
    <row r="777" spans="1:7" x14ac:dyDescent="0.2">
      <c r="A777" s="48">
        <v>40620</v>
      </c>
      <c r="B777" s="49" t="s">
        <v>2809</v>
      </c>
      <c r="C777" s="50" t="s">
        <v>1819</v>
      </c>
      <c r="D777" s="51">
        <v>7100</v>
      </c>
      <c r="E777" s="50" t="s">
        <v>2494</v>
      </c>
      <c r="G777" s="56">
        <v>40620</v>
      </c>
    </row>
    <row r="778" spans="1:7" x14ac:dyDescent="0.2">
      <c r="A778" s="48">
        <v>40567</v>
      </c>
      <c r="B778" s="49" t="s">
        <v>3550</v>
      </c>
      <c r="C778" s="50" t="s">
        <v>411</v>
      </c>
      <c r="D778" s="51">
        <v>7110</v>
      </c>
      <c r="G778" s="56">
        <v>40631</v>
      </c>
    </row>
    <row r="779" spans="1:7" x14ac:dyDescent="0.2">
      <c r="A779" s="48">
        <v>40574</v>
      </c>
      <c r="B779" s="49" t="s">
        <v>2636</v>
      </c>
      <c r="C779" s="50" t="s">
        <v>2637</v>
      </c>
      <c r="D779" s="51">
        <v>7112</v>
      </c>
      <c r="E779" s="50" t="s">
        <v>218</v>
      </c>
      <c r="G779" s="56">
        <v>40631</v>
      </c>
    </row>
    <row r="780" spans="1:7" x14ac:dyDescent="0.2">
      <c r="A780" s="126">
        <v>40575</v>
      </c>
      <c r="B780" s="127" t="s">
        <v>3167</v>
      </c>
      <c r="C780" s="130" t="s">
        <v>1819</v>
      </c>
      <c r="D780" s="129">
        <v>7113</v>
      </c>
      <c r="E780" s="130" t="s">
        <v>2494</v>
      </c>
      <c r="G780" s="56">
        <v>40620</v>
      </c>
    </row>
    <row r="781" spans="1:7" x14ac:dyDescent="0.2">
      <c r="A781" s="48">
        <v>40589</v>
      </c>
      <c r="B781" s="49" t="s">
        <v>2867</v>
      </c>
      <c r="C781" s="50" t="s">
        <v>2156</v>
      </c>
      <c r="D781" s="51">
        <v>7117</v>
      </c>
      <c r="E781" s="50" t="s">
        <v>2504</v>
      </c>
      <c r="G781" s="56">
        <v>40616</v>
      </c>
    </row>
    <row r="782" spans="1:7" x14ac:dyDescent="0.2">
      <c r="A782" s="48">
        <v>40612</v>
      </c>
      <c r="B782" s="49" t="s">
        <v>391</v>
      </c>
      <c r="C782" s="50" t="s">
        <v>2218</v>
      </c>
      <c r="D782" s="51">
        <v>7119</v>
      </c>
      <c r="E782" s="50" t="s">
        <v>3176</v>
      </c>
      <c r="G782" s="56">
        <v>40616</v>
      </c>
    </row>
    <row r="783" spans="1:7" x14ac:dyDescent="0.2">
      <c r="A783" s="48">
        <v>40616</v>
      </c>
      <c r="B783" s="49" t="s">
        <v>713</v>
      </c>
      <c r="C783" s="50" t="s">
        <v>2156</v>
      </c>
      <c r="D783" s="51">
        <v>7121</v>
      </c>
      <c r="E783" s="50" t="s">
        <v>2504</v>
      </c>
      <c r="G783" s="56">
        <v>40631</v>
      </c>
    </row>
    <row r="784" spans="1:7" x14ac:dyDescent="0.2">
      <c r="A784" s="48">
        <v>40613</v>
      </c>
      <c r="B784" s="49" t="s">
        <v>1544</v>
      </c>
      <c r="C784" s="50" t="s">
        <v>3354</v>
      </c>
      <c r="D784" s="51">
        <v>7126</v>
      </c>
      <c r="E784" s="50" t="s">
        <v>3162</v>
      </c>
      <c r="G784" s="56">
        <v>40631</v>
      </c>
    </row>
    <row r="785" spans="1:8" x14ac:dyDescent="0.2">
      <c r="A785" s="48">
        <v>40613</v>
      </c>
      <c r="B785" s="49" t="s">
        <v>2109</v>
      </c>
      <c r="C785" s="50" t="s">
        <v>1819</v>
      </c>
      <c r="D785" s="51">
        <v>7127</v>
      </c>
      <c r="E785" s="50" t="s">
        <v>2494</v>
      </c>
      <c r="G785" s="56">
        <v>40631</v>
      </c>
      <c r="H785" t="s">
        <v>1868</v>
      </c>
    </row>
    <row r="786" spans="1:8" x14ac:dyDescent="0.2">
      <c r="A786" s="48">
        <v>40619</v>
      </c>
      <c r="B786" s="49" t="s">
        <v>2902</v>
      </c>
      <c r="C786" s="50" t="s">
        <v>2903</v>
      </c>
      <c r="D786" s="51">
        <v>7128</v>
      </c>
      <c r="E786" s="50" t="s">
        <v>2494</v>
      </c>
      <c r="F786" s="50">
        <v>1</v>
      </c>
      <c r="G786" s="56">
        <v>40731</v>
      </c>
    </row>
    <row r="787" spans="1:8" x14ac:dyDescent="0.2">
      <c r="A787" s="48">
        <v>40624</v>
      </c>
      <c r="B787" s="49" t="s">
        <v>2397</v>
      </c>
      <c r="C787" s="50" t="s">
        <v>411</v>
      </c>
      <c r="D787" s="51">
        <v>7130</v>
      </c>
      <c r="F787" s="50">
        <v>3</v>
      </c>
      <c r="G787" s="56">
        <v>40634</v>
      </c>
    </row>
    <row r="788" spans="1:8" x14ac:dyDescent="0.2">
      <c r="A788" s="48">
        <v>40625</v>
      </c>
      <c r="B788" s="49" t="s">
        <v>2644</v>
      </c>
      <c r="C788" s="50" t="s">
        <v>1819</v>
      </c>
      <c r="D788" s="51">
        <v>7131</v>
      </c>
      <c r="E788" s="50" t="s">
        <v>3482</v>
      </c>
      <c r="F788" s="50" t="s">
        <v>2398</v>
      </c>
      <c r="G788" s="56">
        <v>40731</v>
      </c>
    </row>
    <row r="789" spans="1:8" x14ac:dyDescent="0.2">
      <c r="A789" s="48">
        <v>40625</v>
      </c>
      <c r="B789" s="49" t="s">
        <v>2643</v>
      </c>
      <c r="C789" s="50" t="s">
        <v>411</v>
      </c>
      <c r="D789" s="51">
        <v>7132</v>
      </c>
      <c r="E789" s="50" t="s">
        <v>3597</v>
      </c>
      <c r="F789" s="50">
        <v>1</v>
      </c>
      <c r="G789" s="56">
        <v>40638</v>
      </c>
    </row>
    <row r="790" spans="1:8" x14ac:dyDescent="0.2">
      <c r="A790" s="48">
        <v>40605</v>
      </c>
      <c r="B790" s="49" t="s">
        <v>367</v>
      </c>
      <c r="C790" s="50" t="s">
        <v>368</v>
      </c>
      <c r="D790" s="51">
        <v>7158</v>
      </c>
      <c r="E790" s="50" t="s">
        <v>3837</v>
      </c>
      <c r="G790" s="56">
        <v>40631</v>
      </c>
    </row>
    <row r="791" spans="1:8" x14ac:dyDescent="0.2">
      <c r="A791" s="48">
        <v>40605</v>
      </c>
      <c r="B791" s="49" t="s">
        <v>240</v>
      </c>
      <c r="C791" s="50" t="s">
        <v>241</v>
      </c>
      <c r="D791" s="51">
        <v>7159</v>
      </c>
      <c r="E791" s="50" t="s">
        <v>3162</v>
      </c>
      <c r="F791" s="50">
        <v>4</v>
      </c>
      <c r="G791" s="56">
        <v>40638</v>
      </c>
    </row>
    <row r="792" spans="1:8" x14ac:dyDescent="0.2">
      <c r="A792" s="48">
        <v>40609</v>
      </c>
      <c r="B792" s="49" t="s">
        <v>1469</v>
      </c>
      <c r="C792" s="50" t="s">
        <v>1470</v>
      </c>
      <c r="D792" s="51">
        <v>7162</v>
      </c>
      <c r="E792" s="50" t="s">
        <v>3597</v>
      </c>
      <c r="G792" s="56">
        <v>40631</v>
      </c>
    </row>
    <row r="793" spans="1:8" x14ac:dyDescent="0.2">
      <c r="A793" s="48">
        <v>40529</v>
      </c>
      <c r="B793" s="49" t="s">
        <v>3394</v>
      </c>
      <c r="C793" s="50" t="s">
        <v>1819</v>
      </c>
      <c r="D793" s="51">
        <v>7166</v>
      </c>
      <c r="G793" s="56">
        <v>40616</v>
      </c>
    </row>
    <row r="794" spans="1:8" x14ac:dyDescent="0.2">
      <c r="A794" s="48">
        <v>40613</v>
      </c>
      <c r="B794" s="49" t="s">
        <v>3309</v>
      </c>
      <c r="C794" s="50" t="s">
        <v>1819</v>
      </c>
      <c r="D794" s="51">
        <v>7168</v>
      </c>
      <c r="E794" s="50" t="s">
        <v>3482</v>
      </c>
      <c r="F794" s="50">
        <v>1</v>
      </c>
      <c r="G794" s="56">
        <v>40638</v>
      </c>
    </row>
    <row r="795" spans="1:8" x14ac:dyDescent="0.2">
      <c r="A795" s="48">
        <v>40364</v>
      </c>
      <c r="B795" s="49" t="s">
        <v>3710</v>
      </c>
      <c r="D795" s="51">
        <v>7177</v>
      </c>
      <c r="G795" s="56">
        <v>40535</v>
      </c>
    </row>
    <row r="796" spans="1:8" x14ac:dyDescent="0.2">
      <c r="A796" s="48">
        <v>40619</v>
      </c>
      <c r="B796" s="49" t="s">
        <v>359</v>
      </c>
      <c r="C796" s="50" t="s">
        <v>1401</v>
      </c>
      <c r="D796" s="51">
        <v>7188</v>
      </c>
      <c r="E796" s="50" t="s">
        <v>218</v>
      </c>
      <c r="F796" s="50">
        <v>1</v>
      </c>
      <c r="G796" s="56">
        <v>40631</v>
      </c>
    </row>
    <row r="797" spans="1:8" x14ac:dyDescent="0.2">
      <c r="A797" s="48">
        <v>40625</v>
      </c>
      <c r="B797" s="49" t="s">
        <v>692</v>
      </c>
      <c r="C797" s="50" t="s">
        <v>3514</v>
      </c>
      <c r="D797" s="51">
        <v>7196</v>
      </c>
      <c r="E797" s="50" t="s">
        <v>3162</v>
      </c>
      <c r="F797" s="50">
        <v>3</v>
      </c>
      <c r="G797" s="56">
        <v>40714</v>
      </c>
    </row>
    <row r="798" spans="1:8" x14ac:dyDescent="0.2">
      <c r="A798" s="48">
        <v>40625</v>
      </c>
      <c r="B798" s="49" t="s">
        <v>3389</v>
      </c>
      <c r="C798" s="50" t="s">
        <v>3379</v>
      </c>
      <c r="D798" s="51">
        <v>7197</v>
      </c>
      <c r="E798" s="50" t="s">
        <v>3165</v>
      </c>
      <c r="G798" s="56">
        <v>40631</v>
      </c>
    </row>
    <row r="799" spans="1:8" x14ac:dyDescent="0.2">
      <c r="A799" s="48">
        <v>40627</v>
      </c>
      <c r="B799" s="49" t="s">
        <v>1659</v>
      </c>
      <c r="C799" s="50" t="s">
        <v>3514</v>
      </c>
      <c r="D799" s="51">
        <v>7202</v>
      </c>
      <c r="E799" s="50" t="s">
        <v>3162</v>
      </c>
      <c r="F799" s="50">
        <v>2</v>
      </c>
      <c r="G799" s="56">
        <v>40638</v>
      </c>
    </row>
    <row r="800" spans="1:8" x14ac:dyDescent="0.2">
      <c r="A800" s="48">
        <v>40648</v>
      </c>
      <c r="B800" s="49" t="s">
        <v>3501</v>
      </c>
      <c r="C800" s="50" t="s">
        <v>2199</v>
      </c>
      <c r="D800" s="51">
        <v>7221</v>
      </c>
      <c r="E800" s="50" t="s">
        <v>2115</v>
      </c>
      <c r="F800" s="50">
        <v>1</v>
      </c>
      <c r="G800" s="56">
        <v>40652</v>
      </c>
    </row>
    <row r="801" spans="1:7" x14ac:dyDescent="0.2">
      <c r="A801" s="48">
        <v>40666</v>
      </c>
      <c r="B801" s="49" t="s">
        <v>378</v>
      </c>
      <c r="C801" s="50" t="s">
        <v>2156</v>
      </c>
      <c r="D801" s="51">
        <v>7236</v>
      </c>
      <c r="E801" s="50" t="s">
        <v>2504</v>
      </c>
      <c r="F801" s="50">
        <v>1</v>
      </c>
      <c r="G801" s="56">
        <v>40735</v>
      </c>
    </row>
    <row r="802" spans="1:7" x14ac:dyDescent="0.2">
      <c r="A802" s="48">
        <v>40693</v>
      </c>
      <c r="B802" s="49" t="s">
        <v>3331</v>
      </c>
      <c r="C802" s="50" t="s">
        <v>2990</v>
      </c>
      <c r="D802" s="51">
        <v>7375</v>
      </c>
      <c r="E802" s="50" t="s">
        <v>3175</v>
      </c>
      <c r="G802" s="56">
        <v>40714</v>
      </c>
    </row>
    <row r="803" spans="1:7" x14ac:dyDescent="0.2">
      <c r="A803" s="48">
        <v>40562</v>
      </c>
      <c r="B803" s="49" t="s">
        <v>968</v>
      </c>
      <c r="C803" s="50" t="s">
        <v>3433</v>
      </c>
      <c r="D803" s="51">
        <v>7615</v>
      </c>
      <c r="E803" s="50" t="s">
        <v>2494</v>
      </c>
      <c r="G803" s="56">
        <v>40616</v>
      </c>
    </row>
    <row r="804" spans="1:7" x14ac:dyDescent="0.2">
      <c r="A804" s="126">
        <v>40701</v>
      </c>
      <c r="B804" s="127" t="s">
        <v>1896</v>
      </c>
      <c r="C804" s="130" t="s">
        <v>1819</v>
      </c>
      <c r="D804" s="129">
        <v>7840</v>
      </c>
      <c r="E804" s="130" t="s">
        <v>3837</v>
      </c>
      <c r="G804" s="56">
        <v>40714</v>
      </c>
    </row>
    <row r="805" spans="1:7" x14ac:dyDescent="0.2">
      <c r="A805" s="48">
        <v>40718</v>
      </c>
      <c r="B805" s="49" t="s">
        <v>811</v>
      </c>
      <c r="C805" s="50" t="s">
        <v>474</v>
      </c>
      <c r="D805" s="51">
        <v>7846</v>
      </c>
      <c r="E805" s="50" t="s">
        <v>2494</v>
      </c>
      <c r="F805" s="50">
        <v>1</v>
      </c>
      <c r="G805" s="56">
        <v>40731</v>
      </c>
    </row>
    <row r="806" spans="1:7" x14ac:dyDescent="0.2">
      <c r="A806" s="48">
        <v>40711</v>
      </c>
      <c r="B806" s="49" t="s">
        <v>598</v>
      </c>
      <c r="C806" s="50" t="s">
        <v>474</v>
      </c>
      <c r="D806" s="51">
        <v>7848</v>
      </c>
      <c r="E806" s="50" t="s">
        <v>3837</v>
      </c>
      <c r="F806" s="50">
        <v>5</v>
      </c>
      <c r="G806" s="56">
        <v>40731</v>
      </c>
    </row>
    <row r="807" spans="1:7" x14ac:dyDescent="0.2">
      <c r="A807" s="48">
        <v>40678</v>
      </c>
      <c r="B807" s="49" t="s">
        <v>3353</v>
      </c>
      <c r="C807" s="50" t="s">
        <v>2877</v>
      </c>
      <c r="D807" s="51">
        <v>7854</v>
      </c>
      <c r="E807" s="50" t="s">
        <v>2494</v>
      </c>
      <c r="G807" s="56">
        <v>40724</v>
      </c>
    </row>
    <row r="808" spans="1:7" x14ac:dyDescent="0.2">
      <c r="A808" s="48">
        <v>40636</v>
      </c>
      <c r="B808" s="49" t="s">
        <v>31</v>
      </c>
      <c r="C808" s="50" t="s">
        <v>3514</v>
      </c>
      <c r="D808" s="51">
        <v>7979</v>
      </c>
      <c r="E808" s="50" t="s">
        <v>2494</v>
      </c>
      <c r="G808" s="56">
        <v>40689</v>
      </c>
    </row>
    <row r="809" spans="1:7" x14ac:dyDescent="0.2">
      <c r="A809" s="48">
        <v>39935</v>
      </c>
      <c r="B809" s="49" t="s">
        <v>546</v>
      </c>
      <c r="C809" s="50" t="s">
        <v>1819</v>
      </c>
      <c r="D809" s="51">
        <v>904995</v>
      </c>
      <c r="E809" s="50" t="s">
        <v>1562</v>
      </c>
      <c r="G809" s="56">
        <v>39982</v>
      </c>
    </row>
    <row r="810" spans="1:7" x14ac:dyDescent="0.2">
      <c r="A810" s="48">
        <v>40711</v>
      </c>
      <c r="B810" s="49" t="s">
        <v>2999</v>
      </c>
      <c r="C810" s="50" t="s">
        <v>1006</v>
      </c>
      <c r="D810" s="51">
        <v>7856</v>
      </c>
      <c r="E810" s="50" t="s">
        <v>3165</v>
      </c>
      <c r="F810" s="50">
        <v>1</v>
      </c>
      <c r="G810" s="56">
        <v>40749</v>
      </c>
    </row>
    <row r="811" spans="1:7" x14ac:dyDescent="0.2">
      <c r="A811" s="48">
        <v>40645</v>
      </c>
      <c r="B811" s="49" t="s">
        <v>2778</v>
      </c>
      <c r="C811" s="50" t="s">
        <v>238</v>
      </c>
      <c r="D811" s="51">
        <v>7961</v>
      </c>
      <c r="E811" s="50" t="s">
        <v>774</v>
      </c>
      <c r="F811" s="50">
        <v>1</v>
      </c>
      <c r="G811" s="56">
        <v>40749</v>
      </c>
    </row>
    <row r="812" spans="1:7" x14ac:dyDescent="0.2">
      <c r="A812" s="196">
        <v>40645</v>
      </c>
      <c r="B812" s="195" t="s">
        <v>239</v>
      </c>
      <c r="C812" s="199" t="s">
        <v>392</v>
      </c>
      <c r="D812" s="198">
        <v>7962</v>
      </c>
      <c r="E812" s="199" t="s">
        <v>3837</v>
      </c>
      <c r="F812" s="50">
        <v>1</v>
      </c>
      <c r="G812" s="56">
        <v>40749</v>
      </c>
    </row>
    <row r="813" spans="1:7" x14ac:dyDescent="0.2">
      <c r="A813" s="48">
        <v>40687</v>
      </c>
      <c r="B813" s="49" t="s">
        <v>3588</v>
      </c>
      <c r="C813" s="50" t="s">
        <v>3589</v>
      </c>
      <c r="D813" s="51">
        <v>7140</v>
      </c>
      <c r="E813" s="50" t="s">
        <v>3162</v>
      </c>
      <c r="F813" s="50">
        <v>2</v>
      </c>
      <c r="G813" s="56">
        <v>40749</v>
      </c>
    </row>
    <row r="814" spans="1:7" x14ac:dyDescent="0.2">
      <c r="A814" s="48">
        <v>40676</v>
      </c>
      <c r="B814" s="49" t="s">
        <v>969</v>
      </c>
      <c r="C814" s="50" t="s">
        <v>2218</v>
      </c>
      <c r="D814" s="51">
        <v>7137</v>
      </c>
      <c r="E814" s="50" t="s">
        <v>3162</v>
      </c>
      <c r="F814" s="50">
        <v>1</v>
      </c>
      <c r="G814" s="56">
        <v>40749</v>
      </c>
    </row>
    <row r="815" spans="1:7" x14ac:dyDescent="0.2">
      <c r="A815" s="196">
        <v>40668</v>
      </c>
      <c r="B815" s="195" t="s">
        <v>2812</v>
      </c>
      <c r="C815" s="199" t="s">
        <v>3514</v>
      </c>
      <c r="D815" s="198">
        <v>7133</v>
      </c>
      <c r="E815" s="199" t="s">
        <v>3162</v>
      </c>
      <c r="F815" s="50">
        <v>1</v>
      </c>
      <c r="G815" s="56">
        <v>40749</v>
      </c>
    </row>
    <row r="816" spans="1:7" x14ac:dyDescent="0.2">
      <c r="A816" s="48">
        <v>40740</v>
      </c>
      <c r="B816" s="49" t="s">
        <v>2461</v>
      </c>
      <c r="C816" s="50" t="s">
        <v>3514</v>
      </c>
      <c r="D816" s="51">
        <v>7286</v>
      </c>
      <c r="E816" s="50" t="s">
        <v>1179</v>
      </c>
      <c r="F816" s="50">
        <v>1</v>
      </c>
      <c r="G816" s="56">
        <v>40749</v>
      </c>
    </row>
    <row r="817" spans="1:7" x14ac:dyDescent="0.2">
      <c r="A817" s="48">
        <v>40746</v>
      </c>
      <c r="B817" s="49" t="s">
        <v>2822</v>
      </c>
      <c r="C817" s="50" t="s">
        <v>1967</v>
      </c>
      <c r="D817" s="51">
        <v>7491</v>
      </c>
      <c r="F817" s="50" t="s">
        <v>2398</v>
      </c>
      <c r="G817" s="56">
        <v>40785</v>
      </c>
    </row>
    <row r="818" spans="1:7" x14ac:dyDescent="0.2">
      <c r="A818" s="48">
        <v>40746</v>
      </c>
      <c r="B818" s="49" t="s">
        <v>1009</v>
      </c>
      <c r="C818" s="50" t="s">
        <v>1010</v>
      </c>
      <c r="D818" s="51">
        <v>7539</v>
      </c>
      <c r="F818" s="50">
        <v>2</v>
      </c>
      <c r="G818" s="56">
        <v>40820</v>
      </c>
    </row>
    <row r="819" spans="1:7" x14ac:dyDescent="0.2">
      <c r="A819" s="48">
        <v>40746</v>
      </c>
      <c r="B819" s="49" t="s">
        <v>1963</v>
      </c>
      <c r="C819" s="50" t="s">
        <v>1961</v>
      </c>
      <c r="D819" s="51">
        <v>7487</v>
      </c>
      <c r="F819" s="50" t="s">
        <v>2398</v>
      </c>
      <c r="G819" s="56">
        <v>40820</v>
      </c>
    </row>
    <row r="820" spans="1:7" x14ac:dyDescent="0.2">
      <c r="A820" s="48">
        <v>40745</v>
      </c>
      <c r="B820" s="49" t="s">
        <v>2922</v>
      </c>
      <c r="C820" s="50" t="s">
        <v>1064</v>
      </c>
      <c r="D820" s="51">
        <v>7476</v>
      </c>
      <c r="F820" s="50" t="s">
        <v>2398</v>
      </c>
      <c r="G820" s="56">
        <v>40820</v>
      </c>
    </row>
    <row r="821" spans="1:7" x14ac:dyDescent="0.2">
      <c r="A821" s="48">
        <v>40751</v>
      </c>
      <c r="B821" s="49" t="s">
        <v>2252</v>
      </c>
      <c r="C821" s="50" t="s">
        <v>1600</v>
      </c>
      <c r="D821" s="51">
        <v>7365</v>
      </c>
      <c r="F821" s="50">
        <v>2</v>
      </c>
      <c r="G821" s="56">
        <v>40820</v>
      </c>
    </row>
    <row r="822" spans="1:7" x14ac:dyDescent="0.2">
      <c r="A822" s="48">
        <v>40749</v>
      </c>
      <c r="B822" s="49" t="s">
        <v>1097</v>
      </c>
      <c r="C822" s="50" t="s">
        <v>474</v>
      </c>
      <c r="D822" s="51">
        <v>7358</v>
      </c>
      <c r="E822" s="50" t="s">
        <v>218</v>
      </c>
      <c r="F822" s="50">
        <v>2</v>
      </c>
      <c r="G822" s="56">
        <v>40820</v>
      </c>
    </row>
    <row r="823" spans="1:7" x14ac:dyDescent="0.2">
      <c r="A823" s="48">
        <v>40749</v>
      </c>
      <c r="B823" s="49" t="s">
        <v>3385</v>
      </c>
      <c r="C823" s="50" t="s">
        <v>3386</v>
      </c>
      <c r="D823" s="51">
        <v>7359</v>
      </c>
      <c r="F823" s="50">
        <v>1</v>
      </c>
      <c r="G823" s="56">
        <v>40820</v>
      </c>
    </row>
    <row r="824" spans="1:7" x14ac:dyDescent="0.2">
      <c r="A824" s="48">
        <v>40500</v>
      </c>
      <c r="B824" s="49" t="s">
        <v>2404</v>
      </c>
      <c r="C824" s="50" t="s">
        <v>3408</v>
      </c>
      <c r="D824" s="51">
        <v>15</v>
      </c>
      <c r="E824" s="50" t="s">
        <v>3175</v>
      </c>
      <c r="G824" s="56">
        <v>40821</v>
      </c>
    </row>
    <row r="825" spans="1:7" x14ac:dyDescent="0.2">
      <c r="A825" s="48">
        <v>40746</v>
      </c>
      <c r="B825" s="49" t="s">
        <v>730</v>
      </c>
      <c r="C825" s="50" t="s">
        <v>1578</v>
      </c>
      <c r="D825" s="51">
        <v>7526</v>
      </c>
      <c r="F825" s="50" t="s">
        <v>2398</v>
      </c>
      <c r="G825" s="56">
        <v>40827</v>
      </c>
    </row>
    <row r="826" spans="1:7" x14ac:dyDescent="0.2">
      <c r="A826" s="48">
        <v>40746</v>
      </c>
      <c r="B826" s="49" t="s">
        <v>2688</v>
      </c>
      <c r="C826" s="50" t="s">
        <v>408</v>
      </c>
      <c r="D826" s="51">
        <v>7522</v>
      </c>
      <c r="G826" s="56">
        <v>40827</v>
      </c>
    </row>
    <row r="827" spans="1:7" x14ac:dyDescent="0.2">
      <c r="A827" s="48">
        <v>40746</v>
      </c>
      <c r="B827" s="49" t="s">
        <v>2689</v>
      </c>
      <c r="C827" s="50" t="s">
        <v>408</v>
      </c>
      <c r="D827" s="51">
        <v>7519</v>
      </c>
      <c r="E827" s="50" t="s">
        <v>3597</v>
      </c>
      <c r="G827" s="56">
        <v>40827</v>
      </c>
    </row>
    <row r="828" spans="1:7" x14ac:dyDescent="0.2">
      <c r="A828" s="48">
        <v>40668</v>
      </c>
      <c r="B828" s="49" t="s">
        <v>2731</v>
      </c>
      <c r="C828" s="50" t="s">
        <v>1819</v>
      </c>
      <c r="D828" s="51">
        <v>7219</v>
      </c>
      <c r="E828" s="50" t="s">
        <v>3162</v>
      </c>
      <c r="F828" s="50" t="s">
        <v>2732</v>
      </c>
      <c r="G828" s="56">
        <v>40827</v>
      </c>
    </row>
    <row r="829" spans="1:7" x14ac:dyDescent="0.2">
      <c r="A829" s="48">
        <v>40722</v>
      </c>
      <c r="B829" s="49" t="s">
        <v>15</v>
      </c>
      <c r="C829" s="50" t="s">
        <v>1819</v>
      </c>
      <c r="D829" s="51">
        <v>7274</v>
      </c>
      <c r="F829" s="50">
        <v>2</v>
      </c>
      <c r="G829" s="56">
        <v>40827</v>
      </c>
    </row>
    <row r="830" spans="1:7" x14ac:dyDescent="0.2">
      <c r="A830" s="48">
        <v>40745</v>
      </c>
      <c r="B830" s="49" t="s">
        <v>41</v>
      </c>
      <c r="C830" s="50" t="s">
        <v>40</v>
      </c>
      <c r="D830" s="51">
        <v>7434</v>
      </c>
      <c r="F830" s="50">
        <v>2</v>
      </c>
      <c r="G830" s="56">
        <v>40827</v>
      </c>
    </row>
    <row r="831" spans="1:7" x14ac:dyDescent="0.2">
      <c r="A831" s="48">
        <v>40745</v>
      </c>
      <c r="B831" s="49" t="s">
        <v>2613</v>
      </c>
      <c r="C831" s="50" t="s">
        <v>2612</v>
      </c>
      <c r="D831" s="51">
        <v>7435</v>
      </c>
      <c r="F831" s="50">
        <v>2</v>
      </c>
      <c r="G831" s="56">
        <v>40827</v>
      </c>
    </row>
    <row r="832" spans="1:7" x14ac:dyDescent="0.2">
      <c r="A832" s="48">
        <v>40745</v>
      </c>
      <c r="B832" s="49" t="s">
        <v>1980</v>
      </c>
      <c r="C832" s="50" t="s">
        <v>1979</v>
      </c>
      <c r="D832" s="51">
        <v>7457</v>
      </c>
      <c r="F832" s="50" t="s">
        <v>2398</v>
      </c>
      <c r="G832" s="56">
        <v>40827</v>
      </c>
    </row>
    <row r="833" spans="1:7" x14ac:dyDescent="0.2">
      <c r="A833" s="48">
        <v>40745</v>
      </c>
      <c r="B833" s="49" t="s">
        <v>3311</v>
      </c>
      <c r="C833" s="50" t="s">
        <v>1029</v>
      </c>
      <c r="D833" s="51">
        <v>7472</v>
      </c>
      <c r="F833" s="50" t="s">
        <v>2398</v>
      </c>
      <c r="G833" s="56">
        <v>40827</v>
      </c>
    </row>
    <row r="834" spans="1:7" x14ac:dyDescent="0.2">
      <c r="A834" s="48">
        <v>40745</v>
      </c>
      <c r="B834" s="49" t="s">
        <v>1030</v>
      </c>
      <c r="C834" s="50" t="s">
        <v>1029</v>
      </c>
      <c r="D834" s="51">
        <v>7473</v>
      </c>
      <c r="F834" s="50" t="s">
        <v>2398</v>
      </c>
      <c r="G834" s="56">
        <v>40827</v>
      </c>
    </row>
    <row r="835" spans="1:7" x14ac:dyDescent="0.2">
      <c r="A835" s="48">
        <v>40745</v>
      </c>
      <c r="B835" s="49" t="s">
        <v>3106</v>
      </c>
      <c r="C835" s="50" t="s">
        <v>1816</v>
      </c>
      <c r="D835" s="51">
        <v>7903</v>
      </c>
      <c r="E835" s="50" t="s">
        <v>3837</v>
      </c>
      <c r="F835" s="50" t="s">
        <v>2398</v>
      </c>
      <c r="G835" s="56">
        <v>40827</v>
      </c>
    </row>
    <row r="836" spans="1:7" x14ac:dyDescent="0.2">
      <c r="A836" s="126">
        <v>40745</v>
      </c>
      <c r="B836" s="127" t="s">
        <v>145</v>
      </c>
      <c r="C836" s="130" t="s">
        <v>146</v>
      </c>
      <c r="D836" s="129">
        <v>7912</v>
      </c>
      <c r="E836" s="130" t="s">
        <v>1827</v>
      </c>
      <c r="F836" s="50" t="s">
        <v>2398</v>
      </c>
      <c r="G836" s="56">
        <v>40827</v>
      </c>
    </row>
    <row r="837" spans="1:7" x14ac:dyDescent="0.2">
      <c r="A837" s="48">
        <v>40745</v>
      </c>
      <c r="B837" s="49" t="s">
        <v>1058</v>
      </c>
      <c r="C837" s="50" t="s">
        <v>452</v>
      </c>
      <c r="D837" s="51">
        <v>7913</v>
      </c>
      <c r="F837" s="50" t="s">
        <v>2398</v>
      </c>
      <c r="G837" s="56">
        <v>40827</v>
      </c>
    </row>
    <row r="838" spans="1:7" x14ac:dyDescent="0.2">
      <c r="A838" s="126">
        <v>40746</v>
      </c>
      <c r="B838" s="127" t="s">
        <v>3609</v>
      </c>
      <c r="C838" s="130" t="s">
        <v>3610</v>
      </c>
      <c r="D838" s="129">
        <v>7437</v>
      </c>
      <c r="E838" s="130"/>
      <c r="F838" s="50" t="s">
        <v>2398</v>
      </c>
      <c r="G838" s="56">
        <v>40827</v>
      </c>
    </row>
    <row r="839" spans="1:7" x14ac:dyDescent="0.2">
      <c r="A839" s="48">
        <v>40746</v>
      </c>
      <c r="B839" s="49" t="s">
        <v>3612</v>
      </c>
      <c r="C839" s="50" t="s">
        <v>3611</v>
      </c>
      <c r="D839" s="51">
        <v>7482</v>
      </c>
      <c r="E839" s="50" t="s">
        <v>3165</v>
      </c>
      <c r="F839" s="50" t="s">
        <v>2398</v>
      </c>
      <c r="G839" s="56">
        <v>40827</v>
      </c>
    </row>
    <row r="840" spans="1:7" x14ac:dyDescent="0.2">
      <c r="A840" s="48">
        <v>40746</v>
      </c>
      <c r="B840" s="49" t="s">
        <v>1964</v>
      </c>
      <c r="C840" s="50" t="s">
        <v>1965</v>
      </c>
      <c r="D840" s="51">
        <v>7488</v>
      </c>
      <c r="E840" s="50" t="s">
        <v>3837</v>
      </c>
      <c r="F840" s="50" t="s">
        <v>2398</v>
      </c>
      <c r="G840" s="56">
        <v>40827</v>
      </c>
    </row>
    <row r="841" spans="1:7" x14ac:dyDescent="0.2">
      <c r="A841" s="48">
        <v>40746</v>
      </c>
      <c r="B841" s="49" t="s">
        <v>1968</v>
      </c>
      <c r="C841" s="50" t="s">
        <v>1967</v>
      </c>
      <c r="D841" s="51">
        <v>7489</v>
      </c>
      <c r="F841" s="50" t="s">
        <v>2398</v>
      </c>
      <c r="G841" s="56">
        <v>40827</v>
      </c>
    </row>
    <row r="842" spans="1:7" x14ac:dyDescent="0.2">
      <c r="A842" s="48">
        <v>40746</v>
      </c>
      <c r="B842" s="49" t="s">
        <v>1443</v>
      </c>
      <c r="C842" s="50" t="s">
        <v>2466</v>
      </c>
      <c r="D842" s="51">
        <v>7494</v>
      </c>
      <c r="F842" s="50" t="s">
        <v>2398</v>
      </c>
      <c r="G842" s="56">
        <v>40827</v>
      </c>
    </row>
    <row r="843" spans="1:7" x14ac:dyDescent="0.2">
      <c r="A843" s="48">
        <v>40746</v>
      </c>
      <c r="B843" s="49" t="s">
        <v>2274</v>
      </c>
      <c r="C843" s="50" t="s">
        <v>2667</v>
      </c>
      <c r="D843" s="51">
        <v>7495</v>
      </c>
      <c r="F843" s="50" t="s">
        <v>2398</v>
      </c>
      <c r="G843" s="56">
        <v>40827</v>
      </c>
    </row>
    <row r="844" spans="1:7" x14ac:dyDescent="0.2">
      <c r="A844" s="48">
        <v>40746</v>
      </c>
      <c r="B844" s="49" t="s">
        <v>2465</v>
      </c>
      <c r="C844" s="50" t="s">
        <v>2466</v>
      </c>
      <c r="D844" s="51">
        <v>7497</v>
      </c>
      <c r="E844" s="50" t="s">
        <v>3165</v>
      </c>
      <c r="F844" s="50" t="s">
        <v>2398</v>
      </c>
      <c r="G844" s="56">
        <v>40827</v>
      </c>
    </row>
    <row r="845" spans="1:7" x14ac:dyDescent="0.2">
      <c r="A845" s="48">
        <v>40746</v>
      </c>
      <c r="B845" s="49" t="s">
        <v>2825</v>
      </c>
      <c r="C845" s="50" t="s">
        <v>2826</v>
      </c>
      <c r="D845" s="51">
        <v>7499</v>
      </c>
      <c r="F845" s="50" t="s">
        <v>2398</v>
      </c>
      <c r="G845" s="56">
        <v>40827</v>
      </c>
    </row>
    <row r="846" spans="1:7" x14ac:dyDescent="0.2">
      <c r="A846" s="48">
        <v>40746</v>
      </c>
      <c r="B846" s="49" t="s">
        <v>3020</v>
      </c>
      <c r="C846" s="50" t="s">
        <v>2466</v>
      </c>
      <c r="D846" s="51">
        <v>7502</v>
      </c>
      <c r="F846" s="50" t="s">
        <v>2398</v>
      </c>
      <c r="G846" s="56">
        <v>40827</v>
      </c>
    </row>
    <row r="847" spans="1:7" x14ac:dyDescent="0.2">
      <c r="A847" s="48">
        <v>40746</v>
      </c>
      <c r="B847" s="49" t="s">
        <v>994</v>
      </c>
      <c r="C847" s="50" t="s">
        <v>1578</v>
      </c>
      <c r="D847" s="51">
        <v>7527</v>
      </c>
      <c r="F847" s="50" t="s">
        <v>2398</v>
      </c>
      <c r="G847" s="56">
        <v>40827</v>
      </c>
    </row>
    <row r="848" spans="1:7" x14ac:dyDescent="0.2">
      <c r="A848" s="48">
        <v>40746</v>
      </c>
      <c r="B848" s="49" t="s">
        <v>1007</v>
      </c>
      <c r="C848" s="50" t="s">
        <v>1008</v>
      </c>
      <c r="D848" s="51">
        <v>7542</v>
      </c>
      <c r="F848" s="50">
        <v>3</v>
      </c>
      <c r="G848" s="56">
        <v>40827</v>
      </c>
    </row>
    <row r="849" spans="1:7" x14ac:dyDescent="0.2">
      <c r="A849" s="48">
        <v>40749</v>
      </c>
      <c r="B849" s="49" t="s">
        <v>1152</v>
      </c>
      <c r="C849" s="50" t="s">
        <v>773</v>
      </c>
      <c r="D849" s="51">
        <v>7355</v>
      </c>
      <c r="F849" s="50">
        <v>2</v>
      </c>
      <c r="G849" s="56">
        <v>40827</v>
      </c>
    </row>
    <row r="850" spans="1:7" x14ac:dyDescent="0.2">
      <c r="A850" s="48">
        <v>40749</v>
      </c>
      <c r="B850" s="49" t="s">
        <v>1148</v>
      </c>
      <c r="C850" s="50" t="s">
        <v>773</v>
      </c>
      <c r="D850" s="51">
        <v>7356</v>
      </c>
      <c r="F850" s="50">
        <v>2</v>
      </c>
      <c r="G850" s="56">
        <v>40827</v>
      </c>
    </row>
    <row r="851" spans="1:7" x14ac:dyDescent="0.2">
      <c r="A851" s="48">
        <v>40806</v>
      </c>
      <c r="B851" s="49" t="s">
        <v>2924</v>
      </c>
      <c r="C851" s="50" t="s">
        <v>1401</v>
      </c>
      <c r="D851" s="51">
        <v>8288</v>
      </c>
      <c r="F851" s="50">
        <v>1</v>
      </c>
      <c r="G851" s="56">
        <v>40827</v>
      </c>
    </row>
    <row r="852" spans="1:7" x14ac:dyDescent="0.2">
      <c r="A852" s="48">
        <v>40751</v>
      </c>
      <c r="B852" s="49" t="s">
        <v>3580</v>
      </c>
      <c r="C852" s="50" t="s">
        <v>2031</v>
      </c>
      <c r="D852" s="51">
        <v>1234</v>
      </c>
      <c r="G852" s="56">
        <v>40859</v>
      </c>
    </row>
    <row r="853" spans="1:7" x14ac:dyDescent="0.2">
      <c r="A853" s="48">
        <v>40784</v>
      </c>
      <c r="B853" s="49" t="s">
        <v>3793</v>
      </c>
      <c r="D853" s="51">
        <v>7554</v>
      </c>
      <c r="E853" s="50" t="s">
        <v>3794</v>
      </c>
      <c r="F853" s="50">
        <v>2</v>
      </c>
      <c r="G853" s="56">
        <v>40859</v>
      </c>
    </row>
    <row r="854" spans="1:7" x14ac:dyDescent="0.2">
      <c r="A854" s="48">
        <v>40751</v>
      </c>
      <c r="B854" s="49" t="s">
        <v>962</v>
      </c>
      <c r="C854" s="50" t="s">
        <v>1600</v>
      </c>
      <c r="D854" s="51">
        <v>7364</v>
      </c>
      <c r="E854" s="50" t="s">
        <v>682</v>
      </c>
      <c r="F854" s="50" t="s">
        <v>2398</v>
      </c>
      <c r="G854" s="56">
        <v>40868</v>
      </c>
    </row>
    <row r="855" spans="1:7" x14ac:dyDescent="0.2">
      <c r="A855" s="196">
        <v>40564</v>
      </c>
      <c r="B855" s="195" t="s">
        <v>382</v>
      </c>
      <c r="C855" s="199" t="s">
        <v>383</v>
      </c>
      <c r="D855" s="198">
        <v>7108</v>
      </c>
      <c r="E855" s="199" t="s">
        <v>2494</v>
      </c>
      <c r="F855" s="50">
        <v>3</v>
      </c>
      <c r="G855" s="56">
        <v>40924</v>
      </c>
    </row>
    <row r="856" spans="1:7" x14ac:dyDescent="0.2">
      <c r="A856" s="48">
        <v>40633</v>
      </c>
      <c r="B856" s="49" t="s">
        <v>3879</v>
      </c>
      <c r="C856" s="50" t="s">
        <v>392</v>
      </c>
      <c r="D856" s="51">
        <v>7213</v>
      </c>
      <c r="E856" s="50" t="s">
        <v>774</v>
      </c>
      <c r="F856" s="50">
        <v>1</v>
      </c>
      <c r="G856" s="56">
        <v>40924</v>
      </c>
    </row>
    <row r="857" spans="1:7" x14ac:dyDescent="0.2">
      <c r="A857" s="48">
        <v>40675</v>
      </c>
      <c r="B857" s="49" t="s">
        <v>3420</v>
      </c>
      <c r="C857" s="50" t="s">
        <v>411</v>
      </c>
      <c r="D857" s="51">
        <v>7142</v>
      </c>
      <c r="E857" s="50" t="s">
        <v>3165</v>
      </c>
      <c r="F857" s="50" t="s">
        <v>2398</v>
      </c>
      <c r="G857" s="56">
        <v>40924</v>
      </c>
    </row>
    <row r="858" spans="1:7" x14ac:dyDescent="0.2">
      <c r="A858" s="48">
        <v>40716</v>
      </c>
      <c r="B858" s="49" t="s">
        <v>2245</v>
      </c>
      <c r="C858" s="50" t="s">
        <v>3514</v>
      </c>
      <c r="D858" s="51">
        <v>7380</v>
      </c>
      <c r="E858" s="50" t="s">
        <v>3165</v>
      </c>
      <c r="F858" s="50">
        <v>2</v>
      </c>
      <c r="G858" s="56">
        <v>40924</v>
      </c>
    </row>
    <row r="859" spans="1:7" x14ac:dyDescent="0.2">
      <c r="A859" s="196">
        <v>40719</v>
      </c>
      <c r="B859" s="195" t="s">
        <v>2210</v>
      </c>
      <c r="C859" s="199" t="s">
        <v>1819</v>
      </c>
      <c r="D859" s="198">
        <v>7269</v>
      </c>
      <c r="E859" s="199" t="s">
        <v>952</v>
      </c>
      <c r="F859" s="50">
        <v>3</v>
      </c>
      <c r="G859" s="56">
        <v>40924</v>
      </c>
    </row>
    <row r="860" spans="1:7" x14ac:dyDescent="0.2">
      <c r="A860" s="48">
        <v>40725</v>
      </c>
      <c r="B860" s="49" t="s">
        <v>292</v>
      </c>
      <c r="C860" s="50" t="s">
        <v>3514</v>
      </c>
      <c r="D860" s="51">
        <v>7141</v>
      </c>
      <c r="E860" s="50" t="s">
        <v>3162</v>
      </c>
      <c r="F860" s="50">
        <v>1</v>
      </c>
      <c r="G860" s="56">
        <v>40924</v>
      </c>
    </row>
    <row r="861" spans="1:7" x14ac:dyDescent="0.2">
      <c r="A861" s="48">
        <v>40735</v>
      </c>
      <c r="B861" s="49" t="s">
        <v>131</v>
      </c>
      <c r="C861" s="50" t="s">
        <v>1600</v>
      </c>
      <c r="D861" s="51">
        <v>7144</v>
      </c>
      <c r="E861" s="50" t="s">
        <v>2171</v>
      </c>
      <c r="F861" s="50">
        <v>3</v>
      </c>
      <c r="G861" s="56">
        <v>40924</v>
      </c>
    </row>
    <row r="862" spans="1:7" x14ac:dyDescent="0.2">
      <c r="A862" s="48">
        <v>40737</v>
      </c>
      <c r="B862" s="49" t="s">
        <v>3255</v>
      </c>
      <c r="C862" s="50" t="s">
        <v>1600</v>
      </c>
      <c r="D862" s="51">
        <v>7146</v>
      </c>
      <c r="E862" s="50" t="s">
        <v>2789</v>
      </c>
      <c r="F862" s="50">
        <v>1</v>
      </c>
      <c r="G862" s="56">
        <v>40924</v>
      </c>
    </row>
    <row r="863" spans="1:7" x14ac:dyDescent="0.2">
      <c r="A863" s="48">
        <v>40745</v>
      </c>
      <c r="B863" s="49" t="s">
        <v>943</v>
      </c>
      <c r="C863" s="50" t="s">
        <v>1311</v>
      </c>
      <c r="D863" s="51">
        <v>7438</v>
      </c>
      <c r="E863" s="50" t="s">
        <v>3485</v>
      </c>
      <c r="F863" s="50">
        <v>2</v>
      </c>
      <c r="G863" s="56">
        <v>40924</v>
      </c>
    </row>
    <row r="864" spans="1:7" x14ac:dyDescent="0.2">
      <c r="A864" s="48">
        <v>40745</v>
      </c>
      <c r="B864" s="49" t="s">
        <v>759</v>
      </c>
      <c r="C864" s="50" t="s">
        <v>1634</v>
      </c>
      <c r="D864" s="51">
        <v>7439</v>
      </c>
      <c r="E864" s="50" t="s">
        <v>218</v>
      </c>
      <c r="F864" s="50">
        <v>2</v>
      </c>
      <c r="G864" s="56">
        <v>40924</v>
      </c>
    </row>
    <row r="865" spans="1:7" x14ac:dyDescent="0.2">
      <c r="A865" s="48">
        <v>40745</v>
      </c>
      <c r="B865" s="49" t="s">
        <v>3184</v>
      </c>
      <c r="C865" s="50" t="s">
        <v>1094</v>
      </c>
      <c r="D865" s="51">
        <v>7440</v>
      </c>
      <c r="E865" s="50" t="s">
        <v>218</v>
      </c>
      <c r="F865" s="50">
        <v>2</v>
      </c>
      <c r="G865" s="56">
        <v>40924</v>
      </c>
    </row>
    <row r="866" spans="1:7" x14ac:dyDescent="0.2">
      <c r="A866" s="48">
        <v>40745</v>
      </c>
      <c r="B866" s="49" t="s">
        <v>1312</v>
      </c>
      <c r="C866" s="50" t="s">
        <v>1313</v>
      </c>
      <c r="D866" s="51">
        <v>7441</v>
      </c>
      <c r="E866" s="50" t="s">
        <v>3162</v>
      </c>
      <c r="F866" s="50">
        <v>2</v>
      </c>
      <c r="G866" s="56">
        <v>40924</v>
      </c>
    </row>
    <row r="867" spans="1:7" x14ac:dyDescent="0.2">
      <c r="A867" s="48">
        <v>40745</v>
      </c>
      <c r="B867" s="49" t="s">
        <v>3184</v>
      </c>
      <c r="C867" s="50" t="s">
        <v>1093</v>
      </c>
      <c r="D867" s="51">
        <v>7442</v>
      </c>
      <c r="E867" s="50" t="s">
        <v>1333</v>
      </c>
      <c r="F867" s="50">
        <v>2</v>
      </c>
      <c r="G867" s="56">
        <v>40924</v>
      </c>
    </row>
    <row r="868" spans="1:7" x14ac:dyDescent="0.2">
      <c r="A868" s="48">
        <v>40745</v>
      </c>
      <c r="B868" s="49" t="s">
        <v>42</v>
      </c>
      <c r="C868" s="50" t="s">
        <v>43</v>
      </c>
      <c r="D868" s="51">
        <v>7450</v>
      </c>
      <c r="E868" s="50" t="s">
        <v>682</v>
      </c>
      <c r="F868" s="50" t="s">
        <v>2398</v>
      </c>
      <c r="G868" s="56">
        <v>40924</v>
      </c>
    </row>
    <row r="869" spans="1:7" x14ac:dyDescent="0.2">
      <c r="A869" s="48">
        <v>40745</v>
      </c>
      <c r="B869" s="49" t="s">
        <v>2846</v>
      </c>
      <c r="C869" s="50" t="s">
        <v>43</v>
      </c>
      <c r="D869" s="51">
        <v>7451</v>
      </c>
      <c r="E869" s="50" t="s">
        <v>682</v>
      </c>
      <c r="F869" s="50" t="s">
        <v>2398</v>
      </c>
      <c r="G869" s="56">
        <v>40924</v>
      </c>
    </row>
    <row r="870" spans="1:7" x14ac:dyDescent="0.2">
      <c r="A870" s="48">
        <v>40745</v>
      </c>
      <c r="B870" s="49" t="s">
        <v>44</v>
      </c>
      <c r="C870" s="50" t="s">
        <v>43</v>
      </c>
      <c r="D870" s="51">
        <v>7452</v>
      </c>
      <c r="E870" s="50" t="s">
        <v>682</v>
      </c>
      <c r="F870" s="50" t="s">
        <v>2398</v>
      </c>
      <c r="G870" s="56">
        <v>40924</v>
      </c>
    </row>
    <row r="871" spans="1:7" x14ac:dyDescent="0.2">
      <c r="A871" s="48">
        <v>40745</v>
      </c>
      <c r="B871" s="49" t="s">
        <v>1977</v>
      </c>
      <c r="C871" s="50" t="s">
        <v>43</v>
      </c>
      <c r="D871" s="51">
        <v>7453</v>
      </c>
      <c r="E871" s="50" t="s">
        <v>682</v>
      </c>
      <c r="F871" s="50" t="s">
        <v>2398</v>
      </c>
      <c r="G871" s="56">
        <v>40924</v>
      </c>
    </row>
    <row r="872" spans="1:7" x14ac:dyDescent="0.2">
      <c r="A872" s="48">
        <v>40745</v>
      </c>
      <c r="B872" s="49" t="s">
        <v>3926</v>
      </c>
      <c r="C872" s="50" t="s">
        <v>3927</v>
      </c>
      <c r="D872" s="51">
        <v>7464</v>
      </c>
      <c r="E872" s="50" t="s">
        <v>1179</v>
      </c>
      <c r="F872" s="50" t="s">
        <v>2398</v>
      </c>
      <c r="G872" s="56">
        <v>40924</v>
      </c>
    </row>
    <row r="873" spans="1:7" x14ac:dyDescent="0.2">
      <c r="A873" s="48">
        <v>40745</v>
      </c>
      <c r="B873" s="49" t="s">
        <v>943</v>
      </c>
      <c r="C873" s="50" t="s">
        <v>942</v>
      </c>
      <c r="D873" s="51">
        <v>7465</v>
      </c>
      <c r="E873" s="50" t="s">
        <v>3485</v>
      </c>
      <c r="F873" s="50" t="s">
        <v>2398</v>
      </c>
      <c r="G873" s="56">
        <v>40924</v>
      </c>
    </row>
    <row r="874" spans="1:7" x14ac:dyDescent="0.2">
      <c r="A874" s="196">
        <v>40745</v>
      </c>
      <c r="B874" s="195" t="s">
        <v>1166</v>
      </c>
      <c r="C874" s="199" t="s">
        <v>942</v>
      </c>
      <c r="D874" s="198">
        <v>7467</v>
      </c>
      <c r="E874" s="199" t="s">
        <v>682</v>
      </c>
      <c r="F874" s="50" t="s">
        <v>2398</v>
      </c>
      <c r="G874" s="56">
        <v>40924</v>
      </c>
    </row>
    <row r="875" spans="1:7" x14ac:dyDescent="0.2">
      <c r="A875" s="48">
        <v>40745</v>
      </c>
      <c r="B875" s="49" t="s">
        <v>2921</v>
      </c>
      <c r="C875" s="50" t="s">
        <v>2920</v>
      </c>
      <c r="D875" s="51">
        <v>7475</v>
      </c>
      <c r="E875" s="50" t="s">
        <v>218</v>
      </c>
      <c r="F875" s="50" t="s">
        <v>2398</v>
      </c>
      <c r="G875" s="56">
        <v>40924</v>
      </c>
    </row>
    <row r="876" spans="1:7" x14ac:dyDescent="0.2">
      <c r="A876" s="48">
        <v>40745</v>
      </c>
      <c r="B876" s="49" t="s">
        <v>1310</v>
      </c>
      <c r="C876" s="50" t="s">
        <v>1064</v>
      </c>
      <c r="D876" s="51">
        <v>7478</v>
      </c>
      <c r="E876" s="50" t="s">
        <v>218</v>
      </c>
      <c r="F876" s="50" t="s">
        <v>2398</v>
      </c>
      <c r="G876" s="56">
        <v>40924</v>
      </c>
    </row>
    <row r="877" spans="1:7" x14ac:dyDescent="0.2">
      <c r="A877" s="48">
        <v>40745</v>
      </c>
      <c r="B877" s="49" t="s">
        <v>2407</v>
      </c>
      <c r="C877" s="50" t="s">
        <v>3514</v>
      </c>
      <c r="D877" s="51">
        <v>7470</v>
      </c>
      <c r="E877" s="50" t="s">
        <v>2408</v>
      </c>
      <c r="G877" s="56">
        <v>40924</v>
      </c>
    </row>
    <row r="878" spans="1:7" x14ac:dyDescent="0.2">
      <c r="A878" s="48">
        <v>40746</v>
      </c>
      <c r="B878" s="49" t="s">
        <v>1100</v>
      </c>
      <c r="C878" s="50" t="s">
        <v>1600</v>
      </c>
      <c r="D878" s="51">
        <v>7297</v>
      </c>
      <c r="E878" s="50" t="s">
        <v>1684</v>
      </c>
      <c r="F878" s="50" t="s">
        <v>2398</v>
      </c>
      <c r="G878" s="56">
        <v>40924</v>
      </c>
    </row>
    <row r="879" spans="1:7" x14ac:dyDescent="0.2">
      <c r="A879" s="48">
        <v>40746</v>
      </c>
      <c r="B879" s="49" t="s">
        <v>1960</v>
      </c>
      <c r="C879" s="50" t="s">
        <v>1961</v>
      </c>
      <c r="D879" s="51">
        <v>7486</v>
      </c>
      <c r="E879" s="50" t="s">
        <v>2494</v>
      </c>
      <c r="F879" s="50" t="s">
        <v>2398</v>
      </c>
      <c r="G879" s="56">
        <v>40924</v>
      </c>
    </row>
    <row r="880" spans="1:7" x14ac:dyDescent="0.2">
      <c r="A880" s="48">
        <v>40746</v>
      </c>
      <c r="B880" s="49" t="s">
        <v>3991</v>
      </c>
      <c r="C880" s="50" t="s">
        <v>123</v>
      </c>
      <c r="D880" s="51">
        <v>7531</v>
      </c>
      <c r="E880" s="50" t="s">
        <v>682</v>
      </c>
      <c r="F880" s="50" t="s">
        <v>2398</v>
      </c>
      <c r="G880" s="56">
        <v>40924</v>
      </c>
    </row>
    <row r="881" spans="1:7" x14ac:dyDescent="0.2">
      <c r="A881" s="48">
        <v>40746</v>
      </c>
      <c r="B881" s="49" t="s">
        <v>3586</v>
      </c>
      <c r="C881" s="50" t="s">
        <v>2863</v>
      </c>
      <c r="D881" s="51">
        <v>7540</v>
      </c>
      <c r="E881" s="50" t="s">
        <v>3837</v>
      </c>
      <c r="F881" s="50">
        <v>2</v>
      </c>
      <c r="G881" s="56">
        <v>40924</v>
      </c>
    </row>
    <row r="882" spans="1:7" x14ac:dyDescent="0.2">
      <c r="A882" s="48">
        <v>40749</v>
      </c>
      <c r="B882" s="49" t="s">
        <v>290</v>
      </c>
      <c r="C882" s="50" t="s">
        <v>291</v>
      </c>
      <c r="D882" s="51">
        <v>7362</v>
      </c>
      <c r="E882" s="50" t="s">
        <v>3430</v>
      </c>
      <c r="F882" s="50">
        <v>1</v>
      </c>
      <c r="G882" s="56">
        <v>40924</v>
      </c>
    </row>
    <row r="883" spans="1:7" x14ac:dyDescent="0.2">
      <c r="A883" s="48">
        <v>40757</v>
      </c>
      <c r="B883" s="49" t="s">
        <v>2058</v>
      </c>
      <c r="C883" s="50" t="s">
        <v>2144</v>
      </c>
      <c r="D883" s="51">
        <v>8224</v>
      </c>
      <c r="E883" s="50" t="s">
        <v>3837</v>
      </c>
      <c r="F883" s="50">
        <v>1</v>
      </c>
      <c r="G883" s="56">
        <v>40924</v>
      </c>
    </row>
    <row r="884" spans="1:7" x14ac:dyDescent="0.2">
      <c r="A884" s="48">
        <v>40666</v>
      </c>
      <c r="B884" s="49" t="s">
        <v>2813</v>
      </c>
      <c r="C884" s="50" t="s">
        <v>2156</v>
      </c>
      <c r="D884" s="51">
        <v>7238</v>
      </c>
      <c r="E884" s="50" t="s">
        <v>3837</v>
      </c>
      <c r="F884" s="50">
        <v>3</v>
      </c>
      <c r="G884" s="56">
        <v>40924</v>
      </c>
    </row>
    <row r="885" spans="1:7" x14ac:dyDescent="0.2">
      <c r="A885" s="48">
        <v>40716</v>
      </c>
      <c r="B885" s="49" t="s">
        <v>2246</v>
      </c>
      <c r="C885" s="50" t="s">
        <v>773</v>
      </c>
      <c r="D885" s="51">
        <v>7381</v>
      </c>
      <c r="E885" s="50" t="s">
        <v>3165</v>
      </c>
      <c r="F885" s="50">
        <v>1</v>
      </c>
      <c r="G885" s="56">
        <v>40924</v>
      </c>
    </row>
    <row r="886" spans="1:7" x14ac:dyDescent="0.2">
      <c r="A886" s="48">
        <v>40822</v>
      </c>
      <c r="B886" s="49" t="s">
        <v>2875</v>
      </c>
      <c r="C886" s="50" t="s">
        <v>2874</v>
      </c>
      <c r="D886" s="51">
        <v>8077</v>
      </c>
      <c r="F886" s="50">
        <v>1</v>
      </c>
      <c r="G886" s="56">
        <v>40924</v>
      </c>
    </row>
    <row r="887" spans="1:7" x14ac:dyDescent="0.2">
      <c r="A887" s="48">
        <v>40627</v>
      </c>
      <c r="B887" s="49" t="s">
        <v>1660</v>
      </c>
      <c r="C887" s="50" t="s">
        <v>1401</v>
      </c>
      <c r="D887" s="51">
        <v>7203</v>
      </c>
      <c r="E887" s="50" t="s">
        <v>3597</v>
      </c>
      <c r="F887" s="50">
        <v>1</v>
      </c>
      <c r="G887" s="56">
        <v>40924</v>
      </c>
    </row>
    <row r="888" spans="1:7" x14ac:dyDescent="0.2">
      <c r="A888" s="48">
        <v>40676</v>
      </c>
      <c r="B888" s="49" t="s">
        <v>3627</v>
      </c>
      <c r="C888" s="50" t="s">
        <v>3628</v>
      </c>
      <c r="D888" s="51">
        <v>7139</v>
      </c>
      <c r="E888" s="50" t="s">
        <v>3175</v>
      </c>
      <c r="F888" s="50">
        <v>3</v>
      </c>
      <c r="G888" s="56">
        <v>40924</v>
      </c>
    </row>
    <row r="889" spans="1:7" x14ac:dyDescent="0.2">
      <c r="A889" s="48">
        <v>40745</v>
      </c>
      <c r="B889" s="49" t="s">
        <v>2844</v>
      </c>
      <c r="C889" s="50" t="s">
        <v>2845</v>
      </c>
      <c r="D889" s="51">
        <v>7429</v>
      </c>
      <c r="E889" s="50" t="s">
        <v>2494</v>
      </c>
      <c r="F889" s="50">
        <v>1</v>
      </c>
      <c r="G889" s="56">
        <v>40924</v>
      </c>
    </row>
    <row r="890" spans="1:7" x14ac:dyDescent="0.2">
      <c r="A890" s="196">
        <v>40745</v>
      </c>
      <c r="B890" s="195" t="s">
        <v>3184</v>
      </c>
      <c r="C890" s="199" t="s">
        <v>1095</v>
      </c>
      <c r="D890" s="198">
        <v>7443</v>
      </c>
      <c r="E890" s="199" t="s">
        <v>2494</v>
      </c>
      <c r="F890" s="50">
        <v>2</v>
      </c>
      <c r="G890" s="56">
        <v>40924</v>
      </c>
    </row>
    <row r="891" spans="1:7" x14ac:dyDescent="0.2">
      <c r="A891" s="48">
        <v>40745</v>
      </c>
      <c r="B891" s="49" t="s">
        <v>1978</v>
      </c>
      <c r="C891" s="50" t="s">
        <v>1979</v>
      </c>
      <c r="D891" s="51">
        <v>7454</v>
      </c>
      <c r="E891" s="50" t="s">
        <v>218</v>
      </c>
      <c r="F891" s="50">
        <v>2</v>
      </c>
      <c r="G891" s="56">
        <v>40924</v>
      </c>
    </row>
    <row r="892" spans="1:7" x14ac:dyDescent="0.2">
      <c r="A892" s="48">
        <v>40745</v>
      </c>
      <c r="B892" s="49" t="s">
        <v>551</v>
      </c>
      <c r="C892" s="50" t="s">
        <v>1694</v>
      </c>
      <c r="D892" s="51">
        <v>7911</v>
      </c>
      <c r="E892" s="50" t="s">
        <v>3162</v>
      </c>
      <c r="F892" s="50" t="s">
        <v>2398</v>
      </c>
      <c r="G892" s="56">
        <v>40924</v>
      </c>
    </row>
    <row r="893" spans="1:7" x14ac:dyDescent="0.2">
      <c r="A893" s="196">
        <v>40813</v>
      </c>
      <c r="B893" s="195" t="s">
        <v>1783</v>
      </c>
      <c r="C893" s="199" t="s">
        <v>3514</v>
      </c>
      <c r="D893" s="198">
        <v>8289</v>
      </c>
      <c r="E893" s="199" t="s">
        <v>2494</v>
      </c>
      <c r="F893" s="50">
        <v>1</v>
      </c>
      <c r="G893" s="56">
        <v>40924</v>
      </c>
    </row>
    <row r="894" spans="1:7" x14ac:dyDescent="0.2">
      <c r="A894" s="48">
        <v>40828</v>
      </c>
      <c r="B894" s="49" t="s">
        <v>588</v>
      </c>
      <c r="C894" s="50" t="s">
        <v>773</v>
      </c>
      <c r="D894" s="51">
        <v>8090</v>
      </c>
      <c r="F894" s="50">
        <v>1</v>
      </c>
      <c r="G894" s="56">
        <v>40924</v>
      </c>
    </row>
    <row r="895" spans="1:7" x14ac:dyDescent="0.2">
      <c r="A895" s="48">
        <v>40840</v>
      </c>
      <c r="B895" s="49" t="s">
        <v>3971</v>
      </c>
      <c r="C895" s="50" t="s">
        <v>3972</v>
      </c>
      <c r="D895" s="51">
        <v>8140</v>
      </c>
      <c r="E895" s="50" t="s">
        <v>3162</v>
      </c>
      <c r="F895" s="50" t="s">
        <v>1164</v>
      </c>
      <c r="G895" s="56">
        <v>40924</v>
      </c>
    </row>
    <row r="896" spans="1:7" x14ac:dyDescent="0.2">
      <c r="A896" s="48">
        <v>40745</v>
      </c>
      <c r="B896" s="49" t="s">
        <v>2846</v>
      </c>
      <c r="C896" s="50" t="s">
        <v>2845</v>
      </c>
      <c r="D896" s="51">
        <v>7430</v>
      </c>
      <c r="E896" s="50" t="s">
        <v>2494</v>
      </c>
      <c r="F896" s="50">
        <v>2012</v>
      </c>
      <c r="G896" s="56">
        <v>41003</v>
      </c>
    </row>
    <row r="897" spans="1:7" x14ac:dyDescent="0.2">
      <c r="A897" s="48">
        <v>40745</v>
      </c>
      <c r="B897" s="49" t="s">
        <v>3928</v>
      </c>
      <c r="C897" s="50" t="s">
        <v>942</v>
      </c>
      <c r="D897" s="51">
        <v>7461</v>
      </c>
      <c r="E897" s="50" t="s">
        <v>2494</v>
      </c>
      <c r="F897" s="50" t="s">
        <v>2398</v>
      </c>
      <c r="G897" s="56">
        <v>41003</v>
      </c>
    </row>
    <row r="898" spans="1:7" x14ac:dyDescent="0.2">
      <c r="A898" s="196">
        <v>40646</v>
      </c>
      <c r="B898" s="195" t="s">
        <v>149</v>
      </c>
      <c r="C898" s="199" t="s">
        <v>3759</v>
      </c>
      <c r="D898" s="198">
        <v>7216</v>
      </c>
      <c r="E898" s="199" t="s">
        <v>2494</v>
      </c>
      <c r="F898" s="50">
        <v>2</v>
      </c>
      <c r="G898" s="56">
        <v>41009</v>
      </c>
    </row>
    <row r="899" spans="1:7" x14ac:dyDescent="0.2">
      <c r="A899" s="196">
        <v>40606</v>
      </c>
      <c r="B899" s="195" t="s">
        <v>2963</v>
      </c>
      <c r="C899" s="199" t="s">
        <v>1819</v>
      </c>
      <c r="D899" s="198">
        <v>7122</v>
      </c>
      <c r="E899" s="199" t="s">
        <v>2494</v>
      </c>
      <c r="F899" s="50">
        <v>3</v>
      </c>
      <c r="G899" s="56">
        <v>41009</v>
      </c>
    </row>
    <row r="900" spans="1:7" x14ac:dyDescent="0.2">
      <c r="A900" s="196">
        <v>40595</v>
      </c>
      <c r="B900" s="195" t="s">
        <v>2970</v>
      </c>
      <c r="C900" s="199" t="s">
        <v>2971</v>
      </c>
      <c r="D900" s="198">
        <v>7060</v>
      </c>
      <c r="E900" s="199" t="s">
        <v>774</v>
      </c>
      <c r="F900" s="50">
        <v>1</v>
      </c>
      <c r="G900" s="56">
        <v>41009</v>
      </c>
    </row>
    <row r="901" spans="1:7" x14ac:dyDescent="0.2">
      <c r="A901" s="196">
        <v>40745</v>
      </c>
      <c r="B901" s="195" t="s">
        <v>552</v>
      </c>
      <c r="C901" s="199" t="s">
        <v>1695</v>
      </c>
      <c r="D901" s="198">
        <v>7914</v>
      </c>
      <c r="E901" s="199" t="s">
        <v>774</v>
      </c>
      <c r="F901" s="50" t="s">
        <v>2398</v>
      </c>
      <c r="G901" s="56">
        <v>41009</v>
      </c>
    </row>
    <row r="902" spans="1:7" x14ac:dyDescent="0.2">
      <c r="A902" s="196">
        <v>40597</v>
      </c>
      <c r="B902" s="195" t="s">
        <v>1235</v>
      </c>
      <c r="C902" s="199" t="s">
        <v>411</v>
      </c>
      <c r="D902" s="198">
        <v>7120</v>
      </c>
      <c r="E902" s="199" t="s">
        <v>2494</v>
      </c>
      <c r="F902" s="50">
        <v>3</v>
      </c>
      <c r="G902" s="56">
        <v>41009</v>
      </c>
    </row>
    <row r="903" spans="1:7" x14ac:dyDescent="0.2">
      <c r="A903" s="196">
        <v>40746</v>
      </c>
      <c r="B903" s="195" t="s">
        <v>3993</v>
      </c>
      <c r="C903" s="199" t="s">
        <v>123</v>
      </c>
      <c r="D903" s="198">
        <v>7532</v>
      </c>
      <c r="E903" s="199" t="s">
        <v>3597</v>
      </c>
      <c r="F903" s="50" t="s">
        <v>2398</v>
      </c>
      <c r="G903" s="56">
        <v>41010</v>
      </c>
    </row>
    <row r="904" spans="1:7" x14ac:dyDescent="0.2">
      <c r="A904" s="196">
        <v>40730</v>
      </c>
      <c r="B904" s="195" t="s">
        <v>3832</v>
      </c>
      <c r="C904" s="199" t="s">
        <v>474</v>
      </c>
      <c r="D904" s="198">
        <v>7143</v>
      </c>
      <c r="E904" s="199" t="s">
        <v>2494</v>
      </c>
      <c r="F904" s="50">
        <v>5</v>
      </c>
      <c r="G904" s="56">
        <v>41010</v>
      </c>
    </row>
    <row r="905" spans="1:7" ht="25.5" x14ac:dyDescent="0.2">
      <c r="A905" s="48">
        <v>40676</v>
      </c>
      <c r="B905" s="49" t="s">
        <v>3861</v>
      </c>
      <c r="C905" s="50" t="s">
        <v>3862</v>
      </c>
      <c r="D905" s="51">
        <v>7136</v>
      </c>
      <c r="E905" s="50" t="s">
        <v>2504</v>
      </c>
      <c r="F905" s="50">
        <v>2</v>
      </c>
      <c r="G905" s="56">
        <v>41010</v>
      </c>
    </row>
    <row r="906" spans="1:7" x14ac:dyDescent="0.2">
      <c r="A906" s="48">
        <v>40737</v>
      </c>
      <c r="B906" s="49" t="s">
        <v>2886</v>
      </c>
      <c r="C906" s="50" t="s">
        <v>1600</v>
      </c>
      <c r="D906" s="51">
        <v>7145</v>
      </c>
      <c r="E906" s="50" t="s">
        <v>2494</v>
      </c>
      <c r="F906" s="50">
        <v>1</v>
      </c>
      <c r="G906" s="56">
        <v>41012</v>
      </c>
    </row>
    <row r="907" spans="1:7" x14ac:dyDescent="0.2">
      <c r="A907" s="48">
        <v>40872</v>
      </c>
      <c r="B907" s="49" t="s">
        <v>842</v>
      </c>
      <c r="C907" s="50" t="s">
        <v>1600</v>
      </c>
      <c r="D907" s="51">
        <v>8116</v>
      </c>
      <c r="E907" s="50" t="s">
        <v>2494</v>
      </c>
      <c r="F907" s="50">
        <v>3</v>
      </c>
      <c r="G907" s="56">
        <v>41012</v>
      </c>
    </row>
    <row r="908" spans="1:7" x14ac:dyDescent="0.2">
      <c r="A908" s="48">
        <v>40606</v>
      </c>
      <c r="B908" s="49" t="s">
        <v>369</v>
      </c>
      <c r="C908" s="50" t="s">
        <v>370</v>
      </c>
      <c r="D908" s="51">
        <v>7124</v>
      </c>
      <c r="E908" s="50" t="s">
        <v>3597</v>
      </c>
      <c r="F908" s="50">
        <v>4</v>
      </c>
      <c r="G908" s="56">
        <v>41012</v>
      </c>
    </row>
    <row r="909" spans="1:7" x14ac:dyDescent="0.2">
      <c r="A909" s="48">
        <v>40872</v>
      </c>
      <c r="B909" s="49" t="s">
        <v>843</v>
      </c>
      <c r="C909" s="50" t="s">
        <v>3972</v>
      </c>
      <c r="D909" s="51">
        <v>8131</v>
      </c>
      <c r="E909" s="50" t="s">
        <v>3162</v>
      </c>
      <c r="F909" s="50">
        <v>1</v>
      </c>
      <c r="G909" s="56">
        <v>41012</v>
      </c>
    </row>
    <row r="910" spans="1:7" x14ac:dyDescent="0.2">
      <c r="A910" s="196">
        <v>40872</v>
      </c>
      <c r="B910" s="195" t="s">
        <v>844</v>
      </c>
      <c r="C910" s="199" t="s">
        <v>3972</v>
      </c>
      <c r="D910" s="198">
        <v>8134</v>
      </c>
      <c r="E910" s="199" t="s">
        <v>3162</v>
      </c>
      <c r="F910" s="50">
        <v>1</v>
      </c>
      <c r="G910" s="56">
        <v>41012</v>
      </c>
    </row>
    <row r="911" spans="1:7" x14ac:dyDescent="0.2">
      <c r="A911" s="196">
        <v>41009</v>
      </c>
      <c r="B911" s="195" t="s">
        <v>502</v>
      </c>
      <c r="C911" s="199" t="s">
        <v>1600</v>
      </c>
      <c r="D911" s="198">
        <v>8153</v>
      </c>
      <c r="E911" s="199"/>
      <c r="G911" s="56">
        <v>41012</v>
      </c>
    </row>
    <row r="912" spans="1:7" x14ac:dyDescent="0.2">
      <c r="A912" s="48">
        <v>41011</v>
      </c>
      <c r="B912" s="49" t="s">
        <v>1154</v>
      </c>
      <c r="C912" s="50" t="s">
        <v>1819</v>
      </c>
      <c r="D912" s="51">
        <v>8159</v>
      </c>
      <c r="G912" s="56">
        <v>41015</v>
      </c>
    </row>
    <row r="913" spans="1:7" x14ac:dyDescent="0.2">
      <c r="A913" s="196">
        <v>40920</v>
      </c>
      <c r="B913" s="195" t="s">
        <v>1614</v>
      </c>
      <c r="C913" s="199" t="s">
        <v>474</v>
      </c>
      <c r="D913" s="198">
        <v>8109</v>
      </c>
      <c r="E913" s="199"/>
      <c r="F913" s="50">
        <v>2</v>
      </c>
      <c r="G913" s="56">
        <v>41015</v>
      </c>
    </row>
    <row r="914" spans="1:7" x14ac:dyDescent="0.2">
      <c r="A914" s="48">
        <v>40760</v>
      </c>
      <c r="B914" s="49" t="s">
        <v>314</v>
      </c>
      <c r="C914" s="50" t="s">
        <v>315</v>
      </c>
      <c r="D914" s="51">
        <v>7516</v>
      </c>
      <c r="E914" s="50" t="s">
        <v>2504</v>
      </c>
      <c r="F914" s="50">
        <v>2</v>
      </c>
      <c r="G914" s="56">
        <v>41015</v>
      </c>
    </row>
    <row r="915" spans="1:7" x14ac:dyDescent="0.2">
      <c r="A915" s="48">
        <v>40799</v>
      </c>
      <c r="B915" s="49" t="s">
        <v>688</v>
      </c>
      <c r="C915" s="50" t="s">
        <v>687</v>
      </c>
      <c r="D915" s="51">
        <v>7764</v>
      </c>
      <c r="E915" s="50" t="s">
        <v>196</v>
      </c>
      <c r="F915" s="50">
        <v>1</v>
      </c>
      <c r="G915" s="56">
        <v>41016</v>
      </c>
    </row>
    <row r="916" spans="1:7" x14ac:dyDescent="0.2">
      <c r="A916" s="48">
        <v>40725</v>
      </c>
      <c r="B916" s="49" t="s">
        <v>1119</v>
      </c>
      <c r="C916" s="50" t="s">
        <v>1819</v>
      </c>
      <c r="D916" s="51">
        <v>7425</v>
      </c>
      <c r="E916" s="50" t="s">
        <v>3597</v>
      </c>
      <c r="F916" s="50">
        <v>2</v>
      </c>
      <c r="G916" s="56">
        <v>41017</v>
      </c>
    </row>
    <row r="917" spans="1:7" x14ac:dyDescent="0.2">
      <c r="A917" s="48">
        <v>40505</v>
      </c>
      <c r="B917" s="49" t="s">
        <v>1045</v>
      </c>
      <c r="D917" s="51">
        <v>5762</v>
      </c>
      <c r="E917" s="50" t="s">
        <v>3597</v>
      </c>
      <c r="F917" s="50">
        <v>2</v>
      </c>
      <c r="G917" s="56">
        <v>41017</v>
      </c>
    </row>
    <row r="918" spans="1:7" x14ac:dyDescent="0.2">
      <c r="A918" s="48">
        <v>40021</v>
      </c>
      <c r="B918" s="49" t="s">
        <v>3592</v>
      </c>
      <c r="C918" s="50" t="s">
        <v>4027</v>
      </c>
      <c r="D918" s="51">
        <v>5312</v>
      </c>
      <c r="E918" s="50" t="s">
        <v>3597</v>
      </c>
      <c r="F918" s="50">
        <v>2</v>
      </c>
      <c r="G918" s="56">
        <v>41019</v>
      </c>
    </row>
    <row r="919" spans="1:7" x14ac:dyDescent="0.2">
      <c r="A919" s="48">
        <v>40015</v>
      </c>
      <c r="B919" s="49" t="s">
        <v>1175</v>
      </c>
      <c r="C919" s="50" t="s">
        <v>2930</v>
      </c>
      <c r="D919" s="51">
        <v>5305</v>
      </c>
      <c r="E919" s="50" t="s">
        <v>2684</v>
      </c>
      <c r="F919" s="50">
        <v>1</v>
      </c>
      <c r="G919" s="56">
        <v>41022</v>
      </c>
    </row>
    <row r="920" spans="1:7" x14ac:dyDescent="0.2">
      <c r="A920" s="48">
        <v>40685</v>
      </c>
      <c r="B920" s="49" t="s">
        <v>2668</v>
      </c>
      <c r="C920" s="50" t="s">
        <v>2667</v>
      </c>
      <c r="D920" s="51">
        <v>7492</v>
      </c>
      <c r="E920" s="50" t="s">
        <v>218</v>
      </c>
      <c r="F920" s="50" t="s">
        <v>2398</v>
      </c>
      <c r="G920" s="56">
        <v>41022</v>
      </c>
    </row>
    <row r="921" spans="1:7" ht="25.5" x14ac:dyDescent="0.2">
      <c r="A921" s="48">
        <v>40564</v>
      </c>
      <c r="B921" s="49" t="s">
        <v>3866</v>
      </c>
      <c r="C921" s="50" t="s">
        <v>3433</v>
      </c>
      <c r="D921" s="51">
        <v>7109</v>
      </c>
      <c r="E921" s="50" t="s">
        <v>3837</v>
      </c>
      <c r="F921" s="50">
        <v>3</v>
      </c>
      <c r="G921" s="56">
        <v>41039</v>
      </c>
    </row>
    <row r="922" spans="1:7" x14ac:dyDescent="0.2">
      <c r="A922" s="48">
        <v>41010</v>
      </c>
      <c r="B922" s="49" t="s">
        <v>2110</v>
      </c>
      <c r="C922" s="50" t="s">
        <v>474</v>
      </c>
      <c r="D922" s="51">
        <v>8241</v>
      </c>
      <c r="F922" s="50">
        <v>1</v>
      </c>
      <c r="G922" s="56">
        <v>41039</v>
      </c>
    </row>
    <row r="923" spans="1:7" ht="25.5" x14ac:dyDescent="0.2">
      <c r="A923" s="48">
        <v>40851</v>
      </c>
      <c r="B923" s="49" t="s">
        <v>3402</v>
      </c>
      <c r="C923" s="50" t="s">
        <v>3403</v>
      </c>
      <c r="D923" s="51">
        <v>8484</v>
      </c>
      <c r="F923" s="50">
        <v>1</v>
      </c>
      <c r="G923" s="56">
        <v>41044</v>
      </c>
    </row>
    <row r="924" spans="1:7" x14ac:dyDescent="0.2">
      <c r="A924" s="196">
        <v>40746</v>
      </c>
      <c r="B924" s="195" t="s">
        <v>857</v>
      </c>
      <c r="C924" s="199" t="s">
        <v>2144</v>
      </c>
      <c r="D924" s="198">
        <v>7298</v>
      </c>
      <c r="E924" s="199" t="s">
        <v>2171</v>
      </c>
      <c r="F924" s="50" t="s">
        <v>2398</v>
      </c>
      <c r="G924" s="56">
        <v>41051</v>
      </c>
    </row>
    <row r="925" spans="1:7" x14ac:dyDescent="0.2">
      <c r="A925" s="48">
        <v>40991</v>
      </c>
      <c r="B925" s="49" t="s">
        <v>2326</v>
      </c>
      <c r="C925" s="50" t="s">
        <v>392</v>
      </c>
      <c r="D925" s="51">
        <v>8160</v>
      </c>
      <c r="F925" s="50">
        <v>1</v>
      </c>
      <c r="G925" s="56">
        <v>41065</v>
      </c>
    </row>
    <row r="926" spans="1:7" x14ac:dyDescent="0.2">
      <c r="A926" s="48">
        <v>40961</v>
      </c>
      <c r="B926" s="49" t="s">
        <v>251</v>
      </c>
      <c r="C926" s="50" t="s">
        <v>252</v>
      </c>
      <c r="D926" s="51">
        <v>8608</v>
      </c>
      <c r="E926" s="50" t="s">
        <v>1197</v>
      </c>
      <c r="F926" s="50">
        <v>2</v>
      </c>
      <c r="G926" s="56">
        <v>41065</v>
      </c>
    </row>
    <row r="927" spans="1:7" x14ac:dyDescent="0.2">
      <c r="A927" s="48">
        <v>40849</v>
      </c>
      <c r="B927" s="49" t="s">
        <v>2905</v>
      </c>
      <c r="C927" s="50" t="s">
        <v>474</v>
      </c>
      <c r="D927" s="51">
        <v>8141</v>
      </c>
      <c r="E927" s="50" t="s">
        <v>2504</v>
      </c>
      <c r="F927" s="50">
        <v>1</v>
      </c>
      <c r="G927" s="56">
        <v>41065</v>
      </c>
    </row>
    <row r="928" spans="1:7" x14ac:dyDescent="0.2">
      <c r="A928" s="196">
        <v>40885</v>
      </c>
      <c r="B928" s="195" t="s">
        <v>1613</v>
      </c>
      <c r="C928" s="199" t="s">
        <v>474</v>
      </c>
      <c r="D928" s="198">
        <v>8112</v>
      </c>
      <c r="E928" s="199"/>
      <c r="G928" s="56">
        <v>41065</v>
      </c>
    </row>
    <row r="929" spans="1:7" x14ac:dyDescent="0.2">
      <c r="A929" s="48">
        <v>40665</v>
      </c>
      <c r="B929" s="49" t="s">
        <v>4011</v>
      </c>
      <c r="C929" s="50" t="s">
        <v>4012</v>
      </c>
      <c r="D929" s="51">
        <v>7237</v>
      </c>
      <c r="E929" s="50" t="s">
        <v>4013</v>
      </c>
      <c r="G929" s="56">
        <v>41071</v>
      </c>
    </row>
    <row r="930" spans="1:7" x14ac:dyDescent="0.2">
      <c r="A930" s="48">
        <v>40814</v>
      </c>
      <c r="B930" s="49" t="s">
        <v>2761</v>
      </c>
      <c r="C930" s="50" t="s">
        <v>2762</v>
      </c>
      <c r="D930" s="51">
        <v>8082</v>
      </c>
      <c r="E930" s="50" t="s">
        <v>838</v>
      </c>
      <c r="F930" s="50">
        <v>1</v>
      </c>
      <c r="G930" s="56">
        <v>41099</v>
      </c>
    </row>
    <row r="931" spans="1:7" x14ac:dyDescent="0.2">
      <c r="A931" s="196">
        <v>40745</v>
      </c>
      <c r="B931" s="195" t="s">
        <v>3998</v>
      </c>
      <c r="C931" s="199" t="s">
        <v>3999</v>
      </c>
      <c r="D931" s="198">
        <v>7908</v>
      </c>
      <c r="E931" s="199" t="s">
        <v>3837</v>
      </c>
      <c r="F931" s="50" t="s">
        <v>2398</v>
      </c>
      <c r="G931" s="56">
        <v>41107</v>
      </c>
    </row>
    <row r="932" spans="1:7" x14ac:dyDescent="0.2">
      <c r="A932" s="48">
        <v>40746</v>
      </c>
      <c r="B932" s="49" t="s">
        <v>1714</v>
      </c>
      <c r="C932" s="50" t="s">
        <v>1713</v>
      </c>
      <c r="D932" s="51">
        <v>7503</v>
      </c>
      <c r="E932" s="50" t="s">
        <v>3165</v>
      </c>
      <c r="F932" s="50" t="s">
        <v>2398</v>
      </c>
      <c r="G932" s="56">
        <v>41107</v>
      </c>
    </row>
    <row r="933" spans="1:7" x14ac:dyDescent="0.2">
      <c r="A933" s="48">
        <v>40746</v>
      </c>
      <c r="B933" s="49" t="s">
        <v>2864</v>
      </c>
      <c r="C933" s="50" t="s">
        <v>2865</v>
      </c>
      <c r="D933" s="51">
        <v>7537</v>
      </c>
      <c r="E933" s="50" t="s">
        <v>218</v>
      </c>
      <c r="F933" s="50" t="s">
        <v>2398</v>
      </c>
      <c r="G933" s="56">
        <v>41107</v>
      </c>
    </row>
    <row r="934" spans="1:7" x14ac:dyDescent="0.2">
      <c r="A934" s="48">
        <v>40746</v>
      </c>
      <c r="B934" s="49" t="s">
        <v>2864</v>
      </c>
      <c r="C934" s="50" t="s">
        <v>2866</v>
      </c>
      <c r="D934" s="51">
        <v>7538</v>
      </c>
      <c r="E934" s="50" t="s">
        <v>218</v>
      </c>
      <c r="F934" s="50" t="s">
        <v>2398</v>
      </c>
      <c r="G934" s="56">
        <v>41107</v>
      </c>
    </row>
    <row r="935" spans="1:7" x14ac:dyDescent="0.2">
      <c r="A935" s="48">
        <v>40814</v>
      </c>
      <c r="B935" s="49" t="s">
        <v>2763</v>
      </c>
      <c r="C935" s="50" t="s">
        <v>2762</v>
      </c>
      <c r="D935" s="51">
        <v>8085</v>
      </c>
      <c r="F935" s="50">
        <v>2</v>
      </c>
      <c r="G935" s="56">
        <v>41107</v>
      </c>
    </row>
    <row r="936" spans="1:7" x14ac:dyDescent="0.2">
      <c r="A936" s="48">
        <v>40736</v>
      </c>
      <c r="B936" s="49" t="s">
        <v>877</v>
      </c>
      <c r="C936" s="50" t="s">
        <v>878</v>
      </c>
      <c r="D936" s="51">
        <v>6468</v>
      </c>
      <c r="E936" s="50" t="s">
        <v>860</v>
      </c>
      <c r="F936" s="50">
        <v>4</v>
      </c>
      <c r="G936" s="56">
        <v>41107</v>
      </c>
    </row>
    <row r="937" spans="1:7" x14ac:dyDescent="0.2">
      <c r="A937" s="48">
        <v>40715</v>
      </c>
      <c r="B937" s="49" t="s">
        <v>3201</v>
      </c>
      <c r="C937" s="50" t="s">
        <v>773</v>
      </c>
      <c r="D937" s="51">
        <v>7847</v>
      </c>
      <c r="E937" s="50" t="s">
        <v>774</v>
      </c>
      <c r="F937" s="50">
        <v>4</v>
      </c>
      <c r="G937" s="56">
        <v>41107</v>
      </c>
    </row>
    <row r="938" spans="1:7" x14ac:dyDescent="0.2">
      <c r="A938" s="48">
        <v>40822</v>
      </c>
      <c r="B938" s="49" t="s">
        <v>2873</v>
      </c>
      <c r="C938" s="50" t="s">
        <v>2874</v>
      </c>
      <c r="D938" s="51">
        <v>8080</v>
      </c>
      <c r="E938" s="50" t="s">
        <v>952</v>
      </c>
      <c r="F938" s="50">
        <v>1</v>
      </c>
      <c r="G938" s="56">
        <v>41107</v>
      </c>
    </row>
    <row r="939" spans="1:7" x14ac:dyDescent="0.2">
      <c r="A939" s="48">
        <v>40749</v>
      </c>
      <c r="B939" s="49" t="s">
        <v>0</v>
      </c>
      <c r="C939" s="50" t="s">
        <v>289</v>
      </c>
      <c r="D939" s="51">
        <v>7360</v>
      </c>
      <c r="E939" s="50" t="s">
        <v>3165</v>
      </c>
      <c r="F939" s="50">
        <v>1</v>
      </c>
      <c r="G939" s="56">
        <v>41107</v>
      </c>
    </row>
    <row r="940" spans="1:7" x14ac:dyDescent="0.2">
      <c r="A940" s="48">
        <v>40745</v>
      </c>
      <c r="B940" s="49" t="s">
        <v>1056</v>
      </c>
      <c r="C940" s="50" t="s">
        <v>146</v>
      </c>
      <c r="D940" s="51">
        <v>7907</v>
      </c>
      <c r="E940" s="50" t="s">
        <v>218</v>
      </c>
      <c r="F940" s="50" t="s">
        <v>2398</v>
      </c>
      <c r="G940" s="56">
        <v>41107</v>
      </c>
    </row>
    <row r="941" spans="1:7" x14ac:dyDescent="0.2">
      <c r="A941" s="196">
        <v>40745</v>
      </c>
      <c r="B941" s="195" t="s">
        <v>1057</v>
      </c>
      <c r="C941" s="199" t="s">
        <v>146</v>
      </c>
      <c r="D941" s="198">
        <v>7910</v>
      </c>
      <c r="E941" s="199" t="s">
        <v>218</v>
      </c>
      <c r="F941" s="50" t="s">
        <v>2398</v>
      </c>
      <c r="G941" s="56">
        <v>41107</v>
      </c>
    </row>
    <row r="942" spans="1:7" ht="25.5" x14ac:dyDescent="0.2">
      <c r="A942" s="48">
        <v>40815</v>
      </c>
      <c r="B942" s="49" t="s">
        <v>2330</v>
      </c>
      <c r="C942" s="50" t="s">
        <v>1819</v>
      </c>
      <c r="D942" s="51">
        <v>8076</v>
      </c>
      <c r="F942" s="50">
        <v>2</v>
      </c>
      <c r="G942" s="56">
        <v>41107</v>
      </c>
    </row>
    <row r="943" spans="1:7" x14ac:dyDescent="0.2">
      <c r="A943" s="48">
        <v>40757</v>
      </c>
      <c r="B943" s="49" t="s">
        <v>2665</v>
      </c>
      <c r="C943" s="50" t="s">
        <v>3386</v>
      </c>
      <c r="D943" s="51">
        <v>7509</v>
      </c>
      <c r="E943" s="50" t="s">
        <v>218</v>
      </c>
      <c r="F943" s="50">
        <v>2</v>
      </c>
      <c r="G943" s="56">
        <v>41107</v>
      </c>
    </row>
    <row r="944" spans="1:7" x14ac:dyDescent="0.2">
      <c r="A944" s="196">
        <v>40745</v>
      </c>
      <c r="B944" s="195" t="s">
        <v>2974</v>
      </c>
      <c r="C944" s="199" t="s">
        <v>1816</v>
      </c>
      <c r="D944" s="198">
        <v>7448</v>
      </c>
      <c r="E944" s="199" t="s">
        <v>3482</v>
      </c>
      <c r="F944" s="50" t="s">
        <v>2398</v>
      </c>
      <c r="G944" s="56">
        <v>41107</v>
      </c>
    </row>
    <row r="945" spans="1:7" x14ac:dyDescent="0.2">
      <c r="A945" s="196">
        <v>40746</v>
      </c>
      <c r="B945" s="195" t="s">
        <v>728</v>
      </c>
      <c r="C945" s="199" t="s">
        <v>3566</v>
      </c>
      <c r="D945" s="198">
        <v>7525</v>
      </c>
      <c r="E945" s="199" t="s">
        <v>2494</v>
      </c>
      <c r="F945" s="50" t="s">
        <v>2398</v>
      </c>
      <c r="G945" s="56">
        <v>41107</v>
      </c>
    </row>
    <row r="946" spans="1:7" x14ac:dyDescent="0.2">
      <c r="A946" s="48">
        <v>40746</v>
      </c>
      <c r="B946" s="49" t="s">
        <v>3567</v>
      </c>
      <c r="C946" s="50" t="s">
        <v>3566</v>
      </c>
      <c r="D946" s="51">
        <v>7528</v>
      </c>
      <c r="E946" s="50" t="s">
        <v>2494</v>
      </c>
      <c r="F946" s="50" t="s">
        <v>2398</v>
      </c>
      <c r="G946" s="56">
        <v>41107</v>
      </c>
    </row>
    <row r="947" spans="1:7" x14ac:dyDescent="0.2">
      <c r="A947" s="48">
        <v>40872</v>
      </c>
      <c r="B947" s="49" t="s">
        <v>841</v>
      </c>
      <c r="C947" s="50" t="s">
        <v>1600</v>
      </c>
      <c r="D947" s="51">
        <v>8113</v>
      </c>
      <c r="E947" s="50" t="s">
        <v>3162</v>
      </c>
      <c r="F947" s="50">
        <v>3</v>
      </c>
      <c r="G947" s="56">
        <v>41108</v>
      </c>
    </row>
    <row r="948" spans="1:7" x14ac:dyDescent="0.2">
      <c r="A948" s="48">
        <v>40745</v>
      </c>
      <c r="B948" s="49" t="s">
        <v>1055</v>
      </c>
      <c r="C948" s="50" t="s">
        <v>146</v>
      </c>
      <c r="D948" s="51">
        <v>7904</v>
      </c>
      <c r="E948" s="50" t="s">
        <v>3485</v>
      </c>
      <c r="F948" s="50" t="s">
        <v>2398</v>
      </c>
      <c r="G948" s="56">
        <v>41109</v>
      </c>
    </row>
    <row r="949" spans="1:7" x14ac:dyDescent="0.2">
      <c r="A949" s="196">
        <v>40745</v>
      </c>
      <c r="B949" s="195" t="s">
        <v>39</v>
      </c>
      <c r="C949" s="199" t="s">
        <v>40</v>
      </c>
      <c r="D949" s="198">
        <v>7433</v>
      </c>
      <c r="E949" s="199" t="s">
        <v>3162</v>
      </c>
      <c r="F949" s="50">
        <v>2</v>
      </c>
      <c r="G949" s="56">
        <v>41115</v>
      </c>
    </row>
    <row r="950" spans="1:7" x14ac:dyDescent="0.2">
      <c r="A950" s="48">
        <v>40851</v>
      </c>
      <c r="B950" s="49" t="s">
        <v>809</v>
      </c>
      <c r="C950" s="50" t="s">
        <v>810</v>
      </c>
      <c r="D950" s="51">
        <v>8482</v>
      </c>
      <c r="F950" s="50">
        <v>1</v>
      </c>
      <c r="G950" s="56">
        <v>41118</v>
      </c>
    </row>
    <row r="951" spans="1:7" ht="25.5" x14ac:dyDescent="0.2">
      <c r="A951" s="48">
        <v>40851</v>
      </c>
      <c r="B951" s="49" t="s">
        <v>2993</v>
      </c>
      <c r="C951" s="50" t="s">
        <v>810</v>
      </c>
      <c r="D951" s="51">
        <v>8485</v>
      </c>
      <c r="F951" s="50">
        <v>1</v>
      </c>
      <c r="G951" s="56">
        <v>41118</v>
      </c>
    </row>
    <row r="952" spans="1:7" x14ac:dyDescent="0.2">
      <c r="A952" s="48">
        <v>40745</v>
      </c>
      <c r="B952" s="49" t="s">
        <v>2611</v>
      </c>
      <c r="C952" s="50" t="s">
        <v>2612</v>
      </c>
      <c r="D952" s="51">
        <v>7444</v>
      </c>
      <c r="E952" s="50" t="s">
        <v>218</v>
      </c>
      <c r="F952" s="50">
        <v>2</v>
      </c>
      <c r="G952" s="56">
        <v>41118</v>
      </c>
    </row>
    <row r="953" spans="1:7" x14ac:dyDescent="0.2">
      <c r="A953" s="48">
        <v>40745</v>
      </c>
      <c r="B953" s="49" t="s">
        <v>1811</v>
      </c>
      <c r="C953" s="50" t="s">
        <v>2612</v>
      </c>
      <c r="D953" s="51">
        <v>7436</v>
      </c>
      <c r="E953" s="50" t="s">
        <v>218</v>
      </c>
      <c r="F953" s="50">
        <v>2</v>
      </c>
      <c r="G953" s="56">
        <v>41118</v>
      </c>
    </row>
    <row r="954" spans="1:7" x14ac:dyDescent="0.2">
      <c r="A954" s="48">
        <v>40745</v>
      </c>
      <c r="B954" s="49" t="s">
        <v>3107</v>
      </c>
      <c r="C954" s="50" t="s">
        <v>1816</v>
      </c>
      <c r="D954" s="51">
        <v>7906</v>
      </c>
      <c r="E954" s="50" t="s">
        <v>218</v>
      </c>
      <c r="F954" s="50" t="s">
        <v>2398</v>
      </c>
      <c r="G954" s="56">
        <v>41118</v>
      </c>
    </row>
    <row r="955" spans="1:7" x14ac:dyDescent="0.2">
      <c r="A955" s="48">
        <v>40745</v>
      </c>
      <c r="B955" s="49" t="s">
        <v>2389</v>
      </c>
      <c r="C955" s="50" t="s">
        <v>2390</v>
      </c>
      <c r="D955" s="51">
        <v>7471</v>
      </c>
      <c r="E955" s="50" t="s">
        <v>3597</v>
      </c>
      <c r="F955" s="50" t="s">
        <v>2398</v>
      </c>
      <c r="G955" s="56">
        <v>41118</v>
      </c>
    </row>
    <row r="956" spans="1:7" x14ac:dyDescent="0.2">
      <c r="A956" s="48">
        <v>40746</v>
      </c>
      <c r="B956" s="49" t="s">
        <v>3565</v>
      </c>
      <c r="C956" s="50" t="s">
        <v>3566</v>
      </c>
      <c r="D956" s="51">
        <v>7536</v>
      </c>
      <c r="E956" s="50" t="s">
        <v>218</v>
      </c>
      <c r="F956" s="50" t="s">
        <v>2398</v>
      </c>
      <c r="G956" s="56">
        <v>41118</v>
      </c>
    </row>
    <row r="957" spans="1:7" x14ac:dyDescent="0.2">
      <c r="A957" s="48">
        <v>40064</v>
      </c>
      <c r="B957" s="49" t="s">
        <v>1378</v>
      </c>
      <c r="C957" s="50" t="s">
        <v>1819</v>
      </c>
      <c r="D957" s="51">
        <v>4667</v>
      </c>
      <c r="E957" s="50" t="s">
        <v>3485</v>
      </c>
      <c r="F957" s="50" t="s">
        <v>2398</v>
      </c>
      <c r="G957" s="56">
        <v>41118</v>
      </c>
    </row>
    <row r="958" spans="1:7" x14ac:dyDescent="0.2">
      <c r="A958" s="48">
        <v>40462</v>
      </c>
      <c r="B958" s="49" t="s">
        <v>3881</v>
      </c>
      <c r="C958" s="50" t="s">
        <v>1006</v>
      </c>
      <c r="D958" s="51">
        <v>6456</v>
      </c>
      <c r="E958" s="50" t="s">
        <v>2494</v>
      </c>
      <c r="G958" s="56">
        <v>41118</v>
      </c>
    </row>
    <row r="959" spans="1:7" x14ac:dyDescent="0.2">
      <c r="A959" s="48">
        <v>40745</v>
      </c>
      <c r="B959" s="49" t="s">
        <v>1811</v>
      </c>
      <c r="C959" s="50" t="s">
        <v>1812</v>
      </c>
      <c r="D959" s="51">
        <v>7449</v>
      </c>
      <c r="E959" s="50" t="s">
        <v>218</v>
      </c>
      <c r="F959" s="50" t="s">
        <v>2398</v>
      </c>
      <c r="G959" s="56">
        <v>41118</v>
      </c>
    </row>
    <row r="960" spans="1:7" x14ac:dyDescent="0.2">
      <c r="A960" s="48">
        <v>40816</v>
      </c>
      <c r="B960" s="49" t="s">
        <v>4025</v>
      </c>
      <c r="C960" s="50" t="s">
        <v>411</v>
      </c>
      <c r="D960" s="51">
        <v>7803</v>
      </c>
      <c r="E960" s="50" t="s">
        <v>3162</v>
      </c>
      <c r="F960" s="50">
        <v>3</v>
      </c>
      <c r="G960" s="56">
        <v>41128</v>
      </c>
    </row>
    <row r="961" spans="1:7" x14ac:dyDescent="0.2">
      <c r="A961" s="196">
        <v>40716</v>
      </c>
      <c r="B961" s="195" t="s">
        <v>539</v>
      </c>
      <c r="C961" s="199" t="s">
        <v>773</v>
      </c>
      <c r="D961" s="198">
        <v>7382</v>
      </c>
      <c r="E961" s="199" t="s">
        <v>3482</v>
      </c>
      <c r="F961" s="50">
        <v>1</v>
      </c>
      <c r="G961" s="56">
        <v>41128</v>
      </c>
    </row>
    <row r="962" spans="1:7" x14ac:dyDescent="0.2">
      <c r="A962" s="196">
        <v>40745</v>
      </c>
      <c r="B962" s="195" t="s">
        <v>1813</v>
      </c>
      <c r="C962" s="199" t="s">
        <v>1814</v>
      </c>
      <c r="D962" s="198">
        <v>7446</v>
      </c>
      <c r="E962" s="199" t="s">
        <v>682</v>
      </c>
      <c r="F962" s="50" t="s">
        <v>2398</v>
      </c>
      <c r="G962" s="56">
        <v>41141</v>
      </c>
    </row>
    <row r="963" spans="1:7" x14ac:dyDescent="0.2">
      <c r="A963" s="196">
        <v>40745</v>
      </c>
      <c r="B963" s="195" t="s">
        <v>2340</v>
      </c>
      <c r="C963" s="199" t="s">
        <v>1982</v>
      </c>
      <c r="D963" s="198">
        <v>7462</v>
      </c>
      <c r="E963" s="199" t="s">
        <v>1179</v>
      </c>
      <c r="F963" s="50" t="s">
        <v>2398</v>
      </c>
      <c r="G963" s="56">
        <v>41141</v>
      </c>
    </row>
    <row r="964" spans="1:7" x14ac:dyDescent="0.2">
      <c r="A964" s="48">
        <v>40746</v>
      </c>
      <c r="B964" s="49" t="s">
        <v>729</v>
      </c>
      <c r="C964" s="50" t="s">
        <v>3566</v>
      </c>
      <c r="D964" s="51">
        <v>7529</v>
      </c>
      <c r="E964" s="50" t="s">
        <v>2494</v>
      </c>
      <c r="F964" s="50" t="s">
        <v>2398</v>
      </c>
      <c r="G964" s="56">
        <v>41141</v>
      </c>
    </row>
    <row r="965" spans="1:7" x14ac:dyDescent="0.2">
      <c r="A965" s="48">
        <v>41029</v>
      </c>
      <c r="B965" s="49" t="s">
        <v>1444</v>
      </c>
      <c r="C965" s="50" t="s">
        <v>1445</v>
      </c>
      <c r="D965" s="51">
        <v>8620</v>
      </c>
      <c r="F965" s="50">
        <v>2</v>
      </c>
      <c r="G965" s="56">
        <v>41150</v>
      </c>
    </row>
    <row r="966" spans="1:7" x14ac:dyDescent="0.2">
      <c r="A966" s="196">
        <v>40745</v>
      </c>
      <c r="B966" s="195" t="s">
        <v>1981</v>
      </c>
      <c r="C966" s="199" t="s">
        <v>1982</v>
      </c>
      <c r="D966" s="198">
        <v>7455</v>
      </c>
      <c r="E966" s="199" t="s">
        <v>2494</v>
      </c>
      <c r="F966" s="50" t="s">
        <v>2398</v>
      </c>
      <c r="G966" s="56">
        <v>41150</v>
      </c>
    </row>
    <row r="967" spans="1:7" x14ac:dyDescent="0.2">
      <c r="A967" s="48">
        <v>40745</v>
      </c>
      <c r="B967" s="49" t="s">
        <v>2339</v>
      </c>
      <c r="C967" s="50" t="s">
        <v>1982</v>
      </c>
      <c r="D967" s="51">
        <v>7458</v>
      </c>
      <c r="E967" s="50" t="s">
        <v>2494</v>
      </c>
      <c r="F967" s="50" t="s">
        <v>2398</v>
      </c>
      <c r="G967" s="56">
        <v>41150</v>
      </c>
    </row>
    <row r="968" spans="1:7" x14ac:dyDescent="0.2">
      <c r="A968" s="48">
        <v>40745</v>
      </c>
      <c r="B968" s="49" t="s">
        <v>2341</v>
      </c>
      <c r="C968" s="50" t="s">
        <v>2342</v>
      </c>
      <c r="D968" s="51">
        <v>7459</v>
      </c>
      <c r="E968" s="50" t="s">
        <v>1179</v>
      </c>
      <c r="F968" s="50" t="s">
        <v>2398</v>
      </c>
      <c r="G968" s="56">
        <v>41150</v>
      </c>
    </row>
    <row r="969" spans="1:7" x14ac:dyDescent="0.2">
      <c r="A969" s="196">
        <v>40745</v>
      </c>
      <c r="B969" s="195" t="s">
        <v>3925</v>
      </c>
      <c r="C969" s="199" t="s">
        <v>2342</v>
      </c>
      <c r="D969" s="198">
        <v>7460</v>
      </c>
      <c r="E969" s="199" t="s">
        <v>3482</v>
      </c>
      <c r="F969" s="50" t="s">
        <v>2398</v>
      </c>
      <c r="G969" s="56">
        <v>41150</v>
      </c>
    </row>
    <row r="970" spans="1:7" x14ac:dyDescent="0.2">
      <c r="A970" s="196">
        <v>40745</v>
      </c>
      <c r="B970" s="195" t="s">
        <v>3924</v>
      </c>
      <c r="C970" s="199" t="s">
        <v>2342</v>
      </c>
      <c r="D970" s="198">
        <v>7463</v>
      </c>
      <c r="E970" s="199" t="s">
        <v>3482</v>
      </c>
      <c r="F970" s="50" t="s">
        <v>2398</v>
      </c>
      <c r="G970" s="56">
        <v>41150</v>
      </c>
    </row>
    <row r="971" spans="1:7" x14ac:dyDescent="0.2">
      <c r="A971" s="48">
        <v>40732</v>
      </c>
      <c r="B971" s="49" t="s">
        <v>2463</v>
      </c>
      <c r="C971" s="50" t="s">
        <v>653</v>
      </c>
      <c r="D971" s="51">
        <v>7282</v>
      </c>
      <c r="E971" s="50" t="s">
        <v>3482</v>
      </c>
      <c r="F971" s="50">
        <v>3</v>
      </c>
      <c r="G971" s="56">
        <v>41150</v>
      </c>
    </row>
    <row r="972" spans="1:7" x14ac:dyDescent="0.2">
      <c r="A972" s="196">
        <v>40745</v>
      </c>
      <c r="B972" s="195" t="s">
        <v>2387</v>
      </c>
      <c r="C972" s="199" t="s">
        <v>2388</v>
      </c>
      <c r="D972" s="198">
        <v>7468</v>
      </c>
      <c r="E972" s="199" t="s">
        <v>343</v>
      </c>
      <c r="F972" s="50" t="s">
        <v>2398</v>
      </c>
      <c r="G972" s="56">
        <v>41150</v>
      </c>
    </row>
    <row r="973" spans="1:7" x14ac:dyDescent="0.2">
      <c r="A973" s="48">
        <v>40752</v>
      </c>
      <c r="B973" s="49" t="s">
        <v>2790</v>
      </c>
      <c r="C973" s="50" t="s">
        <v>2472</v>
      </c>
      <c r="D973" s="51">
        <v>8215</v>
      </c>
      <c r="E973" s="50" t="s">
        <v>3837</v>
      </c>
      <c r="F973" s="50">
        <v>1</v>
      </c>
      <c r="G973" s="56">
        <v>41150</v>
      </c>
    </row>
    <row r="974" spans="1:7" x14ac:dyDescent="0.2">
      <c r="A974" s="196">
        <v>40745</v>
      </c>
      <c r="B974" s="195" t="s">
        <v>1542</v>
      </c>
      <c r="C974" s="199" t="s">
        <v>942</v>
      </c>
      <c r="D974" s="198">
        <v>7466</v>
      </c>
      <c r="E974" s="199" t="s">
        <v>2494</v>
      </c>
      <c r="F974" s="50" t="s">
        <v>2398</v>
      </c>
      <c r="G974" s="56">
        <v>41150</v>
      </c>
    </row>
    <row r="975" spans="1:7" x14ac:dyDescent="0.2">
      <c r="A975" s="48">
        <v>40746</v>
      </c>
      <c r="B975" s="49" t="s">
        <v>122</v>
      </c>
      <c r="C975" s="50" t="s">
        <v>123</v>
      </c>
      <c r="D975" s="51">
        <v>7534</v>
      </c>
      <c r="E975" s="50" t="s">
        <v>3162</v>
      </c>
      <c r="F975" s="50" t="s">
        <v>2398</v>
      </c>
      <c r="G975" s="56">
        <v>41151</v>
      </c>
    </row>
    <row r="976" spans="1:7" x14ac:dyDescent="0.2">
      <c r="A976" s="48">
        <v>40746</v>
      </c>
      <c r="B976" s="49" t="s">
        <v>3992</v>
      </c>
      <c r="C976" s="50" t="s">
        <v>123</v>
      </c>
      <c r="D976" s="51">
        <v>7535</v>
      </c>
      <c r="E976" s="50" t="s">
        <v>3162</v>
      </c>
      <c r="F976" s="50" t="s">
        <v>2398</v>
      </c>
      <c r="G976" s="56">
        <v>41151</v>
      </c>
    </row>
    <row r="977" spans="1:7" x14ac:dyDescent="0.2">
      <c r="A977" s="48">
        <v>40786</v>
      </c>
      <c r="B977" s="49" t="s">
        <v>3039</v>
      </c>
      <c r="C977" s="50" t="s">
        <v>1600</v>
      </c>
      <c r="D977" s="51">
        <v>8278</v>
      </c>
      <c r="E977" s="50" t="s">
        <v>838</v>
      </c>
      <c r="F977" s="50">
        <v>1</v>
      </c>
      <c r="G977" s="56">
        <v>41151</v>
      </c>
    </row>
    <row r="978" spans="1:7" x14ac:dyDescent="0.2">
      <c r="A978" s="48">
        <v>40815</v>
      </c>
      <c r="B978" s="49" t="s">
        <v>65</v>
      </c>
      <c r="C978" s="50" t="s">
        <v>474</v>
      </c>
      <c r="D978" s="51">
        <v>1</v>
      </c>
      <c r="F978" s="50">
        <v>2</v>
      </c>
      <c r="G978" s="56">
        <v>41151</v>
      </c>
    </row>
    <row r="979" spans="1:7" x14ac:dyDescent="0.2">
      <c r="A979" s="48">
        <v>40098</v>
      </c>
      <c r="B979" s="49" t="s">
        <v>2247</v>
      </c>
      <c r="C979" s="50" t="s">
        <v>4027</v>
      </c>
      <c r="D979" s="51">
        <v>5481</v>
      </c>
      <c r="E979" s="50" t="s">
        <v>3162</v>
      </c>
      <c r="F979" s="50">
        <v>3</v>
      </c>
      <c r="G979" s="56">
        <v>41151</v>
      </c>
    </row>
    <row r="980" spans="1:7" x14ac:dyDescent="0.2">
      <c r="A980" s="48">
        <v>40371</v>
      </c>
      <c r="B980" s="49" t="s">
        <v>1379</v>
      </c>
      <c r="C980" s="50" t="s">
        <v>411</v>
      </c>
      <c r="D980" s="51">
        <v>5975</v>
      </c>
      <c r="E980" s="50" t="s">
        <v>3162</v>
      </c>
      <c r="F980" s="50">
        <v>2</v>
      </c>
      <c r="G980" s="56">
        <v>41151</v>
      </c>
    </row>
    <row r="981" spans="1:7" x14ac:dyDescent="0.2">
      <c r="A981" s="48">
        <v>40814</v>
      </c>
      <c r="B981" s="49" t="s">
        <v>2393</v>
      </c>
      <c r="C981" s="50" t="s">
        <v>2760</v>
      </c>
      <c r="D981" s="51">
        <v>8079</v>
      </c>
      <c r="F981" s="50">
        <v>3</v>
      </c>
      <c r="G981" s="56">
        <v>41151</v>
      </c>
    </row>
    <row r="982" spans="1:7" x14ac:dyDescent="0.2">
      <c r="A982" s="48">
        <v>40746</v>
      </c>
      <c r="B982" s="49" t="s">
        <v>2823</v>
      </c>
      <c r="C982" s="50" t="s">
        <v>2824</v>
      </c>
      <c r="D982" s="51">
        <v>7498</v>
      </c>
      <c r="E982" s="50" t="s">
        <v>2494</v>
      </c>
      <c r="F982" s="50" t="s">
        <v>2398</v>
      </c>
      <c r="G982" s="56">
        <v>41151</v>
      </c>
    </row>
    <row r="983" spans="1:7" x14ac:dyDescent="0.2">
      <c r="A983" s="196">
        <v>40634</v>
      </c>
      <c r="B983" s="195" t="s">
        <v>2899</v>
      </c>
      <c r="C983" s="199" t="s">
        <v>1600</v>
      </c>
      <c r="D983" s="198">
        <v>7212</v>
      </c>
      <c r="E983" s="199" t="s">
        <v>2900</v>
      </c>
      <c r="F983" s="50">
        <v>2</v>
      </c>
      <c r="G983" s="56">
        <v>41151</v>
      </c>
    </row>
    <row r="984" spans="1:7" x14ac:dyDescent="0.2">
      <c r="A984" s="48">
        <v>40746</v>
      </c>
      <c r="B984" s="49" t="s">
        <v>1962</v>
      </c>
      <c r="C984" s="50" t="s">
        <v>1961</v>
      </c>
      <c r="D984" s="51">
        <v>7483</v>
      </c>
      <c r="E984" s="50" t="s">
        <v>3162</v>
      </c>
      <c r="F984" s="50" t="s">
        <v>2398</v>
      </c>
      <c r="G984" s="56">
        <v>41151</v>
      </c>
    </row>
    <row r="985" spans="1:7" x14ac:dyDescent="0.2">
      <c r="A985" s="48">
        <v>40746</v>
      </c>
      <c r="B985" s="49" t="s">
        <v>1966</v>
      </c>
      <c r="C985" s="50" t="s">
        <v>1967</v>
      </c>
      <c r="D985" s="51">
        <v>7485</v>
      </c>
      <c r="E985" s="50" t="s">
        <v>3162</v>
      </c>
      <c r="F985" s="50" t="s">
        <v>2398</v>
      </c>
      <c r="G985" s="56">
        <v>41151</v>
      </c>
    </row>
    <row r="986" spans="1:7" x14ac:dyDescent="0.2">
      <c r="A986" s="48">
        <v>40717</v>
      </c>
      <c r="B986" s="49" t="s">
        <v>3830</v>
      </c>
      <c r="C986" s="50" t="s">
        <v>3831</v>
      </c>
      <c r="D986" s="51">
        <v>7268</v>
      </c>
      <c r="E986" s="50" t="s">
        <v>3482</v>
      </c>
      <c r="F986" s="50" t="s">
        <v>2398</v>
      </c>
      <c r="G986" s="56">
        <v>41152</v>
      </c>
    </row>
    <row r="987" spans="1:7" x14ac:dyDescent="0.2">
      <c r="A987" s="48">
        <v>40684</v>
      </c>
      <c r="B987" s="49" t="s">
        <v>1065</v>
      </c>
      <c r="C987" s="50" t="s">
        <v>1066</v>
      </c>
      <c r="D987" s="51">
        <v>7477</v>
      </c>
      <c r="E987" s="50" t="s">
        <v>838</v>
      </c>
      <c r="F987" s="50" t="s">
        <v>2398</v>
      </c>
      <c r="G987" s="56">
        <v>41152</v>
      </c>
    </row>
    <row r="988" spans="1:7" x14ac:dyDescent="0.2">
      <c r="A988" s="48">
        <v>40724</v>
      </c>
      <c r="B988" s="49" t="s">
        <v>1089</v>
      </c>
      <c r="C988" s="50" t="s">
        <v>1819</v>
      </c>
      <c r="D988" s="51">
        <v>7420</v>
      </c>
      <c r="E988" s="50" t="s">
        <v>3162</v>
      </c>
      <c r="F988" s="50">
        <v>5</v>
      </c>
      <c r="G988" s="56">
        <v>41152</v>
      </c>
    </row>
    <row r="989" spans="1:7" x14ac:dyDescent="0.2">
      <c r="A989" s="48">
        <v>40736</v>
      </c>
      <c r="B989" s="49" t="s">
        <v>3091</v>
      </c>
      <c r="C989" s="50" t="s">
        <v>392</v>
      </c>
      <c r="D989" s="51">
        <v>7283</v>
      </c>
      <c r="E989" s="50" t="s">
        <v>218</v>
      </c>
      <c r="F989" s="50">
        <v>1</v>
      </c>
      <c r="G989" s="56">
        <v>41152</v>
      </c>
    </row>
    <row r="990" spans="1:7" x14ac:dyDescent="0.2">
      <c r="A990" s="48">
        <v>40746</v>
      </c>
      <c r="B990" s="49" t="s">
        <v>1815</v>
      </c>
      <c r="C990" s="50" t="s">
        <v>3611</v>
      </c>
      <c r="D990" s="51">
        <v>7480</v>
      </c>
      <c r="E990" s="50" t="s">
        <v>2494</v>
      </c>
      <c r="F990" s="50" t="s">
        <v>2398</v>
      </c>
      <c r="G990" s="56">
        <v>41152</v>
      </c>
    </row>
    <row r="991" spans="1:7" x14ac:dyDescent="0.2">
      <c r="A991" s="48">
        <v>41054</v>
      </c>
      <c r="B991" s="49" t="s">
        <v>893</v>
      </c>
      <c r="C991" s="50">
        <v>41054</v>
      </c>
      <c r="D991" s="51">
        <v>8991</v>
      </c>
      <c r="E991" s="50" t="s">
        <v>3757</v>
      </c>
      <c r="F991" s="50">
        <v>3</v>
      </c>
      <c r="G991" s="56">
        <v>41171</v>
      </c>
    </row>
    <row r="992" spans="1:7" x14ac:dyDescent="0.2">
      <c r="A992" s="48">
        <v>40746</v>
      </c>
      <c r="B992" s="49" t="s">
        <v>2616</v>
      </c>
      <c r="C992" s="50" t="s">
        <v>2466</v>
      </c>
      <c r="D992" s="51">
        <v>7501</v>
      </c>
      <c r="E992" s="50" t="s">
        <v>850</v>
      </c>
      <c r="F992" s="50" t="s">
        <v>2398</v>
      </c>
      <c r="G992" s="56">
        <v>41173</v>
      </c>
    </row>
    <row r="993" spans="1:7" x14ac:dyDescent="0.2">
      <c r="A993" s="196">
        <v>41170</v>
      </c>
      <c r="B993" s="195" t="s">
        <v>1468</v>
      </c>
      <c r="C993" s="199" t="s">
        <v>392</v>
      </c>
      <c r="D993" s="198">
        <v>8337</v>
      </c>
      <c r="E993" s="199"/>
      <c r="G993" s="56">
        <v>41204</v>
      </c>
    </row>
    <row r="994" spans="1:7" x14ac:dyDescent="0.2">
      <c r="A994" s="196">
        <v>41180</v>
      </c>
      <c r="B994" s="195" t="s">
        <v>3306</v>
      </c>
      <c r="C994" s="199" t="s">
        <v>392</v>
      </c>
      <c r="D994" s="198">
        <v>9121</v>
      </c>
      <c r="E994" s="199"/>
      <c r="G994" s="56">
        <v>41204</v>
      </c>
    </row>
    <row r="995" spans="1:7" x14ac:dyDescent="0.2">
      <c r="A995" s="196">
        <v>41177</v>
      </c>
      <c r="B995" s="195" t="s">
        <v>3369</v>
      </c>
      <c r="C995" s="199" t="s">
        <v>1401</v>
      </c>
      <c r="D995" s="198">
        <v>9122</v>
      </c>
      <c r="E995" s="199" t="s">
        <v>2715</v>
      </c>
      <c r="F995" s="50">
        <v>2</v>
      </c>
      <c r="G995" s="56">
        <v>41206</v>
      </c>
    </row>
    <row r="996" spans="1:7" x14ac:dyDescent="0.2">
      <c r="A996" s="196">
        <v>41177</v>
      </c>
      <c r="B996" s="195" t="s">
        <v>3370</v>
      </c>
      <c r="C996" s="199" t="s">
        <v>2820</v>
      </c>
      <c r="D996" s="198">
        <v>9123</v>
      </c>
      <c r="E996" s="199" t="s">
        <v>2715</v>
      </c>
      <c r="F996" s="50">
        <v>2</v>
      </c>
      <c r="G996" s="56">
        <v>41206</v>
      </c>
    </row>
    <row r="997" spans="1:7" x14ac:dyDescent="0.2">
      <c r="A997" s="48">
        <v>41157</v>
      </c>
      <c r="B997" s="49" t="s">
        <v>1796</v>
      </c>
      <c r="C997" s="50" t="s">
        <v>474</v>
      </c>
      <c r="D997" s="51">
        <v>9134</v>
      </c>
      <c r="E997" s="50" t="s">
        <v>635</v>
      </c>
      <c r="F997" s="50">
        <v>1</v>
      </c>
      <c r="G997" s="56">
        <v>41211</v>
      </c>
    </row>
    <row r="998" spans="1:7" x14ac:dyDescent="0.2">
      <c r="A998" s="48">
        <v>41185</v>
      </c>
      <c r="B998" s="49" t="s">
        <v>2004</v>
      </c>
      <c r="C998" s="50" t="s">
        <v>474</v>
      </c>
      <c r="D998" s="51">
        <v>9129</v>
      </c>
      <c r="G998" s="56">
        <v>41211</v>
      </c>
    </row>
    <row r="999" spans="1:7" x14ac:dyDescent="0.2">
      <c r="A999" s="196">
        <v>41193</v>
      </c>
      <c r="B999" s="195" t="s">
        <v>3441</v>
      </c>
      <c r="C999" s="199" t="s">
        <v>1600</v>
      </c>
      <c r="D999" s="198">
        <v>8172</v>
      </c>
      <c r="E999" s="199"/>
      <c r="G999" s="56">
        <v>41211</v>
      </c>
    </row>
    <row r="1000" spans="1:7" x14ac:dyDescent="0.2">
      <c r="A1000" s="48">
        <v>41218</v>
      </c>
      <c r="B1000" s="49" t="s">
        <v>693</v>
      </c>
      <c r="C1000" s="50" t="s">
        <v>1819</v>
      </c>
      <c r="D1000" s="51">
        <v>8933</v>
      </c>
      <c r="G1000" s="56">
        <v>41230</v>
      </c>
    </row>
    <row r="1001" spans="1:7" x14ac:dyDescent="0.2">
      <c r="A1001" s="48">
        <v>41211</v>
      </c>
      <c r="B1001" s="49" t="s">
        <v>3846</v>
      </c>
      <c r="C1001" s="50" t="s">
        <v>474</v>
      </c>
      <c r="D1001" s="51">
        <v>8436</v>
      </c>
      <c r="G1001" s="56">
        <v>41230</v>
      </c>
    </row>
    <row r="1002" spans="1:7" x14ac:dyDescent="0.2">
      <c r="A1002" s="48">
        <v>41184</v>
      </c>
      <c r="B1002" s="49" t="s">
        <v>1361</v>
      </c>
      <c r="C1002" s="50" t="s">
        <v>474</v>
      </c>
      <c r="D1002" s="51">
        <v>8346</v>
      </c>
      <c r="G1002" s="56">
        <v>41230</v>
      </c>
    </row>
    <row r="1003" spans="1:7" x14ac:dyDescent="0.2">
      <c r="A1003" s="48">
        <v>41184</v>
      </c>
      <c r="B1003" s="49" t="s">
        <v>1362</v>
      </c>
      <c r="C1003" s="50" t="s">
        <v>474</v>
      </c>
      <c r="D1003" s="51">
        <v>8167</v>
      </c>
      <c r="G1003" s="56">
        <v>41230</v>
      </c>
    </row>
    <row r="1004" spans="1:7" x14ac:dyDescent="0.2">
      <c r="A1004" s="48">
        <v>40882</v>
      </c>
      <c r="B1004" s="49" t="s">
        <v>3994</v>
      </c>
      <c r="C1004" s="50" t="s">
        <v>474</v>
      </c>
      <c r="D1004" s="51">
        <v>8111</v>
      </c>
      <c r="F1004" s="50">
        <v>1</v>
      </c>
      <c r="G1004" s="56">
        <v>41233</v>
      </c>
    </row>
    <row r="1005" spans="1:7" x14ac:dyDescent="0.2">
      <c r="A1005" s="48">
        <v>40849</v>
      </c>
      <c r="B1005" s="49" t="s">
        <v>2904</v>
      </c>
      <c r="C1005" s="50" t="s">
        <v>3972</v>
      </c>
      <c r="D1005" s="51">
        <v>8138</v>
      </c>
      <c r="F1005" s="50">
        <v>1</v>
      </c>
      <c r="G1005" s="56">
        <v>41233</v>
      </c>
    </row>
    <row r="1006" spans="1:7" x14ac:dyDescent="0.2">
      <c r="A1006" s="196">
        <v>41226</v>
      </c>
      <c r="B1006" s="195" t="s">
        <v>2411</v>
      </c>
      <c r="C1006" s="199" t="s">
        <v>3390</v>
      </c>
      <c r="D1006" s="198">
        <v>8195</v>
      </c>
      <c r="E1006" s="199"/>
      <c r="F1006" s="50">
        <v>2</v>
      </c>
      <c r="G1006" s="56">
        <v>41241</v>
      </c>
    </row>
    <row r="1007" spans="1:7" x14ac:dyDescent="0.2">
      <c r="A1007" s="48">
        <v>41201</v>
      </c>
      <c r="B1007" s="49" t="s">
        <v>387</v>
      </c>
      <c r="C1007" s="50" t="s">
        <v>1819</v>
      </c>
      <c r="D1007" s="51">
        <v>8432</v>
      </c>
      <c r="G1007" s="56">
        <v>41253</v>
      </c>
    </row>
    <row r="1008" spans="1:7" x14ac:dyDescent="0.2">
      <c r="A1008" s="48">
        <v>41234</v>
      </c>
      <c r="B1008" s="49" t="s">
        <v>2348</v>
      </c>
      <c r="C1008" s="50" t="s">
        <v>474</v>
      </c>
      <c r="D1008" s="51">
        <v>8442</v>
      </c>
      <c r="F1008" s="50">
        <v>1</v>
      </c>
      <c r="G1008" s="56">
        <v>41253</v>
      </c>
    </row>
    <row r="1009" spans="1:7" x14ac:dyDescent="0.2">
      <c r="A1009" s="48">
        <v>41226</v>
      </c>
      <c r="B1009" s="49" t="s">
        <v>2410</v>
      </c>
      <c r="C1009" s="50" t="s">
        <v>1401</v>
      </c>
      <c r="D1009" s="51">
        <v>8439</v>
      </c>
      <c r="F1009" s="50">
        <v>2</v>
      </c>
      <c r="G1009" s="56">
        <v>41254</v>
      </c>
    </row>
    <row r="1010" spans="1:7" x14ac:dyDescent="0.2">
      <c r="A1010" s="48">
        <v>40374</v>
      </c>
      <c r="B1010" s="49" t="s">
        <v>1760</v>
      </c>
      <c r="C1010" s="50" t="s">
        <v>3354</v>
      </c>
      <c r="D1010" s="51">
        <v>5981</v>
      </c>
      <c r="E1010" s="50" t="s">
        <v>3162</v>
      </c>
      <c r="F1010" s="50">
        <v>3</v>
      </c>
      <c r="G1010" s="56">
        <v>41257</v>
      </c>
    </row>
    <row r="1011" spans="1:7" x14ac:dyDescent="0.2">
      <c r="A1011" s="48">
        <v>40745</v>
      </c>
      <c r="B1011" s="49" t="s">
        <v>1815</v>
      </c>
      <c r="C1011" s="50" t="s">
        <v>1816</v>
      </c>
      <c r="D1011" s="51">
        <v>7445</v>
      </c>
      <c r="E1011" s="50" t="s">
        <v>2494</v>
      </c>
      <c r="F1011" s="50">
        <v>2</v>
      </c>
      <c r="G1011" s="56">
        <v>41272</v>
      </c>
    </row>
    <row r="1012" spans="1:7" x14ac:dyDescent="0.2">
      <c r="A1012" s="48">
        <v>40798</v>
      </c>
      <c r="B1012" s="49" t="s">
        <v>3968</v>
      </c>
      <c r="C1012" s="50" t="s">
        <v>3969</v>
      </c>
      <c r="D1012" s="51">
        <v>7562</v>
      </c>
      <c r="E1012" s="50" t="s">
        <v>3970</v>
      </c>
      <c r="F1012" s="50">
        <v>1</v>
      </c>
      <c r="G1012" s="56">
        <v>41272</v>
      </c>
    </row>
    <row r="1013" spans="1:7" x14ac:dyDescent="0.2">
      <c r="A1013" s="48">
        <v>41180</v>
      </c>
      <c r="B1013" s="49" t="s">
        <v>549</v>
      </c>
      <c r="C1013" s="50" t="s">
        <v>1401</v>
      </c>
      <c r="D1013" s="51">
        <v>8340</v>
      </c>
      <c r="E1013" s="50" t="s">
        <v>2054</v>
      </c>
      <c r="F1013" s="50">
        <v>2</v>
      </c>
      <c r="G1013" s="56">
        <v>41272</v>
      </c>
    </row>
    <row r="1014" spans="1:7" x14ac:dyDescent="0.2">
      <c r="A1014" s="48">
        <v>41201</v>
      </c>
      <c r="B1014" s="49" t="s">
        <v>386</v>
      </c>
      <c r="C1014" s="50" t="s">
        <v>1819</v>
      </c>
      <c r="D1014" s="51">
        <v>8431</v>
      </c>
      <c r="F1014" s="50">
        <v>2</v>
      </c>
      <c r="G1014" s="56">
        <v>41291</v>
      </c>
    </row>
    <row r="1015" spans="1:7" x14ac:dyDescent="0.2">
      <c r="A1015" s="48">
        <v>41283</v>
      </c>
      <c r="B1015" s="49" t="s">
        <v>1588</v>
      </c>
      <c r="C1015" s="50" t="s">
        <v>392</v>
      </c>
      <c r="D1015" s="51">
        <v>8911</v>
      </c>
      <c r="F1015" s="50">
        <v>1</v>
      </c>
      <c r="G1015" s="56">
        <v>41297</v>
      </c>
    </row>
    <row r="1016" spans="1:7" x14ac:dyDescent="0.2">
      <c r="A1016" s="48">
        <v>41204</v>
      </c>
      <c r="B1016" s="49" t="s">
        <v>1601</v>
      </c>
      <c r="C1016" s="50" t="s">
        <v>1401</v>
      </c>
      <c r="D1016" s="51">
        <v>8430</v>
      </c>
      <c r="F1016" s="50">
        <v>2</v>
      </c>
      <c r="G1016" s="56">
        <v>41304</v>
      </c>
    </row>
    <row r="1017" spans="1:7" x14ac:dyDescent="0.2">
      <c r="A1017" s="48">
        <v>40744</v>
      </c>
      <c r="B1017" s="49" t="s">
        <v>2856</v>
      </c>
      <c r="C1017" s="50" t="s">
        <v>474</v>
      </c>
      <c r="D1017" s="51">
        <v>7147</v>
      </c>
      <c r="E1017" s="50" t="s">
        <v>774</v>
      </c>
      <c r="F1017" s="50">
        <v>1</v>
      </c>
      <c r="G1017" s="56">
        <v>41306</v>
      </c>
    </row>
    <row r="1018" spans="1:7" x14ac:dyDescent="0.2">
      <c r="A1018" s="48">
        <v>40371</v>
      </c>
      <c r="B1018" s="49" t="s">
        <v>1668</v>
      </c>
      <c r="C1018" s="50" t="s">
        <v>411</v>
      </c>
      <c r="D1018" s="51">
        <v>5976</v>
      </c>
      <c r="E1018" s="50" t="s">
        <v>3162</v>
      </c>
      <c r="F1018" s="50">
        <v>2</v>
      </c>
      <c r="G1018" s="56">
        <v>41310</v>
      </c>
    </row>
    <row r="1019" spans="1:7" x14ac:dyDescent="0.2">
      <c r="A1019" s="48">
        <v>41303</v>
      </c>
      <c r="B1019" s="49" t="s">
        <v>2771</v>
      </c>
      <c r="C1019" s="50" t="s">
        <v>474</v>
      </c>
      <c r="D1019" s="51">
        <v>8362</v>
      </c>
      <c r="E1019" s="50" t="s">
        <v>2713</v>
      </c>
      <c r="F1019" s="50">
        <v>1</v>
      </c>
      <c r="G1019" s="56">
        <v>41318</v>
      </c>
    </row>
    <row r="1020" spans="1:7" x14ac:dyDescent="0.2">
      <c r="A1020" s="48">
        <v>41297</v>
      </c>
      <c r="B1020" s="49" t="s">
        <v>556</v>
      </c>
      <c r="C1020" s="50" t="s">
        <v>1401</v>
      </c>
      <c r="D1020" s="51">
        <v>8794</v>
      </c>
      <c r="E1020" s="50" t="s">
        <v>1168</v>
      </c>
      <c r="F1020" s="50">
        <v>2</v>
      </c>
      <c r="G1020" s="56">
        <v>41318</v>
      </c>
    </row>
  </sheetData>
  <autoFilter ref="A1:G917">
    <filterColumn colId="6">
      <customFilters and="1">
        <customFilter operator="notEqual" val=" "/>
      </customFilters>
    </filterColumn>
  </autoFilter>
  <phoneticPr fontId="0" type="noConversion"/>
  <pageMargins left="0.78740157499999996" right="0.78740157499999996" top="0.984251969" bottom="0.984251969" header="0.4921259845" footer="0.4921259845"/>
  <pageSetup paperSize="9" orientation="landscape" horizontalDpi="4294967293" r:id="rId1"/>
  <headerFooter alignWithMargins="0">
    <oddHeader>&amp;Lsuivi des travaux de maintenance&amp;C&amp;"Arial,Gras"&amp;12&amp;ESCIERIE
fait&amp;R&amp;D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filterMode="1" enableFormatConditionsCalculation="0">
    <tabColor indexed="24"/>
  </sheetPr>
  <dimension ref="A1:Q25"/>
  <sheetViews>
    <sheetView topLeftCell="B1" zoomScale="115" zoomScaleNormal="55" zoomScaleSheetLayoutView="75" workbookViewId="0">
      <pane ySplit="1" topLeftCell="A2" activePane="bottomLeft" state="frozen"/>
      <selection activeCell="A63" sqref="A63:IV63"/>
      <selection pane="bottomLeft" activeCell="C22" sqref="C22"/>
    </sheetView>
  </sheetViews>
  <sheetFormatPr baseColWidth="10" defaultRowHeight="12.75" x14ac:dyDescent="0.2"/>
  <cols>
    <col min="1" max="1" width="10.140625" style="44" customWidth="1"/>
    <col min="2" max="2" width="96.5703125" style="45" customWidth="1"/>
    <col min="3" max="3" width="15.7109375" style="62" customWidth="1"/>
    <col min="4" max="4" width="7.7109375" style="63" customWidth="1"/>
    <col min="5" max="5" width="13.42578125" style="46" bestFit="1" customWidth="1"/>
    <col min="6" max="6" width="15.28515625" style="46" bestFit="1" customWidth="1"/>
    <col min="7" max="7" width="13.42578125" style="169" bestFit="1" customWidth="1"/>
    <col min="8" max="8" width="16.5703125" style="168" bestFit="1" customWidth="1"/>
    <col min="9" max="9" width="12.42578125" style="169" bestFit="1" customWidth="1"/>
    <col min="10" max="10" width="15.28515625" style="168" bestFit="1" customWidth="1"/>
    <col min="11" max="11" width="20.28515625" style="168" bestFit="1" customWidth="1"/>
  </cols>
  <sheetData>
    <row r="1" spans="1:17" s="1" customFormat="1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7" x14ac:dyDescent="0.2">
      <c r="A2" s="44">
        <v>40711</v>
      </c>
      <c r="B2" s="45" t="s">
        <v>2602</v>
      </c>
      <c r="C2" s="62" t="s">
        <v>2988</v>
      </c>
      <c r="D2" s="63">
        <v>7852</v>
      </c>
      <c r="E2" s="46" t="s">
        <v>3482</v>
      </c>
      <c r="F2" s="46">
        <v>2</v>
      </c>
      <c r="G2" s="169" t="s">
        <v>3406</v>
      </c>
    </row>
    <row r="3" spans="1:17" ht="25.5" hidden="1" x14ac:dyDescent="0.2">
      <c r="A3" s="44">
        <v>40749</v>
      </c>
      <c r="B3" s="245" t="s">
        <v>1265</v>
      </c>
      <c r="C3" s="62" t="s">
        <v>3025</v>
      </c>
      <c r="D3" s="63">
        <v>7353</v>
      </c>
      <c r="E3" s="46" t="s">
        <v>3162</v>
      </c>
      <c r="F3" s="46">
        <v>2</v>
      </c>
      <c r="G3" s="169" t="s">
        <v>3406</v>
      </c>
    </row>
    <row r="4" spans="1:17" hidden="1" x14ac:dyDescent="0.2">
      <c r="A4" s="44">
        <v>40805</v>
      </c>
      <c r="B4" s="49" t="s">
        <v>2415</v>
      </c>
      <c r="C4" s="215" t="s">
        <v>3025</v>
      </c>
      <c r="D4" s="63">
        <v>8066</v>
      </c>
      <c r="E4" s="46" t="s">
        <v>1685</v>
      </c>
      <c r="F4" s="46">
        <v>1</v>
      </c>
      <c r="G4" s="169" t="s">
        <v>3406</v>
      </c>
    </row>
    <row r="5" spans="1:17" hidden="1" x14ac:dyDescent="0.2">
      <c r="A5" s="44">
        <v>40857</v>
      </c>
      <c r="B5" s="49" t="s">
        <v>3622</v>
      </c>
      <c r="C5" s="62" t="s">
        <v>2479</v>
      </c>
      <c r="D5" s="63">
        <v>8095</v>
      </c>
      <c r="E5" s="46" t="s">
        <v>3162</v>
      </c>
      <c r="F5" s="46">
        <v>1</v>
      </c>
      <c r="G5" s="169" t="s">
        <v>3406</v>
      </c>
      <c r="I5" s="169" t="s">
        <v>1046</v>
      </c>
      <c r="Q5" s="219"/>
    </row>
    <row r="6" spans="1:17" hidden="1" x14ac:dyDescent="0.2">
      <c r="A6" s="44">
        <v>40862</v>
      </c>
      <c r="B6" s="45" t="s">
        <v>476</v>
      </c>
      <c r="C6" s="62" t="s">
        <v>3025</v>
      </c>
      <c r="D6" s="63">
        <v>8133</v>
      </c>
      <c r="E6" s="46" t="s">
        <v>3162</v>
      </c>
      <c r="F6" s="46">
        <v>1</v>
      </c>
      <c r="G6" s="169" t="s">
        <v>3406</v>
      </c>
    </row>
    <row r="7" spans="1:17" hidden="1" x14ac:dyDescent="0.2">
      <c r="A7" s="200">
        <v>40934</v>
      </c>
      <c r="B7" s="194" t="s">
        <v>2044</v>
      </c>
      <c r="C7" s="215" t="s">
        <v>2215</v>
      </c>
      <c r="D7" s="201">
        <v>8238</v>
      </c>
      <c r="E7" s="202"/>
      <c r="F7" s="46">
        <v>1</v>
      </c>
    </row>
    <row r="8" spans="1:17" x14ac:dyDescent="0.2">
      <c r="A8" s="44">
        <v>41017</v>
      </c>
      <c r="B8" s="45" t="s">
        <v>2967</v>
      </c>
      <c r="C8" s="62" t="s">
        <v>2988</v>
      </c>
      <c r="D8" s="63">
        <v>8625</v>
      </c>
      <c r="F8" s="46">
        <v>5</v>
      </c>
      <c r="G8" s="169" t="s">
        <v>3406</v>
      </c>
      <c r="H8" s="168" t="s">
        <v>3785</v>
      </c>
    </row>
    <row r="9" spans="1:17" x14ac:dyDescent="0.2">
      <c r="A9" s="44">
        <v>41017</v>
      </c>
      <c r="B9" s="49" t="s">
        <v>2401</v>
      </c>
      <c r="C9" s="62" t="s">
        <v>2988</v>
      </c>
      <c r="D9" s="63">
        <v>8623</v>
      </c>
      <c r="F9" s="46">
        <v>1</v>
      </c>
      <c r="G9" s="169" t="s">
        <v>3406</v>
      </c>
    </row>
    <row r="10" spans="1:17" ht="25.5" hidden="1" x14ac:dyDescent="0.2">
      <c r="A10" s="44">
        <v>41058</v>
      </c>
      <c r="B10" s="45" t="s">
        <v>624</v>
      </c>
      <c r="C10" s="62" t="s">
        <v>513</v>
      </c>
      <c r="D10" s="63">
        <v>8601</v>
      </c>
    </row>
    <row r="11" spans="1:17" hidden="1" x14ac:dyDescent="0.2">
      <c r="A11" s="44">
        <v>41058</v>
      </c>
      <c r="B11" s="45" t="s">
        <v>625</v>
      </c>
      <c r="C11" s="215" t="s">
        <v>2785</v>
      </c>
      <c r="D11" s="63">
        <v>8590</v>
      </c>
      <c r="E11" s="202" t="s">
        <v>2054</v>
      </c>
      <c r="F11" s="46">
        <v>3</v>
      </c>
      <c r="G11" s="169" t="s">
        <v>3406</v>
      </c>
      <c r="H11" s="168" t="s">
        <v>2053</v>
      </c>
      <c r="I11" s="213" t="s">
        <v>4037</v>
      </c>
    </row>
    <row r="12" spans="1:17" hidden="1" x14ac:dyDescent="0.2">
      <c r="A12" s="44">
        <v>41058</v>
      </c>
      <c r="B12" s="45" t="s">
        <v>626</v>
      </c>
      <c r="C12" s="215" t="s">
        <v>2785</v>
      </c>
      <c r="D12" s="63">
        <v>8591</v>
      </c>
      <c r="E12" s="202" t="s">
        <v>2054</v>
      </c>
      <c r="F12" s="46">
        <v>3</v>
      </c>
      <c r="G12" s="169" t="s">
        <v>3406</v>
      </c>
      <c r="H12" s="168" t="s">
        <v>2053</v>
      </c>
      <c r="I12" s="213" t="s">
        <v>4037</v>
      </c>
    </row>
    <row r="13" spans="1:17" hidden="1" x14ac:dyDescent="0.2">
      <c r="A13" s="44">
        <v>41149</v>
      </c>
      <c r="B13" s="45" t="s">
        <v>2359</v>
      </c>
      <c r="D13" s="63">
        <v>9144</v>
      </c>
    </row>
    <row r="14" spans="1:17" hidden="1" x14ac:dyDescent="0.2">
      <c r="A14" s="44">
        <v>41149</v>
      </c>
      <c r="B14" s="45" t="s">
        <v>2360</v>
      </c>
      <c r="D14" s="63">
        <v>9143</v>
      </c>
    </row>
    <row r="15" spans="1:17" ht="25.5" hidden="1" x14ac:dyDescent="0.2">
      <c r="A15" s="44">
        <v>41177</v>
      </c>
      <c r="B15" s="45" t="s">
        <v>1581</v>
      </c>
      <c r="C15" s="62" t="s">
        <v>3025</v>
      </c>
      <c r="D15" s="63">
        <v>9125</v>
      </c>
      <c r="E15" s="46" t="s">
        <v>2713</v>
      </c>
      <c r="F15" s="46">
        <v>1</v>
      </c>
      <c r="G15" s="169" t="s">
        <v>3406</v>
      </c>
      <c r="I15" s="169" t="s">
        <v>2714</v>
      </c>
      <c r="J15" s="217" t="s">
        <v>117</v>
      </c>
    </row>
    <row r="16" spans="1:17" hidden="1" x14ac:dyDescent="0.2">
      <c r="A16" s="44">
        <v>41191</v>
      </c>
      <c r="B16" s="45" t="s">
        <v>3575</v>
      </c>
      <c r="C16" s="62" t="s">
        <v>492</v>
      </c>
      <c r="D16" s="63">
        <v>8423</v>
      </c>
    </row>
    <row r="17" spans="1:9" ht="25.5" hidden="1" x14ac:dyDescent="0.2">
      <c r="A17" s="44">
        <v>41191</v>
      </c>
      <c r="B17" s="45" t="s">
        <v>623</v>
      </c>
      <c r="C17" s="62" t="s">
        <v>2479</v>
      </c>
      <c r="D17" s="63">
        <v>8425</v>
      </c>
      <c r="E17" s="247" t="s">
        <v>323</v>
      </c>
      <c r="F17" s="46">
        <v>2</v>
      </c>
      <c r="G17" s="169" t="s">
        <v>3406</v>
      </c>
      <c r="I17" s="213">
        <v>41331</v>
      </c>
    </row>
    <row r="18" spans="1:9" hidden="1" x14ac:dyDescent="0.2">
      <c r="A18" s="44">
        <v>41205</v>
      </c>
      <c r="B18" s="45" t="s">
        <v>1773</v>
      </c>
      <c r="C18" s="62" t="s">
        <v>3025</v>
      </c>
      <c r="D18" s="63">
        <v>8433</v>
      </c>
    </row>
    <row r="19" spans="1:9" ht="25.5" hidden="1" x14ac:dyDescent="0.2">
      <c r="A19" s="44">
        <v>41205</v>
      </c>
      <c r="B19" s="45" t="s">
        <v>2998</v>
      </c>
      <c r="C19" s="62" t="s">
        <v>2479</v>
      </c>
      <c r="D19" s="63">
        <v>8435</v>
      </c>
    </row>
    <row r="20" spans="1:9" hidden="1" x14ac:dyDescent="0.2">
      <c r="A20" s="44">
        <v>41249</v>
      </c>
      <c r="B20" s="45" t="s">
        <v>2804</v>
      </c>
      <c r="C20" s="215" t="s">
        <v>2785</v>
      </c>
      <c r="D20" s="63">
        <v>8810</v>
      </c>
    </row>
    <row r="21" spans="1:9" hidden="1" x14ac:dyDescent="0.2">
      <c r="A21" s="44">
        <v>41249</v>
      </c>
      <c r="B21" s="45" t="s">
        <v>2805</v>
      </c>
      <c r="C21" s="215" t="s">
        <v>2785</v>
      </c>
      <c r="D21" s="63">
        <v>8809</v>
      </c>
    </row>
    <row r="22" spans="1:9" x14ac:dyDescent="0.2">
      <c r="A22" s="44">
        <v>41295</v>
      </c>
      <c r="B22" s="45" t="s">
        <v>1377</v>
      </c>
      <c r="C22" s="215" t="s">
        <v>2988</v>
      </c>
      <c r="D22" s="63">
        <v>8798</v>
      </c>
    </row>
    <row r="23" spans="1:9" hidden="1" x14ac:dyDescent="0.2">
      <c r="A23" s="44">
        <v>41305</v>
      </c>
      <c r="B23" s="45" t="s">
        <v>905</v>
      </c>
      <c r="C23" s="215" t="s">
        <v>2479</v>
      </c>
      <c r="D23" s="63">
        <v>8795</v>
      </c>
      <c r="F23" s="46">
        <v>2</v>
      </c>
      <c r="G23" s="169" t="s">
        <v>3406</v>
      </c>
      <c r="H23" s="168" t="s">
        <v>4038</v>
      </c>
    </row>
    <row r="24" spans="1:9" hidden="1" x14ac:dyDescent="0.2">
      <c r="A24" s="44">
        <v>41310</v>
      </c>
      <c r="B24" s="45" t="s">
        <v>3401</v>
      </c>
      <c r="C24" s="62" t="s">
        <v>3025</v>
      </c>
      <c r="D24" s="63">
        <v>8793</v>
      </c>
    </row>
    <row r="25" spans="1:9" hidden="1" x14ac:dyDescent="0.2">
      <c r="A25" s="44">
        <v>74181</v>
      </c>
      <c r="B25" s="45" t="s">
        <v>904</v>
      </c>
      <c r="C25" s="62" t="s">
        <v>3025</v>
      </c>
      <c r="D25" s="63">
        <v>8788</v>
      </c>
    </row>
  </sheetData>
  <autoFilter ref="A1:F25">
    <filterColumn colId="2">
      <filters>
        <filter val="schilcher"/>
      </filters>
    </filterColumn>
  </autoFilter>
  <phoneticPr fontId="0" type="noConversion"/>
  <conditionalFormatting sqref="I1:I1048576">
    <cfRule type="cellIs" dxfId="15" priority="4" stopIfTrue="1" operator="equal">
      <formula>"Ok"</formula>
    </cfRule>
  </conditionalFormatting>
  <conditionalFormatting sqref="F1:F1048576">
    <cfRule type="cellIs" dxfId="14" priority="1" stopIfTrue="1" operator="equal">
      <formula>1</formula>
    </cfRule>
    <cfRule type="cellIs" dxfId="13" priority="2" stopIfTrue="1" operator="equal">
      <formula>2</formula>
    </cfRule>
    <cfRule type="cellIs" dxfId="12" priority="3" stopIfTrue="1" operator="equal">
      <formula>3</formula>
    </cfRule>
  </conditionalFormatting>
  <pageMargins left="0.25" right="0.25" top="0.75" bottom="0.75" header="0.3" footer="0.3"/>
  <pageSetup paperSize="9" scale="58" orientation="landscape" r:id="rId1"/>
  <headerFooter alignWithMargins="0">
    <oddHeader>&amp;Lsuivi des travaux de maintenance.&amp;CTRIEUR
à faire&amp;R&amp;D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>
    <tabColor indexed="24"/>
  </sheetPr>
  <dimension ref="A1:H757"/>
  <sheetViews>
    <sheetView zoomScale="115" workbookViewId="0">
      <pane ySplit="1" topLeftCell="A731" activePane="bottomLeft" state="frozen"/>
      <selection activeCell="B17" sqref="B17"/>
      <selection pane="bottomLeft" activeCell="B757" sqref="B757"/>
    </sheetView>
  </sheetViews>
  <sheetFormatPr baseColWidth="10" defaultRowHeight="12.75" x14ac:dyDescent="0.2"/>
  <cols>
    <col min="1" max="1" width="10.140625" style="48" bestFit="1" customWidth="1"/>
    <col min="2" max="2" width="89.140625" style="49" customWidth="1"/>
    <col min="3" max="3" width="8.28515625" style="69" customWidth="1"/>
    <col min="4" max="4" width="7.7109375" style="51" customWidth="1"/>
    <col min="5" max="5" width="9.5703125" style="50" customWidth="1"/>
    <col min="6" max="6" width="8" style="50" customWidth="1"/>
    <col min="7" max="7" width="15.28515625" style="41" bestFit="1" customWidth="1"/>
    <col min="8" max="8" width="15.28515625" customWidth="1"/>
  </cols>
  <sheetData>
    <row r="1" spans="1:7" ht="13.5" thickBot="1" x14ac:dyDescent="0.25">
      <c r="A1" s="73" t="s">
        <v>1472</v>
      </c>
      <c r="B1" s="74" t="s">
        <v>3221</v>
      </c>
      <c r="C1" s="82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x14ac:dyDescent="0.2">
      <c r="A2" s="179">
        <v>38784</v>
      </c>
      <c r="B2" s="180" t="s">
        <v>3841</v>
      </c>
      <c r="C2" s="181" t="s">
        <v>2479</v>
      </c>
      <c r="D2" s="182">
        <v>43</v>
      </c>
      <c r="E2" s="183"/>
      <c r="F2" s="183"/>
      <c r="G2" s="116">
        <v>39568</v>
      </c>
    </row>
    <row r="3" spans="1:7" x14ac:dyDescent="0.2">
      <c r="A3" s="48">
        <v>38784</v>
      </c>
      <c r="B3" s="49" t="s">
        <v>547</v>
      </c>
      <c r="D3" s="51">
        <v>60</v>
      </c>
    </row>
    <row r="4" spans="1:7" x14ac:dyDescent="0.2">
      <c r="A4" s="48">
        <v>38784</v>
      </c>
      <c r="B4" s="49" t="s">
        <v>3707</v>
      </c>
      <c r="D4" s="51">
        <v>95</v>
      </c>
    </row>
    <row r="5" spans="1:7" x14ac:dyDescent="0.2">
      <c r="A5" s="48">
        <v>38786</v>
      </c>
      <c r="B5" s="49" t="s">
        <v>3708</v>
      </c>
      <c r="D5" s="51">
        <v>183</v>
      </c>
    </row>
    <row r="6" spans="1:7" ht="26.25" customHeight="1" x14ac:dyDescent="0.2">
      <c r="A6" s="39">
        <v>38919</v>
      </c>
      <c r="B6" s="40" t="s">
        <v>2589</v>
      </c>
      <c r="C6" s="66"/>
      <c r="D6" s="43">
        <v>213</v>
      </c>
      <c r="E6" s="41" t="s">
        <v>3478</v>
      </c>
      <c r="F6" s="41"/>
    </row>
    <row r="7" spans="1:7" x14ac:dyDescent="0.2">
      <c r="A7" s="48">
        <v>39536</v>
      </c>
      <c r="B7" s="49" t="s">
        <v>2933</v>
      </c>
      <c r="C7" s="69" t="s">
        <v>3356</v>
      </c>
      <c r="D7" s="51">
        <v>427</v>
      </c>
      <c r="E7" s="50" t="s">
        <v>3482</v>
      </c>
      <c r="G7" s="56">
        <v>39582</v>
      </c>
    </row>
    <row r="8" spans="1:7" x14ac:dyDescent="0.2">
      <c r="A8" s="48">
        <v>39532</v>
      </c>
      <c r="B8" s="49" t="s">
        <v>1948</v>
      </c>
      <c r="C8" s="69" t="s">
        <v>2877</v>
      </c>
      <c r="D8" s="51">
        <v>428</v>
      </c>
      <c r="E8" s="50" t="s">
        <v>3478</v>
      </c>
      <c r="G8" s="56">
        <v>39818</v>
      </c>
    </row>
    <row r="9" spans="1:7" x14ac:dyDescent="0.2">
      <c r="A9" s="126">
        <v>39532</v>
      </c>
      <c r="B9" s="127" t="s">
        <v>3462</v>
      </c>
      <c r="C9" s="128" t="s">
        <v>3356</v>
      </c>
      <c r="D9" s="129">
        <v>429</v>
      </c>
      <c r="E9" s="130" t="s">
        <v>3176</v>
      </c>
      <c r="G9" s="56">
        <v>39741</v>
      </c>
    </row>
    <row r="10" spans="1:7" x14ac:dyDescent="0.2">
      <c r="A10" s="48">
        <v>39459</v>
      </c>
      <c r="B10" s="49" t="s">
        <v>557</v>
      </c>
      <c r="C10" s="69" t="s">
        <v>3361</v>
      </c>
      <c r="D10" s="51">
        <v>493</v>
      </c>
      <c r="E10" s="50" t="s">
        <v>3482</v>
      </c>
      <c r="G10" s="56">
        <v>39927</v>
      </c>
    </row>
    <row r="11" spans="1:7" ht="26.25" customHeight="1" x14ac:dyDescent="0.2">
      <c r="A11" s="52">
        <v>38841</v>
      </c>
      <c r="B11" s="54" t="s">
        <v>1561</v>
      </c>
      <c r="C11" s="67"/>
      <c r="D11" s="59">
        <v>508</v>
      </c>
      <c r="E11" s="57"/>
      <c r="F11" s="57"/>
    </row>
    <row r="12" spans="1:7" ht="26.25" customHeight="1" x14ac:dyDescent="0.2">
      <c r="A12" s="39">
        <v>38856</v>
      </c>
      <c r="B12" s="40" t="s">
        <v>2652</v>
      </c>
      <c r="C12" s="66"/>
      <c r="D12" s="43">
        <v>516</v>
      </c>
      <c r="E12" s="41" t="s">
        <v>3478</v>
      </c>
      <c r="F12" s="41"/>
    </row>
    <row r="13" spans="1:7" x14ac:dyDescent="0.2">
      <c r="A13" s="48">
        <v>39182</v>
      </c>
      <c r="B13" s="49" t="s">
        <v>1210</v>
      </c>
      <c r="D13" s="51">
        <v>519</v>
      </c>
      <c r="E13" s="50" t="s">
        <v>3480</v>
      </c>
    </row>
    <row r="14" spans="1:7" x14ac:dyDescent="0.2">
      <c r="A14" s="48">
        <v>38895</v>
      </c>
      <c r="B14" s="49" t="s">
        <v>2503</v>
      </c>
      <c r="D14" s="51">
        <v>521</v>
      </c>
      <c r="E14" s="50" t="s">
        <v>3481</v>
      </c>
    </row>
    <row r="15" spans="1:7" s="16" customFormat="1" ht="25.5" customHeight="1" x14ac:dyDescent="0.2">
      <c r="A15" s="53">
        <v>39037</v>
      </c>
      <c r="B15" s="55" t="s">
        <v>113</v>
      </c>
      <c r="C15" s="58"/>
      <c r="D15" s="60">
        <v>532</v>
      </c>
      <c r="E15" s="61" t="s">
        <v>3523</v>
      </c>
      <c r="F15" s="61"/>
      <c r="G15" s="41"/>
    </row>
    <row r="16" spans="1:7" s="16" customFormat="1" ht="25.5" customHeight="1" x14ac:dyDescent="0.2">
      <c r="A16" s="64">
        <v>39062</v>
      </c>
      <c r="B16" s="65" t="s">
        <v>2023</v>
      </c>
      <c r="C16" s="68"/>
      <c r="D16" s="70">
        <v>542</v>
      </c>
      <c r="E16" s="72" t="s">
        <v>2115</v>
      </c>
      <c r="F16" s="72"/>
      <c r="G16" s="41"/>
    </row>
    <row r="17" spans="1:7" s="16" customFormat="1" ht="25.5" customHeight="1" x14ac:dyDescent="0.2">
      <c r="A17" s="64">
        <v>39062</v>
      </c>
      <c r="B17" s="65" t="s">
        <v>475</v>
      </c>
      <c r="C17" s="68"/>
      <c r="D17" s="70">
        <v>543</v>
      </c>
      <c r="E17" s="72" t="s">
        <v>2115</v>
      </c>
      <c r="F17" s="72"/>
      <c r="G17" s="41"/>
    </row>
    <row r="18" spans="1:7" s="16" customFormat="1" ht="25.5" customHeight="1" x14ac:dyDescent="0.2">
      <c r="A18" s="53">
        <v>39063</v>
      </c>
      <c r="B18" s="55" t="s">
        <v>1353</v>
      </c>
      <c r="C18" s="58"/>
      <c r="D18" s="60">
        <v>544</v>
      </c>
      <c r="E18" s="61" t="s">
        <v>3480</v>
      </c>
      <c r="F18" s="61"/>
      <c r="G18" s="41"/>
    </row>
    <row r="19" spans="1:7" s="16" customFormat="1" ht="25.5" customHeight="1" x14ac:dyDescent="0.2">
      <c r="A19" s="53">
        <v>39066</v>
      </c>
      <c r="B19" s="55" t="s">
        <v>2308</v>
      </c>
      <c r="C19" s="58"/>
      <c r="D19" s="60">
        <v>547</v>
      </c>
      <c r="E19" s="61" t="s">
        <v>3480</v>
      </c>
      <c r="F19" s="61"/>
      <c r="G19" s="56"/>
    </row>
    <row r="20" spans="1:7" s="16" customFormat="1" ht="25.5" customHeight="1" x14ac:dyDescent="0.2">
      <c r="A20" s="53">
        <v>39094</v>
      </c>
      <c r="B20" s="55" t="s">
        <v>120</v>
      </c>
      <c r="C20" s="58"/>
      <c r="D20" s="60">
        <v>550</v>
      </c>
      <c r="E20" s="61" t="s">
        <v>2780</v>
      </c>
      <c r="F20" s="61"/>
      <c r="G20" s="41"/>
    </row>
    <row r="21" spans="1:7" s="16" customFormat="1" ht="25.5" customHeight="1" x14ac:dyDescent="0.2">
      <c r="A21" s="53">
        <v>39119</v>
      </c>
      <c r="B21" s="55" t="s">
        <v>3663</v>
      </c>
      <c r="C21" s="58"/>
      <c r="D21" s="43">
        <v>553</v>
      </c>
      <c r="E21" s="61" t="s">
        <v>3176</v>
      </c>
      <c r="F21" s="61"/>
      <c r="G21" s="41"/>
    </row>
    <row r="22" spans="1:7" s="16" customFormat="1" ht="25.5" customHeight="1" x14ac:dyDescent="0.2">
      <c r="A22" s="53">
        <v>39119</v>
      </c>
      <c r="B22" s="55" t="s">
        <v>3664</v>
      </c>
      <c r="C22" s="58"/>
      <c r="D22" s="60">
        <v>556</v>
      </c>
      <c r="E22" s="61" t="s">
        <v>2780</v>
      </c>
      <c r="F22" s="61"/>
      <c r="G22" s="41"/>
    </row>
    <row r="23" spans="1:7" s="16" customFormat="1" ht="25.5" customHeight="1" x14ac:dyDescent="0.2">
      <c r="A23" s="53">
        <v>39119</v>
      </c>
      <c r="B23" s="55" t="s">
        <v>1848</v>
      </c>
      <c r="C23" s="58"/>
      <c r="D23" s="60">
        <v>557</v>
      </c>
      <c r="E23" s="61" t="s">
        <v>3479</v>
      </c>
      <c r="F23" s="61"/>
      <c r="G23" s="41"/>
    </row>
    <row r="24" spans="1:7" s="16" customFormat="1" ht="25.5" customHeight="1" x14ac:dyDescent="0.2">
      <c r="A24" s="53">
        <v>39120</v>
      </c>
      <c r="B24" s="55" t="s">
        <v>3136</v>
      </c>
      <c r="C24" s="58"/>
      <c r="D24" s="60">
        <v>558</v>
      </c>
      <c r="E24" s="61" t="s">
        <v>3162</v>
      </c>
      <c r="F24" s="61"/>
      <c r="G24" s="41"/>
    </row>
    <row r="25" spans="1:7" x14ac:dyDescent="0.2">
      <c r="A25" s="48">
        <v>39120</v>
      </c>
      <c r="B25" s="49" t="s">
        <v>2385</v>
      </c>
      <c r="D25" s="51">
        <v>559</v>
      </c>
      <c r="E25" s="50" t="s">
        <v>3523</v>
      </c>
    </row>
    <row r="26" spans="1:7" s="16" customFormat="1" ht="25.5" customHeight="1" x14ac:dyDescent="0.2">
      <c r="A26" s="53">
        <v>39120</v>
      </c>
      <c r="B26" s="55" t="s">
        <v>1969</v>
      </c>
      <c r="C26" s="58"/>
      <c r="D26" s="60">
        <v>560</v>
      </c>
      <c r="E26" s="61" t="s">
        <v>2780</v>
      </c>
      <c r="F26" s="61"/>
      <c r="G26" s="41"/>
    </row>
    <row r="27" spans="1:7" x14ac:dyDescent="0.2">
      <c r="A27" s="48">
        <v>39120</v>
      </c>
      <c r="B27" s="49" t="s">
        <v>442</v>
      </c>
      <c r="D27" s="51">
        <v>561</v>
      </c>
      <c r="E27" s="50" t="s">
        <v>3163</v>
      </c>
    </row>
    <row r="28" spans="1:7" x14ac:dyDescent="0.2">
      <c r="A28" s="48">
        <v>39120</v>
      </c>
      <c r="B28" s="49" t="s">
        <v>3876</v>
      </c>
      <c r="D28" s="51">
        <v>562</v>
      </c>
      <c r="E28" s="50" t="s">
        <v>3480</v>
      </c>
    </row>
    <row r="29" spans="1:7" s="16" customFormat="1" ht="25.5" customHeight="1" x14ac:dyDescent="0.2">
      <c r="A29" s="53">
        <v>39119</v>
      </c>
      <c r="B29" s="55" t="s">
        <v>1746</v>
      </c>
      <c r="C29" s="58"/>
      <c r="D29" s="43">
        <v>567</v>
      </c>
      <c r="E29" s="61" t="s">
        <v>3485</v>
      </c>
      <c r="F29" s="61"/>
      <c r="G29" s="41"/>
    </row>
    <row r="30" spans="1:7" x14ac:dyDescent="0.2">
      <c r="A30" s="48">
        <v>39119</v>
      </c>
      <c r="B30" s="49" t="s">
        <v>506</v>
      </c>
      <c r="D30" s="51">
        <v>568</v>
      </c>
      <c r="E30" s="50" t="s">
        <v>3479</v>
      </c>
    </row>
    <row r="31" spans="1:7" s="16" customFormat="1" ht="25.5" customHeight="1" x14ac:dyDescent="0.2">
      <c r="A31" s="53">
        <v>39120</v>
      </c>
      <c r="B31" s="55" t="s">
        <v>3749</v>
      </c>
      <c r="C31" s="58"/>
      <c r="D31" s="60">
        <v>569</v>
      </c>
      <c r="E31" s="61" t="s">
        <v>3175</v>
      </c>
      <c r="F31" s="61"/>
      <c r="G31" s="41"/>
    </row>
    <row r="32" spans="1:7" x14ac:dyDescent="0.2">
      <c r="A32" s="48">
        <v>39120</v>
      </c>
      <c r="B32" s="49" t="s">
        <v>1035</v>
      </c>
      <c r="D32" s="51">
        <v>570</v>
      </c>
      <c r="E32" s="50" t="s">
        <v>3162</v>
      </c>
    </row>
    <row r="33" spans="1:7" s="16" customFormat="1" ht="25.5" customHeight="1" x14ac:dyDescent="0.2">
      <c r="A33" s="53">
        <v>39120</v>
      </c>
      <c r="B33" s="55" t="s">
        <v>3625</v>
      </c>
      <c r="C33" s="58"/>
      <c r="D33" s="43">
        <v>571</v>
      </c>
      <c r="E33" s="61" t="s">
        <v>3162</v>
      </c>
      <c r="F33" s="61"/>
      <c r="G33" s="41"/>
    </row>
    <row r="34" spans="1:7" s="16" customFormat="1" ht="25.5" customHeight="1" x14ac:dyDescent="0.2">
      <c r="A34" s="53">
        <v>39120</v>
      </c>
      <c r="B34" s="55" t="s">
        <v>3213</v>
      </c>
      <c r="C34" s="58"/>
      <c r="D34" s="60">
        <v>572</v>
      </c>
      <c r="E34" s="61" t="s">
        <v>2504</v>
      </c>
      <c r="F34" s="61"/>
      <c r="G34" s="41"/>
    </row>
    <row r="35" spans="1:7" s="16" customFormat="1" ht="25.5" customHeight="1" x14ac:dyDescent="0.2">
      <c r="A35" s="53">
        <v>39120</v>
      </c>
      <c r="B35" s="55" t="s">
        <v>108</v>
      </c>
      <c r="C35" s="58"/>
      <c r="D35" s="60">
        <v>573</v>
      </c>
      <c r="E35" s="61" t="s">
        <v>3175</v>
      </c>
      <c r="F35" s="61"/>
      <c r="G35" s="41"/>
    </row>
    <row r="36" spans="1:7" s="16" customFormat="1" ht="25.5" customHeight="1" x14ac:dyDescent="0.2">
      <c r="A36" s="53">
        <v>39120</v>
      </c>
      <c r="B36" s="55" t="s">
        <v>1808</v>
      </c>
      <c r="C36" s="58"/>
      <c r="D36" s="60">
        <v>574</v>
      </c>
      <c r="E36" s="61" t="s">
        <v>1562</v>
      </c>
      <c r="F36" s="61"/>
      <c r="G36" s="41"/>
    </row>
    <row r="37" spans="1:7" s="16" customFormat="1" ht="25.5" customHeight="1" x14ac:dyDescent="0.2">
      <c r="A37" s="53">
        <v>39120</v>
      </c>
      <c r="B37" s="55" t="s">
        <v>485</v>
      </c>
      <c r="C37" s="58"/>
      <c r="D37" s="60">
        <v>575</v>
      </c>
      <c r="E37" s="61" t="s">
        <v>3484</v>
      </c>
      <c r="F37" s="61"/>
      <c r="G37" s="41"/>
    </row>
    <row r="38" spans="1:7" s="16" customFormat="1" ht="25.5" customHeight="1" x14ac:dyDescent="0.2">
      <c r="A38" s="53">
        <v>39120</v>
      </c>
      <c r="B38" s="55" t="s">
        <v>821</v>
      </c>
      <c r="C38" s="58"/>
      <c r="D38" s="60">
        <v>576</v>
      </c>
      <c r="E38" s="61" t="s">
        <v>3481</v>
      </c>
      <c r="F38" s="61"/>
      <c r="G38" s="41"/>
    </row>
    <row r="39" spans="1:7" s="16" customFormat="1" ht="25.5" customHeight="1" x14ac:dyDescent="0.2">
      <c r="A39" s="53">
        <v>39120</v>
      </c>
      <c r="B39" s="55" t="s">
        <v>3877</v>
      </c>
      <c r="C39" s="58"/>
      <c r="D39" s="43">
        <v>577</v>
      </c>
      <c r="E39" s="61" t="s">
        <v>3480</v>
      </c>
      <c r="F39" s="61"/>
      <c r="G39" s="41"/>
    </row>
    <row r="40" spans="1:7" s="16" customFormat="1" ht="25.5" customHeight="1" x14ac:dyDescent="0.2">
      <c r="A40" s="53">
        <v>39120</v>
      </c>
      <c r="B40" s="55" t="s">
        <v>2975</v>
      </c>
      <c r="C40" s="58"/>
      <c r="D40" s="60">
        <v>578</v>
      </c>
      <c r="E40" s="61" t="s">
        <v>3165</v>
      </c>
      <c r="F40" s="61"/>
      <c r="G40" s="41"/>
    </row>
    <row r="41" spans="1:7" s="16" customFormat="1" ht="25.5" customHeight="1" x14ac:dyDescent="0.2">
      <c r="A41" s="53">
        <v>39120</v>
      </c>
      <c r="B41" s="55" t="s">
        <v>555</v>
      </c>
      <c r="C41" s="58"/>
      <c r="D41" s="60">
        <v>579</v>
      </c>
      <c r="E41" s="61" t="s">
        <v>3175</v>
      </c>
      <c r="F41" s="61"/>
      <c r="G41" s="41"/>
    </row>
    <row r="42" spans="1:7" s="16" customFormat="1" ht="25.5" customHeight="1" x14ac:dyDescent="0.2">
      <c r="A42" s="53">
        <v>39120</v>
      </c>
      <c r="B42" s="55" t="s">
        <v>1795</v>
      </c>
      <c r="C42" s="58"/>
      <c r="D42" s="60">
        <v>580</v>
      </c>
      <c r="E42" s="61" t="s">
        <v>2780</v>
      </c>
      <c r="F42" s="61"/>
      <c r="G42" s="41"/>
    </row>
    <row r="43" spans="1:7" x14ac:dyDescent="0.2">
      <c r="A43" s="48">
        <v>39120</v>
      </c>
      <c r="B43" s="49" t="s">
        <v>1970</v>
      </c>
      <c r="C43" s="69" t="s">
        <v>3359</v>
      </c>
      <c r="D43" s="51">
        <v>581</v>
      </c>
      <c r="E43" s="50" t="s">
        <v>3482</v>
      </c>
      <c r="F43" s="50">
        <v>5</v>
      </c>
      <c r="G43" s="56">
        <v>39769</v>
      </c>
    </row>
    <row r="44" spans="1:7" s="16" customFormat="1" ht="25.5" customHeight="1" x14ac:dyDescent="0.2">
      <c r="A44" s="53">
        <v>39120</v>
      </c>
      <c r="B44" s="55" t="s">
        <v>2935</v>
      </c>
      <c r="C44" s="58"/>
      <c r="D44" s="60">
        <v>582</v>
      </c>
      <c r="E44" s="61" t="s">
        <v>3480</v>
      </c>
      <c r="F44" s="61"/>
      <c r="G44" s="41"/>
    </row>
    <row r="45" spans="1:7" x14ac:dyDescent="0.2">
      <c r="A45" s="48">
        <v>39120</v>
      </c>
      <c r="B45" s="49" t="s">
        <v>3748</v>
      </c>
      <c r="D45" s="51">
        <v>583</v>
      </c>
      <c r="E45" s="50" t="s">
        <v>1085</v>
      </c>
    </row>
    <row r="46" spans="1:7" s="16" customFormat="1" ht="25.5" customHeight="1" x14ac:dyDescent="0.2">
      <c r="A46" s="53">
        <v>39120</v>
      </c>
      <c r="B46" s="55" t="s">
        <v>25</v>
      </c>
      <c r="C46" s="58"/>
      <c r="D46" s="60">
        <v>584</v>
      </c>
      <c r="E46" s="61" t="s">
        <v>3480</v>
      </c>
      <c r="F46" s="61"/>
      <c r="G46" s="41"/>
    </row>
    <row r="47" spans="1:7" s="16" customFormat="1" ht="25.5" customHeight="1" x14ac:dyDescent="0.2">
      <c r="A47" s="53">
        <v>39120</v>
      </c>
      <c r="B47" s="55" t="s">
        <v>2219</v>
      </c>
      <c r="C47" s="58"/>
      <c r="D47" s="60">
        <v>586</v>
      </c>
      <c r="E47" s="61" t="s">
        <v>112</v>
      </c>
      <c r="F47" s="61"/>
      <c r="G47" s="41"/>
    </row>
    <row r="48" spans="1:7" s="16" customFormat="1" ht="25.5" customHeight="1" x14ac:dyDescent="0.2">
      <c r="A48" s="53">
        <v>39120</v>
      </c>
      <c r="B48" s="55" t="s">
        <v>803</v>
      </c>
      <c r="C48" s="58"/>
      <c r="D48" s="60">
        <v>587</v>
      </c>
      <c r="E48" s="61" t="s">
        <v>3523</v>
      </c>
      <c r="F48" s="61"/>
      <c r="G48" s="41"/>
    </row>
    <row r="49" spans="1:7" s="16" customFormat="1" ht="25.5" customHeight="1" x14ac:dyDescent="0.2">
      <c r="A49" s="53">
        <v>39121</v>
      </c>
      <c r="B49" s="55" t="s">
        <v>3778</v>
      </c>
      <c r="C49" s="58"/>
      <c r="D49" s="43">
        <v>588</v>
      </c>
      <c r="E49" s="61" t="s">
        <v>1085</v>
      </c>
      <c r="F49" s="61"/>
      <c r="G49" s="41"/>
    </row>
    <row r="50" spans="1:7" s="16" customFormat="1" ht="25.5" customHeight="1" x14ac:dyDescent="0.2">
      <c r="A50" s="53">
        <v>39121</v>
      </c>
      <c r="B50" s="55" t="s">
        <v>3288</v>
      </c>
      <c r="C50" s="58"/>
      <c r="D50" s="60">
        <v>589</v>
      </c>
      <c r="E50" s="61" t="s">
        <v>3523</v>
      </c>
      <c r="F50" s="61"/>
      <c r="G50" s="41"/>
    </row>
    <row r="51" spans="1:7" s="16" customFormat="1" ht="25.5" customHeight="1" x14ac:dyDescent="0.2">
      <c r="A51" s="53">
        <v>39121</v>
      </c>
      <c r="B51" s="55" t="s">
        <v>3289</v>
      </c>
      <c r="C51" s="58"/>
      <c r="D51" s="60">
        <v>590</v>
      </c>
      <c r="E51" s="61" t="s">
        <v>3523</v>
      </c>
      <c r="F51" s="61"/>
      <c r="G51" s="41"/>
    </row>
    <row r="52" spans="1:7" s="16" customFormat="1" ht="25.5" customHeight="1" x14ac:dyDescent="0.2">
      <c r="A52" s="53">
        <v>39121</v>
      </c>
      <c r="B52" s="55" t="s">
        <v>1438</v>
      </c>
      <c r="C52" s="58"/>
      <c r="D52" s="43">
        <v>591</v>
      </c>
      <c r="E52" s="61" t="s">
        <v>3523</v>
      </c>
      <c r="F52" s="61"/>
      <c r="G52" s="41"/>
    </row>
    <row r="53" spans="1:7" s="16" customFormat="1" ht="25.5" customHeight="1" x14ac:dyDescent="0.2">
      <c r="A53" s="53">
        <v>39122</v>
      </c>
      <c r="B53" s="55" t="s">
        <v>3851</v>
      </c>
      <c r="C53" s="58"/>
      <c r="D53" s="60">
        <v>592</v>
      </c>
      <c r="E53" s="61"/>
      <c r="F53" s="61"/>
      <c r="G53" s="41"/>
    </row>
    <row r="54" spans="1:7" x14ac:dyDescent="0.2">
      <c r="A54" s="48">
        <v>39122</v>
      </c>
      <c r="B54" s="49" t="s">
        <v>804</v>
      </c>
      <c r="D54" s="51">
        <v>593</v>
      </c>
      <c r="E54" s="50" t="s">
        <v>3523</v>
      </c>
    </row>
    <row r="55" spans="1:7" ht="27.75" customHeight="1" x14ac:dyDescent="0.2">
      <c r="A55" s="39">
        <v>39125</v>
      </c>
      <c r="B55" s="40" t="s">
        <v>253</v>
      </c>
      <c r="C55" s="41"/>
      <c r="D55" s="43">
        <v>594</v>
      </c>
      <c r="E55" s="41" t="s">
        <v>3523</v>
      </c>
      <c r="F55" s="41"/>
    </row>
    <row r="56" spans="1:7" x14ac:dyDescent="0.2">
      <c r="A56" s="48">
        <v>38990</v>
      </c>
      <c r="B56" s="49" t="s">
        <v>2333</v>
      </c>
      <c r="D56" s="51">
        <v>595</v>
      </c>
    </row>
    <row r="57" spans="1:7" x14ac:dyDescent="0.2">
      <c r="A57" s="126">
        <v>39125</v>
      </c>
      <c r="B57" s="127" t="s">
        <v>1771</v>
      </c>
      <c r="C57" s="128" t="s">
        <v>3358</v>
      </c>
      <c r="D57" s="129">
        <v>596</v>
      </c>
      <c r="E57" s="130" t="s">
        <v>449</v>
      </c>
      <c r="G57" s="56">
        <v>39828</v>
      </c>
    </row>
    <row r="58" spans="1:7" s="16" customFormat="1" ht="25.5" customHeight="1" x14ac:dyDescent="0.2">
      <c r="A58" s="53">
        <v>39132</v>
      </c>
      <c r="B58" s="55" t="s">
        <v>1287</v>
      </c>
      <c r="C58" s="58"/>
      <c r="D58" s="60">
        <v>599</v>
      </c>
      <c r="E58" s="61" t="s">
        <v>3480</v>
      </c>
      <c r="F58" s="61"/>
      <c r="G58" s="41"/>
    </row>
    <row r="59" spans="1:7" s="16" customFormat="1" ht="25.5" customHeight="1" x14ac:dyDescent="0.2">
      <c r="A59" s="53">
        <v>39132</v>
      </c>
      <c r="B59" s="55" t="s">
        <v>1437</v>
      </c>
      <c r="C59" s="58"/>
      <c r="D59" s="60">
        <v>600</v>
      </c>
      <c r="E59" s="61" t="s">
        <v>3479</v>
      </c>
      <c r="F59" s="61"/>
      <c r="G59" s="41"/>
    </row>
    <row r="60" spans="1:7" s="16" customFormat="1" ht="25.5" customHeight="1" x14ac:dyDescent="0.2">
      <c r="A60" s="53">
        <v>39135</v>
      </c>
      <c r="B60" s="55" t="s">
        <v>2703</v>
      </c>
      <c r="C60" s="58"/>
      <c r="D60" s="60">
        <v>602</v>
      </c>
      <c r="E60" s="61" t="s">
        <v>2780</v>
      </c>
      <c r="F60" s="61"/>
      <c r="G60" s="41"/>
    </row>
    <row r="61" spans="1:7" x14ac:dyDescent="0.2">
      <c r="A61" s="48">
        <v>39140</v>
      </c>
      <c r="B61" s="49" t="s">
        <v>264</v>
      </c>
      <c r="D61" s="51">
        <v>604</v>
      </c>
      <c r="E61" s="50" t="s">
        <v>3475</v>
      </c>
    </row>
    <row r="62" spans="1:7" s="16" customFormat="1" ht="25.5" customHeight="1" x14ac:dyDescent="0.2">
      <c r="A62" s="53">
        <v>39153</v>
      </c>
      <c r="B62" s="55" t="s">
        <v>405</v>
      </c>
      <c r="C62" s="58"/>
      <c r="D62" s="60">
        <v>606</v>
      </c>
      <c r="E62" s="61" t="s">
        <v>3162</v>
      </c>
      <c r="F62" s="61"/>
      <c r="G62" s="41"/>
    </row>
    <row r="63" spans="1:7" s="16" customFormat="1" ht="25.5" customHeight="1" x14ac:dyDescent="0.2">
      <c r="A63" s="53">
        <v>39153</v>
      </c>
      <c r="B63" s="55" t="s">
        <v>406</v>
      </c>
      <c r="C63" s="58"/>
      <c r="D63" s="60">
        <v>607</v>
      </c>
      <c r="E63" s="61" t="s">
        <v>3478</v>
      </c>
      <c r="F63" s="61"/>
      <c r="G63" s="41"/>
    </row>
    <row r="64" spans="1:7" s="16" customFormat="1" ht="25.5" customHeight="1" x14ac:dyDescent="0.2">
      <c r="A64" s="53">
        <v>39126</v>
      </c>
      <c r="B64" s="55" t="s">
        <v>206</v>
      </c>
      <c r="C64" s="58"/>
      <c r="D64" s="43">
        <v>608</v>
      </c>
      <c r="E64" s="61" t="s">
        <v>2780</v>
      </c>
      <c r="F64" s="61"/>
      <c r="G64" s="41"/>
    </row>
    <row r="65" spans="1:7" s="16" customFormat="1" ht="25.5" customHeight="1" x14ac:dyDescent="0.2">
      <c r="A65" s="53">
        <v>39156</v>
      </c>
      <c r="B65" s="55" t="s">
        <v>2057</v>
      </c>
      <c r="C65" s="58"/>
      <c r="D65" s="43">
        <v>609</v>
      </c>
      <c r="E65" s="61" t="s">
        <v>3162</v>
      </c>
      <c r="F65" s="61"/>
      <c r="G65" s="41"/>
    </row>
    <row r="66" spans="1:7" s="16" customFormat="1" ht="25.5" customHeight="1" x14ac:dyDescent="0.2">
      <c r="A66" s="53">
        <v>39156</v>
      </c>
      <c r="B66" s="55" t="s">
        <v>907</v>
      </c>
      <c r="C66" s="58"/>
      <c r="D66" s="43">
        <v>610</v>
      </c>
      <c r="E66" s="61" t="s">
        <v>2504</v>
      </c>
      <c r="F66" s="61"/>
      <c r="G66" s="41"/>
    </row>
    <row r="67" spans="1:7" s="16" customFormat="1" ht="25.5" customHeight="1" x14ac:dyDescent="0.2">
      <c r="A67" s="53">
        <v>39156</v>
      </c>
      <c r="B67" s="55" t="s">
        <v>2076</v>
      </c>
      <c r="C67" s="58"/>
      <c r="D67" s="60">
        <v>613</v>
      </c>
      <c r="E67" s="61" t="s">
        <v>3478</v>
      </c>
      <c r="F67" s="61"/>
      <c r="G67" s="41"/>
    </row>
    <row r="68" spans="1:7" x14ac:dyDescent="0.2">
      <c r="A68" s="48">
        <v>39156</v>
      </c>
      <c r="B68" s="49" t="s">
        <v>3510</v>
      </c>
      <c r="D68" s="51">
        <v>614</v>
      </c>
      <c r="E68" s="50" t="s">
        <v>3523</v>
      </c>
    </row>
    <row r="69" spans="1:7" s="16" customFormat="1" ht="25.5" customHeight="1" x14ac:dyDescent="0.2">
      <c r="A69" s="53">
        <v>39156</v>
      </c>
      <c r="B69" s="55" t="s">
        <v>3762</v>
      </c>
      <c r="C69" s="58"/>
      <c r="D69" s="43">
        <v>615</v>
      </c>
      <c r="E69" s="61" t="s">
        <v>2504</v>
      </c>
      <c r="F69" s="61"/>
      <c r="G69" s="41"/>
    </row>
    <row r="70" spans="1:7" s="16" customFormat="1" ht="25.5" customHeight="1" x14ac:dyDescent="0.2">
      <c r="A70" s="53">
        <v>39156</v>
      </c>
      <c r="B70" s="55" t="s">
        <v>2573</v>
      </c>
      <c r="C70" s="58"/>
      <c r="D70" s="60">
        <v>616</v>
      </c>
      <c r="E70" s="61" t="s">
        <v>3165</v>
      </c>
      <c r="F70" s="61"/>
      <c r="G70" s="41"/>
    </row>
    <row r="71" spans="1:7" s="16" customFormat="1" ht="25.5" customHeight="1" x14ac:dyDescent="0.2">
      <c r="A71" s="53">
        <v>39156</v>
      </c>
      <c r="B71" s="55" t="s">
        <v>2937</v>
      </c>
      <c r="C71" s="58"/>
      <c r="D71" s="60">
        <v>617</v>
      </c>
      <c r="E71" s="61" t="s">
        <v>2504</v>
      </c>
      <c r="F71" s="61"/>
      <c r="G71" s="41"/>
    </row>
    <row r="72" spans="1:7" s="16" customFormat="1" ht="25.5" customHeight="1" x14ac:dyDescent="0.2">
      <c r="A72" s="53">
        <v>39156</v>
      </c>
      <c r="B72" s="55" t="s">
        <v>55</v>
      </c>
      <c r="C72" s="58"/>
      <c r="D72" s="43">
        <v>618</v>
      </c>
      <c r="E72" s="61" t="s">
        <v>2504</v>
      </c>
      <c r="F72" s="61"/>
      <c r="G72" s="41"/>
    </row>
    <row r="73" spans="1:7" s="16" customFormat="1" ht="25.5" customHeight="1" x14ac:dyDescent="0.2">
      <c r="A73" s="53">
        <v>39156</v>
      </c>
      <c r="B73" s="55" t="s">
        <v>56</v>
      </c>
      <c r="C73" s="58"/>
      <c r="D73" s="43">
        <v>618</v>
      </c>
      <c r="E73" s="61" t="s">
        <v>2504</v>
      </c>
      <c r="F73" s="61"/>
      <c r="G73" s="41"/>
    </row>
    <row r="74" spans="1:7" s="16" customFormat="1" ht="25.5" customHeight="1" x14ac:dyDescent="0.2">
      <c r="A74" s="53">
        <v>39156</v>
      </c>
      <c r="B74" s="55" t="s">
        <v>918</v>
      </c>
      <c r="C74" s="58"/>
      <c r="D74" s="60">
        <v>620</v>
      </c>
      <c r="E74" s="61" t="s">
        <v>3165</v>
      </c>
      <c r="F74" s="61"/>
      <c r="G74" s="41"/>
    </row>
    <row r="75" spans="1:7" s="16" customFormat="1" ht="25.5" customHeight="1" x14ac:dyDescent="0.2">
      <c r="A75" s="53">
        <v>39156</v>
      </c>
      <c r="B75" s="55" t="s">
        <v>2544</v>
      </c>
      <c r="C75" s="58"/>
      <c r="D75" s="60">
        <v>621</v>
      </c>
      <c r="E75" s="61" t="s">
        <v>3478</v>
      </c>
      <c r="F75" s="61"/>
      <c r="G75" s="41"/>
    </row>
    <row r="76" spans="1:7" s="16" customFormat="1" ht="25.5" customHeight="1" x14ac:dyDescent="0.2">
      <c r="A76" s="53">
        <v>39162</v>
      </c>
      <c r="B76" s="55" t="s">
        <v>1947</v>
      </c>
      <c r="C76" s="58"/>
      <c r="D76" s="43">
        <v>622</v>
      </c>
      <c r="E76" s="61" t="s">
        <v>3162</v>
      </c>
      <c r="F76" s="61"/>
      <c r="G76" s="41"/>
    </row>
    <row r="77" spans="1:7" s="16" customFormat="1" ht="25.5" customHeight="1" x14ac:dyDescent="0.2">
      <c r="A77" s="53">
        <v>39167</v>
      </c>
      <c r="B77" s="55" t="s">
        <v>1462</v>
      </c>
      <c r="C77" s="58"/>
      <c r="D77" s="43">
        <v>623</v>
      </c>
      <c r="E77" s="61" t="s">
        <v>1577</v>
      </c>
      <c r="F77" s="61"/>
      <c r="G77" s="41"/>
    </row>
    <row r="78" spans="1:7" s="16" customFormat="1" ht="25.5" customHeight="1" x14ac:dyDescent="0.2">
      <c r="A78" s="53">
        <v>39183</v>
      </c>
      <c r="B78" s="55" t="s">
        <v>1317</v>
      </c>
      <c r="C78" s="58"/>
      <c r="D78" s="43">
        <v>624</v>
      </c>
      <c r="E78" s="61" t="s">
        <v>3523</v>
      </c>
      <c r="F78" s="61"/>
      <c r="G78" s="41"/>
    </row>
    <row r="79" spans="1:7" s="16" customFormat="1" ht="25.5" customHeight="1" x14ac:dyDescent="0.2">
      <c r="A79" s="53">
        <v>39183</v>
      </c>
      <c r="B79" s="55" t="s">
        <v>3334</v>
      </c>
      <c r="C79" s="58"/>
      <c r="D79" s="43">
        <v>625</v>
      </c>
      <c r="E79" s="61" t="s">
        <v>3523</v>
      </c>
      <c r="F79" s="61"/>
      <c r="G79" s="41"/>
    </row>
    <row r="80" spans="1:7" s="16" customFormat="1" ht="25.5" customHeight="1" x14ac:dyDescent="0.2">
      <c r="A80" s="53">
        <v>39183</v>
      </c>
      <c r="B80" s="55" t="s">
        <v>1209</v>
      </c>
      <c r="C80" s="58"/>
      <c r="D80" s="43">
        <v>626</v>
      </c>
      <c r="E80" s="61" t="s">
        <v>2504</v>
      </c>
      <c r="F80" s="61"/>
      <c r="G80" s="41"/>
    </row>
    <row r="81" spans="1:7" s="16" customFormat="1" ht="25.5" customHeight="1" x14ac:dyDescent="0.2">
      <c r="A81" s="53">
        <v>39185</v>
      </c>
      <c r="B81" s="55" t="s">
        <v>3121</v>
      </c>
      <c r="C81" s="58"/>
      <c r="D81" s="43">
        <v>627</v>
      </c>
      <c r="E81" s="61" t="s">
        <v>3162</v>
      </c>
      <c r="F81" s="61"/>
      <c r="G81" s="41"/>
    </row>
    <row r="82" spans="1:7" x14ac:dyDescent="0.2">
      <c r="A82" s="126">
        <v>39428</v>
      </c>
      <c r="B82" s="127" t="s">
        <v>755</v>
      </c>
      <c r="C82" s="128"/>
      <c r="D82" s="129">
        <v>630</v>
      </c>
      <c r="E82" s="130" t="s">
        <v>3478</v>
      </c>
    </row>
    <row r="83" spans="1:7" x14ac:dyDescent="0.2">
      <c r="A83" s="48">
        <v>38993</v>
      </c>
      <c r="B83" s="49" t="s">
        <v>3031</v>
      </c>
      <c r="D83" s="51">
        <v>637</v>
      </c>
      <c r="E83" s="50" t="s">
        <v>3481</v>
      </c>
    </row>
    <row r="84" spans="1:7" ht="26.25" customHeight="1" x14ac:dyDescent="0.2">
      <c r="A84" s="39">
        <v>38923</v>
      </c>
      <c r="B84" s="40" t="s">
        <v>1619</v>
      </c>
      <c r="C84" s="66"/>
      <c r="D84" s="43">
        <v>813</v>
      </c>
      <c r="E84" s="41" t="s">
        <v>3484</v>
      </c>
      <c r="F84" s="41"/>
    </row>
    <row r="85" spans="1:7" x14ac:dyDescent="0.2">
      <c r="A85" s="48">
        <v>38923</v>
      </c>
      <c r="B85" s="49" t="s">
        <v>1348</v>
      </c>
      <c r="C85" s="69" t="s">
        <v>3357</v>
      </c>
      <c r="D85" s="51">
        <v>817</v>
      </c>
      <c r="E85" s="50" t="s">
        <v>3176</v>
      </c>
      <c r="G85" s="56">
        <v>39764</v>
      </c>
    </row>
    <row r="86" spans="1:7" s="16" customFormat="1" ht="25.5" customHeight="1" x14ac:dyDescent="0.2">
      <c r="A86" s="53">
        <v>39008</v>
      </c>
      <c r="B86" s="55" t="s">
        <v>553</v>
      </c>
      <c r="C86" s="58"/>
      <c r="D86" s="60">
        <v>842</v>
      </c>
      <c r="E86" s="61" t="s">
        <v>3486</v>
      </c>
      <c r="F86" s="61"/>
      <c r="G86" s="41"/>
    </row>
    <row r="87" spans="1:7" s="16" customFormat="1" ht="25.5" customHeight="1" x14ac:dyDescent="0.2">
      <c r="A87" s="53">
        <v>39021</v>
      </c>
      <c r="B87" s="55" t="s">
        <v>3548</v>
      </c>
      <c r="C87" s="58"/>
      <c r="D87" s="60">
        <v>862</v>
      </c>
      <c r="E87" s="61" t="s">
        <v>433</v>
      </c>
      <c r="F87" s="61"/>
      <c r="G87" s="41"/>
    </row>
    <row r="88" spans="1:7" x14ac:dyDescent="0.2">
      <c r="A88" s="48">
        <v>38930</v>
      </c>
      <c r="B88" s="49" t="s">
        <v>1487</v>
      </c>
      <c r="C88" s="69" t="s">
        <v>3358</v>
      </c>
      <c r="D88" s="51">
        <v>889</v>
      </c>
      <c r="E88" s="50" t="s">
        <v>3650</v>
      </c>
      <c r="G88" s="56">
        <v>39828</v>
      </c>
    </row>
    <row r="89" spans="1:7" ht="24.75" customHeight="1" x14ac:dyDescent="0.2">
      <c r="A89" s="39">
        <v>38947</v>
      </c>
      <c r="B89" s="40" t="s">
        <v>2996</v>
      </c>
      <c r="C89" s="66"/>
      <c r="D89" s="43">
        <v>903</v>
      </c>
      <c r="E89" s="41" t="s">
        <v>3709</v>
      </c>
      <c r="F89" s="41"/>
    </row>
    <row r="90" spans="1:7" ht="24.75" customHeight="1" x14ac:dyDescent="0.2">
      <c r="A90" s="39">
        <v>38959</v>
      </c>
      <c r="B90" s="40" t="s">
        <v>2943</v>
      </c>
      <c r="C90" s="66"/>
      <c r="D90" s="43">
        <v>919</v>
      </c>
      <c r="E90" s="41" t="s">
        <v>3175</v>
      </c>
      <c r="F90" s="41"/>
    </row>
    <row r="91" spans="1:7" x14ac:dyDescent="0.2">
      <c r="A91" s="48">
        <v>38839</v>
      </c>
      <c r="B91" s="49" t="s">
        <v>1717</v>
      </c>
      <c r="D91" s="51">
        <v>946</v>
      </c>
    </row>
    <row r="92" spans="1:7" ht="24.75" customHeight="1" x14ac:dyDescent="0.2">
      <c r="A92" s="52">
        <v>38965</v>
      </c>
      <c r="B92" s="54" t="s">
        <v>1753</v>
      </c>
      <c r="C92" s="67"/>
      <c r="D92" s="59">
        <v>952</v>
      </c>
      <c r="E92" s="57" t="s">
        <v>1562</v>
      </c>
      <c r="F92" s="57"/>
    </row>
    <row r="93" spans="1:7" x14ac:dyDescent="0.2">
      <c r="A93" s="48">
        <v>38982</v>
      </c>
      <c r="B93" s="49" t="s">
        <v>3030</v>
      </c>
      <c r="D93" s="51">
        <v>994</v>
      </c>
      <c r="E93" s="50" t="s">
        <v>3162</v>
      </c>
    </row>
    <row r="94" spans="1:7" s="16" customFormat="1" ht="25.5" customHeight="1" x14ac:dyDescent="0.2">
      <c r="A94" s="53">
        <v>39046</v>
      </c>
      <c r="B94" s="55" t="s">
        <v>1039</v>
      </c>
      <c r="C94" s="58"/>
      <c r="D94" s="60">
        <v>1030</v>
      </c>
      <c r="E94" s="61" t="s">
        <v>3032</v>
      </c>
      <c r="F94" s="61"/>
      <c r="G94" s="41"/>
    </row>
    <row r="95" spans="1:7" s="16" customFormat="1" ht="25.5" customHeight="1" x14ac:dyDescent="0.2">
      <c r="A95" s="53">
        <v>39037</v>
      </c>
      <c r="B95" s="55" t="s">
        <v>1879</v>
      </c>
      <c r="C95" s="58"/>
      <c r="D95" s="60">
        <v>1099</v>
      </c>
      <c r="E95" s="61" t="s">
        <v>3032</v>
      </c>
      <c r="F95" s="61"/>
      <c r="G95" s="41"/>
    </row>
    <row r="96" spans="1:7" s="16" customFormat="1" ht="25.5" customHeight="1" x14ac:dyDescent="0.2">
      <c r="A96" s="39">
        <v>39044</v>
      </c>
      <c r="B96" s="40" t="s">
        <v>2386</v>
      </c>
      <c r="C96" s="66"/>
      <c r="D96" s="43">
        <v>1109</v>
      </c>
      <c r="E96" s="41" t="s">
        <v>3486</v>
      </c>
      <c r="F96" s="61"/>
      <c r="G96" s="41"/>
    </row>
    <row r="97" spans="1:7" s="16" customFormat="1" ht="25.5" customHeight="1" x14ac:dyDescent="0.2">
      <c r="A97" s="53">
        <v>39055</v>
      </c>
      <c r="B97" s="55" t="s">
        <v>2402</v>
      </c>
      <c r="C97" s="58"/>
      <c r="D97" s="60">
        <v>1129</v>
      </c>
      <c r="E97" s="61" t="s">
        <v>2504</v>
      </c>
      <c r="F97" s="61"/>
      <c r="G97" s="41"/>
    </row>
    <row r="98" spans="1:7" s="16" customFormat="1" ht="25.5" customHeight="1" x14ac:dyDescent="0.2">
      <c r="A98" s="53">
        <v>39055</v>
      </c>
      <c r="B98" s="55" t="s">
        <v>2148</v>
      </c>
      <c r="C98" s="58"/>
      <c r="D98" s="60">
        <v>1130</v>
      </c>
      <c r="E98" s="61" t="s">
        <v>3032</v>
      </c>
      <c r="F98" s="61"/>
      <c r="G98" s="41"/>
    </row>
    <row r="99" spans="1:7" x14ac:dyDescent="0.2">
      <c r="A99" s="48">
        <v>39055</v>
      </c>
      <c r="B99" s="49" t="s">
        <v>3591</v>
      </c>
      <c r="D99" s="51">
        <v>1135</v>
      </c>
      <c r="E99" s="50" t="s">
        <v>2789</v>
      </c>
    </row>
    <row r="100" spans="1:7" s="16" customFormat="1" ht="25.5" customHeight="1" x14ac:dyDescent="0.2">
      <c r="A100" s="53">
        <v>39051</v>
      </c>
      <c r="B100" s="55" t="s">
        <v>526</v>
      </c>
      <c r="C100" s="58"/>
      <c r="D100" s="60">
        <v>1194</v>
      </c>
      <c r="E100" s="61" t="s">
        <v>2504</v>
      </c>
      <c r="F100" s="61"/>
      <c r="G100" s="41"/>
    </row>
    <row r="101" spans="1:7" s="16" customFormat="1" ht="25.5" customHeight="1" x14ac:dyDescent="0.2">
      <c r="A101" s="53">
        <v>39124</v>
      </c>
      <c r="B101" s="55" t="s">
        <v>1971</v>
      </c>
      <c r="C101" s="58"/>
      <c r="D101" s="43">
        <v>1270</v>
      </c>
      <c r="E101" s="61" t="s">
        <v>3162</v>
      </c>
      <c r="F101" s="61"/>
      <c r="G101" s="41"/>
    </row>
    <row r="102" spans="1:7" s="16" customFormat="1" ht="25.5" customHeight="1" x14ac:dyDescent="0.2">
      <c r="A102" s="53">
        <v>39073</v>
      </c>
      <c r="B102" s="55" t="s">
        <v>2400</v>
      </c>
      <c r="C102" s="58"/>
      <c r="D102" s="60">
        <v>1305</v>
      </c>
      <c r="E102" s="61" t="s">
        <v>3486</v>
      </c>
      <c r="F102" s="61"/>
      <c r="G102" s="41"/>
    </row>
    <row r="103" spans="1:7" s="16" customFormat="1" ht="25.5" customHeight="1" x14ac:dyDescent="0.2">
      <c r="A103" s="53">
        <v>39091</v>
      </c>
      <c r="B103" s="55" t="s">
        <v>3474</v>
      </c>
      <c r="C103" s="58"/>
      <c r="D103" s="60">
        <v>1320</v>
      </c>
      <c r="E103" s="61" t="s">
        <v>3475</v>
      </c>
      <c r="F103" s="61"/>
      <c r="G103" s="41"/>
    </row>
    <row r="104" spans="1:7" s="16" customFormat="1" ht="25.5" customHeight="1" x14ac:dyDescent="0.2">
      <c r="A104" s="53">
        <v>39091</v>
      </c>
      <c r="B104" s="55" t="s">
        <v>3476</v>
      </c>
      <c r="C104" s="58"/>
      <c r="D104" s="60">
        <v>1321</v>
      </c>
      <c r="E104" s="61" t="s">
        <v>3475</v>
      </c>
      <c r="F104" s="61"/>
      <c r="G104" s="41"/>
    </row>
    <row r="105" spans="1:7" s="16" customFormat="1" ht="25.5" customHeight="1" x14ac:dyDescent="0.2">
      <c r="A105" s="53">
        <v>39091</v>
      </c>
      <c r="B105" s="55" t="s">
        <v>3477</v>
      </c>
      <c r="C105" s="58"/>
      <c r="D105" s="60">
        <v>1323</v>
      </c>
      <c r="E105" s="61" t="s">
        <v>3475</v>
      </c>
      <c r="F105" s="61"/>
      <c r="G105" s="41"/>
    </row>
    <row r="106" spans="1:7" s="16" customFormat="1" ht="25.5" customHeight="1" x14ac:dyDescent="0.2">
      <c r="A106" s="53">
        <v>39091</v>
      </c>
      <c r="B106" s="55" t="s">
        <v>554</v>
      </c>
      <c r="C106" s="58"/>
      <c r="D106" s="43">
        <v>1327</v>
      </c>
      <c r="E106" s="61" t="s">
        <v>3486</v>
      </c>
      <c r="F106" s="61"/>
      <c r="G106" s="41"/>
    </row>
    <row r="107" spans="1:7" s="16" customFormat="1" ht="25.5" customHeight="1" x14ac:dyDescent="0.2">
      <c r="A107" s="53">
        <v>39091</v>
      </c>
      <c r="B107" s="55" t="s">
        <v>2676</v>
      </c>
      <c r="C107" s="58"/>
      <c r="D107" s="60">
        <v>1360</v>
      </c>
      <c r="E107" s="61" t="s">
        <v>3486</v>
      </c>
      <c r="F107" s="61"/>
      <c r="G107" s="41"/>
    </row>
    <row r="108" spans="1:7" s="16" customFormat="1" ht="25.5" customHeight="1" x14ac:dyDescent="0.2">
      <c r="A108" s="53">
        <v>39099</v>
      </c>
      <c r="B108" s="55" t="s">
        <v>1847</v>
      </c>
      <c r="C108" s="58"/>
      <c r="D108" s="60">
        <v>1363</v>
      </c>
      <c r="E108" s="61" t="s">
        <v>3486</v>
      </c>
      <c r="F108" s="61"/>
      <c r="G108" s="41"/>
    </row>
    <row r="109" spans="1:7" s="16" customFormat="1" ht="25.5" customHeight="1" x14ac:dyDescent="0.2">
      <c r="A109" s="53">
        <v>39113</v>
      </c>
      <c r="B109" s="55" t="s">
        <v>3492</v>
      </c>
      <c r="C109" s="58"/>
      <c r="D109" s="60">
        <v>1367</v>
      </c>
      <c r="E109" s="61" t="s">
        <v>425</v>
      </c>
      <c r="F109" s="61"/>
      <c r="G109" s="41"/>
    </row>
    <row r="110" spans="1:7" x14ac:dyDescent="0.2">
      <c r="A110" s="126">
        <v>39356</v>
      </c>
      <c r="B110" s="127" t="s">
        <v>2448</v>
      </c>
      <c r="C110" s="128"/>
      <c r="D110" s="129">
        <v>1370</v>
      </c>
      <c r="E110" s="130" t="s">
        <v>2449</v>
      </c>
    </row>
    <row r="111" spans="1:7" s="16" customFormat="1" ht="25.5" customHeight="1" x14ac:dyDescent="0.2">
      <c r="A111" s="53">
        <v>39119</v>
      </c>
      <c r="B111" s="55" t="s">
        <v>2103</v>
      </c>
      <c r="C111" s="58"/>
      <c r="D111" s="60">
        <v>1379</v>
      </c>
      <c r="E111" s="61" t="s">
        <v>3338</v>
      </c>
      <c r="F111" s="61"/>
      <c r="G111" s="41"/>
    </row>
    <row r="112" spans="1:7" s="16" customFormat="1" ht="25.5" customHeight="1" x14ac:dyDescent="0.2">
      <c r="A112" s="53">
        <v>39100</v>
      </c>
      <c r="B112" s="55" t="s">
        <v>2750</v>
      </c>
      <c r="C112" s="58"/>
      <c r="D112" s="60">
        <v>1387</v>
      </c>
      <c r="E112" s="61" t="s">
        <v>3478</v>
      </c>
      <c r="F112" s="61"/>
      <c r="G112" s="41"/>
    </row>
    <row r="113" spans="1:7" x14ac:dyDescent="0.2">
      <c r="A113" s="48">
        <v>39099</v>
      </c>
      <c r="B113" s="49" t="s">
        <v>953</v>
      </c>
      <c r="C113" s="69" t="s">
        <v>3893</v>
      </c>
      <c r="D113" s="51">
        <v>1399</v>
      </c>
      <c r="E113" s="50" t="s">
        <v>954</v>
      </c>
      <c r="G113" s="56">
        <v>39890</v>
      </c>
    </row>
    <row r="114" spans="1:7" s="16" customFormat="1" ht="25.5" customHeight="1" x14ac:dyDescent="0.2">
      <c r="A114" s="53">
        <v>39114</v>
      </c>
      <c r="B114" s="55" t="s">
        <v>2634</v>
      </c>
      <c r="C114" s="58"/>
      <c r="D114" s="60">
        <v>1401</v>
      </c>
      <c r="E114" s="61" t="s">
        <v>3482</v>
      </c>
      <c r="F114" s="61"/>
      <c r="G114" s="41"/>
    </row>
    <row r="115" spans="1:7" s="16" customFormat="1" ht="25.5" customHeight="1" x14ac:dyDescent="0.2">
      <c r="A115" s="53">
        <v>39114</v>
      </c>
      <c r="B115" s="55" t="s">
        <v>1994</v>
      </c>
      <c r="C115" s="58"/>
      <c r="D115" s="60">
        <v>1405</v>
      </c>
      <c r="E115" s="61" t="s">
        <v>1562</v>
      </c>
      <c r="F115" s="61"/>
      <c r="G115" s="41"/>
    </row>
    <row r="116" spans="1:7" s="16" customFormat="1" ht="25.5" customHeight="1" x14ac:dyDescent="0.2">
      <c r="A116" s="53">
        <v>39114</v>
      </c>
      <c r="B116" s="55" t="s">
        <v>134</v>
      </c>
      <c r="C116" s="58"/>
      <c r="D116" s="60">
        <v>1406</v>
      </c>
      <c r="E116" s="61" t="s">
        <v>135</v>
      </c>
      <c r="F116" s="61"/>
      <c r="G116" s="41"/>
    </row>
    <row r="117" spans="1:7" s="16" customFormat="1" ht="25.5" customHeight="1" x14ac:dyDescent="0.2">
      <c r="A117" s="53">
        <v>39118</v>
      </c>
      <c r="B117" s="55" t="s">
        <v>514</v>
      </c>
      <c r="C117" s="58"/>
      <c r="D117" s="43">
        <v>1418</v>
      </c>
      <c r="E117" s="61" t="s">
        <v>135</v>
      </c>
      <c r="F117" s="61"/>
      <c r="G117" s="41"/>
    </row>
    <row r="118" spans="1:7" x14ac:dyDescent="0.2">
      <c r="A118" s="48">
        <v>39118</v>
      </c>
      <c r="B118" s="49" t="s">
        <v>1167</v>
      </c>
      <c r="D118" s="51">
        <v>1420</v>
      </c>
      <c r="E118" s="50" t="s">
        <v>1562</v>
      </c>
    </row>
    <row r="119" spans="1:7" s="16" customFormat="1" ht="25.5" customHeight="1" x14ac:dyDescent="0.2">
      <c r="A119" s="53">
        <v>39118</v>
      </c>
      <c r="B119" s="55" t="s">
        <v>563</v>
      </c>
      <c r="C119" s="58"/>
      <c r="D119" s="60">
        <v>1421</v>
      </c>
      <c r="E119" s="61" t="s">
        <v>3032</v>
      </c>
      <c r="F119" s="61"/>
      <c r="G119" s="41"/>
    </row>
    <row r="120" spans="1:7" x14ac:dyDescent="0.2">
      <c r="A120" s="48">
        <v>39118</v>
      </c>
      <c r="B120" s="49" t="s">
        <v>3282</v>
      </c>
      <c r="D120" s="51">
        <v>1422</v>
      </c>
      <c r="E120" s="50" t="s">
        <v>3032</v>
      </c>
    </row>
    <row r="121" spans="1:7" s="16" customFormat="1" ht="25.5" customHeight="1" x14ac:dyDescent="0.2">
      <c r="A121" s="53">
        <v>39091</v>
      </c>
      <c r="B121" s="55" t="s">
        <v>1398</v>
      </c>
      <c r="C121" s="58"/>
      <c r="D121" s="60">
        <v>1425</v>
      </c>
      <c r="E121" s="61" t="s">
        <v>3175</v>
      </c>
      <c r="F121" s="61"/>
      <c r="G121" s="41"/>
    </row>
    <row r="122" spans="1:7" s="16" customFormat="1" ht="25.5" customHeight="1" x14ac:dyDescent="0.2">
      <c r="A122" s="53">
        <v>39091</v>
      </c>
      <c r="B122" s="55" t="s">
        <v>1079</v>
      </c>
      <c r="C122" s="58"/>
      <c r="D122" s="60">
        <v>1426</v>
      </c>
      <c r="E122" s="61" t="s">
        <v>3032</v>
      </c>
      <c r="F122" s="61"/>
      <c r="G122" s="41"/>
    </row>
    <row r="123" spans="1:7" s="16" customFormat="1" ht="12" x14ac:dyDescent="0.2">
      <c r="A123" s="53">
        <v>39119</v>
      </c>
      <c r="B123" s="55" t="s">
        <v>2294</v>
      </c>
      <c r="C123" s="58"/>
      <c r="D123" s="60">
        <v>1508</v>
      </c>
      <c r="E123" s="61" t="s">
        <v>3481</v>
      </c>
      <c r="F123" s="61"/>
      <c r="G123" s="41"/>
    </row>
    <row r="124" spans="1:7" x14ac:dyDescent="0.2">
      <c r="A124" s="48">
        <v>39119</v>
      </c>
      <c r="B124" s="49" t="s">
        <v>3296</v>
      </c>
      <c r="D124" s="51">
        <v>1510</v>
      </c>
      <c r="E124" s="50" t="s">
        <v>3479</v>
      </c>
    </row>
    <row r="125" spans="1:7" s="16" customFormat="1" ht="12" x14ac:dyDescent="0.2">
      <c r="A125" s="53">
        <v>39111</v>
      </c>
      <c r="B125" s="55" t="s">
        <v>1241</v>
      </c>
      <c r="C125" s="58"/>
      <c r="D125" s="60">
        <v>1517</v>
      </c>
      <c r="E125" s="61" t="s">
        <v>3478</v>
      </c>
      <c r="F125" s="61"/>
      <c r="G125" s="41"/>
    </row>
    <row r="126" spans="1:7" s="16" customFormat="1" ht="12" x14ac:dyDescent="0.2">
      <c r="A126" s="53">
        <v>39128</v>
      </c>
      <c r="B126" s="55" t="s">
        <v>28</v>
      </c>
      <c r="C126" s="58"/>
      <c r="D126" s="60">
        <v>1527</v>
      </c>
      <c r="E126" s="61" t="s">
        <v>3032</v>
      </c>
      <c r="F126" s="61"/>
      <c r="G126" s="41"/>
    </row>
    <row r="127" spans="1:7" s="16" customFormat="1" ht="12" x14ac:dyDescent="0.2">
      <c r="A127" s="53">
        <v>39185</v>
      </c>
      <c r="B127" s="55" t="s">
        <v>2133</v>
      </c>
      <c r="C127" s="58"/>
      <c r="D127" s="43">
        <v>1630</v>
      </c>
      <c r="E127" s="61" t="s">
        <v>3162</v>
      </c>
      <c r="F127" s="61"/>
      <c r="G127" s="41"/>
    </row>
    <row r="128" spans="1:7" x14ac:dyDescent="0.2">
      <c r="A128" s="48">
        <v>39238</v>
      </c>
      <c r="B128" s="49" t="s">
        <v>3959</v>
      </c>
      <c r="D128" s="51">
        <v>1713</v>
      </c>
      <c r="E128" s="50" t="s">
        <v>1617</v>
      </c>
    </row>
    <row r="129" spans="1:7" x14ac:dyDescent="0.2">
      <c r="A129" s="48">
        <v>39380</v>
      </c>
      <c r="B129" s="49" t="s">
        <v>1596</v>
      </c>
      <c r="D129" s="51">
        <v>1754</v>
      </c>
      <c r="E129" s="50" t="s">
        <v>3478</v>
      </c>
    </row>
    <row r="130" spans="1:7" x14ac:dyDescent="0.2">
      <c r="A130" s="48">
        <v>39266</v>
      </c>
      <c r="B130" s="49" t="s">
        <v>820</v>
      </c>
      <c r="D130" s="51">
        <v>1766</v>
      </c>
      <c r="E130" s="50" t="s">
        <v>1086</v>
      </c>
    </row>
    <row r="131" spans="1:7" s="16" customFormat="1" ht="12" x14ac:dyDescent="0.2">
      <c r="A131" s="53">
        <v>39223</v>
      </c>
      <c r="B131" s="55" t="s">
        <v>158</v>
      </c>
      <c r="C131" s="58"/>
      <c r="D131" s="43">
        <v>1780</v>
      </c>
      <c r="E131" s="61" t="s">
        <v>2789</v>
      </c>
      <c r="F131" s="61"/>
      <c r="G131" s="41"/>
    </row>
    <row r="132" spans="1:7" s="16" customFormat="1" ht="12" x14ac:dyDescent="0.2">
      <c r="A132" s="53">
        <v>39202</v>
      </c>
      <c r="B132" s="55" t="s">
        <v>2374</v>
      </c>
      <c r="C132" s="58"/>
      <c r="D132" s="43">
        <v>1802</v>
      </c>
      <c r="E132" s="61" t="s">
        <v>3523</v>
      </c>
      <c r="F132" s="61"/>
      <c r="G132" s="41"/>
    </row>
    <row r="133" spans="1:7" x14ac:dyDescent="0.2">
      <c r="A133" s="48">
        <v>39214</v>
      </c>
      <c r="B133" s="49" t="s">
        <v>946</v>
      </c>
      <c r="C133" s="69" t="s">
        <v>3361</v>
      </c>
      <c r="D133" s="51">
        <v>1868</v>
      </c>
      <c r="E133" s="50" t="s">
        <v>3478</v>
      </c>
      <c r="G133" s="56">
        <v>39828</v>
      </c>
    </row>
    <row r="134" spans="1:7" x14ac:dyDescent="0.2">
      <c r="A134" s="48">
        <v>39214</v>
      </c>
      <c r="B134" s="49" t="s">
        <v>4030</v>
      </c>
      <c r="D134" s="51">
        <v>1869</v>
      </c>
      <c r="E134" s="50" t="s">
        <v>3478</v>
      </c>
    </row>
    <row r="135" spans="1:7" x14ac:dyDescent="0.2">
      <c r="A135" s="48">
        <v>39214</v>
      </c>
      <c r="B135" s="49" t="s">
        <v>945</v>
      </c>
      <c r="D135" s="51">
        <v>1870</v>
      </c>
      <c r="E135" s="50" t="s">
        <v>3523</v>
      </c>
    </row>
    <row r="136" spans="1:7" x14ac:dyDescent="0.2">
      <c r="A136" s="126">
        <v>39419</v>
      </c>
      <c r="B136" s="127" t="s">
        <v>3042</v>
      </c>
      <c r="C136" s="128"/>
      <c r="D136" s="129">
        <v>1922</v>
      </c>
      <c r="E136" s="130" t="s">
        <v>3450</v>
      </c>
    </row>
    <row r="137" spans="1:7" x14ac:dyDescent="0.2">
      <c r="A137" s="48">
        <v>39424</v>
      </c>
      <c r="B137" s="49" t="s">
        <v>176</v>
      </c>
      <c r="D137" s="51">
        <v>1923</v>
      </c>
      <c r="E137" s="50" t="s">
        <v>3480</v>
      </c>
    </row>
    <row r="138" spans="1:7" x14ac:dyDescent="0.2">
      <c r="A138" s="48">
        <v>39424</v>
      </c>
      <c r="B138" s="49" t="s">
        <v>1653</v>
      </c>
      <c r="C138" s="69" t="s">
        <v>3361</v>
      </c>
      <c r="D138" s="51">
        <v>1924</v>
      </c>
      <c r="E138" s="50" t="s">
        <v>3753</v>
      </c>
      <c r="G138" s="56">
        <v>40182</v>
      </c>
    </row>
    <row r="139" spans="1:7" x14ac:dyDescent="0.2">
      <c r="A139" s="48">
        <v>39430</v>
      </c>
      <c r="B139" s="49" t="s">
        <v>1530</v>
      </c>
      <c r="D139" s="51">
        <v>1925</v>
      </c>
      <c r="E139" s="50" t="s">
        <v>3162</v>
      </c>
    </row>
    <row r="140" spans="1:7" x14ac:dyDescent="0.2">
      <c r="A140" s="48">
        <v>39426</v>
      </c>
      <c r="B140" s="49" t="s">
        <v>3765</v>
      </c>
      <c r="D140" s="51">
        <v>1926</v>
      </c>
      <c r="E140" s="50" t="s">
        <v>3162</v>
      </c>
    </row>
    <row r="141" spans="1:7" x14ac:dyDescent="0.2">
      <c r="A141" s="48">
        <v>39434</v>
      </c>
      <c r="B141" s="49" t="s">
        <v>127</v>
      </c>
      <c r="D141" s="51">
        <v>1927</v>
      </c>
      <c r="E141" s="50" t="s">
        <v>3482</v>
      </c>
    </row>
    <row r="142" spans="1:7" x14ac:dyDescent="0.2">
      <c r="A142" s="48">
        <v>39430</v>
      </c>
      <c r="B142" s="49" t="s">
        <v>575</v>
      </c>
      <c r="D142" s="51">
        <v>1928</v>
      </c>
      <c r="E142" s="50" t="s">
        <v>3478</v>
      </c>
    </row>
    <row r="143" spans="1:7" x14ac:dyDescent="0.2">
      <c r="A143" s="126">
        <v>39470</v>
      </c>
      <c r="B143" s="127" t="s">
        <v>2440</v>
      </c>
      <c r="C143" s="128" t="s">
        <v>3360</v>
      </c>
      <c r="D143" s="129">
        <v>1929</v>
      </c>
      <c r="E143" s="130"/>
      <c r="F143" s="50" t="s">
        <v>3506</v>
      </c>
      <c r="G143" s="56">
        <v>39764</v>
      </c>
    </row>
    <row r="144" spans="1:7" x14ac:dyDescent="0.2">
      <c r="A144" s="48">
        <v>39458</v>
      </c>
      <c r="B144" s="49" t="s">
        <v>980</v>
      </c>
      <c r="D144" s="51">
        <v>1930</v>
      </c>
      <c r="E144" s="50" t="s">
        <v>3480</v>
      </c>
      <c r="G144" s="56">
        <v>39561</v>
      </c>
    </row>
    <row r="145" spans="1:7" x14ac:dyDescent="0.2">
      <c r="A145" s="48">
        <v>39470</v>
      </c>
      <c r="B145" s="49" t="s">
        <v>3699</v>
      </c>
      <c r="C145" s="69" t="s">
        <v>3362</v>
      </c>
      <c r="D145" s="51">
        <v>1931</v>
      </c>
      <c r="E145" s="50" t="s">
        <v>3162</v>
      </c>
      <c r="G145" s="56">
        <v>39828</v>
      </c>
    </row>
    <row r="146" spans="1:7" x14ac:dyDescent="0.2">
      <c r="A146" s="48">
        <v>39475</v>
      </c>
      <c r="B146" s="49" t="s">
        <v>1524</v>
      </c>
      <c r="D146" s="51">
        <v>1932</v>
      </c>
      <c r="E146" s="50" t="s">
        <v>3486</v>
      </c>
      <c r="G146" s="56">
        <v>39555</v>
      </c>
    </row>
    <row r="147" spans="1:7" x14ac:dyDescent="0.2">
      <c r="A147" s="126">
        <v>39480</v>
      </c>
      <c r="B147" s="127" t="s">
        <v>1248</v>
      </c>
      <c r="C147" s="128"/>
      <c r="D147" s="129">
        <v>1933</v>
      </c>
      <c r="E147" s="130" t="s">
        <v>3478</v>
      </c>
      <c r="G147" s="56">
        <v>39566</v>
      </c>
    </row>
    <row r="148" spans="1:7" x14ac:dyDescent="0.2">
      <c r="A148" s="126">
        <v>39480</v>
      </c>
      <c r="B148" s="127" t="s">
        <v>2035</v>
      </c>
      <c r="C148" s="128"/>
      <c r="D148" s="129">
        <v>1935</v>
      </c>
      <c r="E148" s="130" t="s">
        <v>3480</v>
      </c>
      <c r="G148" s="56">
        <v>39561</v>
      </c>
    </row>
    <row r="149" spans="1:7" x14ac:dyDescent="0.2">
      <c r="A149" s="48">
        <v>39480</v>
      </c>
      <c r="B149" s="49" t="s">
        <v>396</v>
      </c>
      <c r="C149" s="69" t="s">
        <v>2213</v>
      </c>
      <c r="D149" s="51">
        <v>1936</v>
      </c>
      <c r="E149" s="50" t="s">
        <v>3480</v>
      </c>
      <c r="G149" s="56">
        <v>40138</v>
      </c>
    </row>
    <row r="150" spans="1:7" x14ac:dyDescent="0.2">
      <c r="A150" s="126">
        <v>39092</v>
      </c>
      <c r="B150" s="127" t="s">
        <v>781</v>
      </c>
      <c r="C150" s="128"/>
      <c r="D150" s="129">
        <v>1937</v>
      </c>
      <c r="E150" s="130" t="s">
        <v>3478</v>
      </c>
    </row>
    <row r="151" spans="1:7" x14ac:dyDescent="0.2">
      <c r="A151" s="126">
        <v>39401</v>
      </c>
      <c r="B151" s="127" t="s">
        <v>363</v>
      </c>
      <c r="C151" s="128"/>
      <c r="D151" s="129">
        <v>1938</v>
      </c>
      <c r="E151" s="130" t="s">
        <v>3165</v>
      </c>
    </row>
    <row r="152" spans="1:7" x14ac:dyDescent="0.2">
      <c r="A152" s="48">
        <v>39433</v>
      </c>
      <c r="B152" s="49" t="s">
        <v>574</v>
      </c>
      <c r="D152" s="51">
        <v>1940</v>
      </c>
      <c r="E152" s="50" t="s">
        <v>2504</v>
      </c>
    </row>
    <row r="153" spans="1:7" x14ac:dyDescent="0.2">
      <c r="A153" s="48">
        <v>39344</v>
      </c>
      <c r="B153" s="49" t="s">
        <v>2878</v>
      </c>
      <c r="D153" s="51">
        <v>1941</v>
      </c>
      <c r="E153" s="50" t="s">
        <v>1700</v>
      </c>
    </row>
    <row r="154" spans="1:7" x14ac:dyDescent="0.2">
      <c r="A154" s="48">
        <v>39419</v>
      </c>
      <c r="B154" s="49" t="s">
        <v>576</v>
      </c>
      <c r="D154" s="51">
        <v>1942</v>
      </c>
      <c r="E154" s="50" t="s">
        <v>3162</v>
      </c>
    </row>
    <row r="155" spans="1:7" s="16" customFormat="1" ht="12" x14ac:dyDescent="0.2">
      <c r="A155" s="53">
        <v>39195</v>
      </c>
      <c r="B155" s="55" t="s">
        <v>4029</v>
      </c>
      <c r="C155" s="58"/>
      <c r="D155" s="43">
        <v>1949</v>
      </c>
      <c r="E155" s="61" t="s">
        <v>3484</v>
      </c>
      <c r="F155" s="61"/>
      <c r="G155" s="41"/>
    </row>
    <row r="156" spans="1:7" s="16" customFormat="1" ht="12" x14ac:dyDescent="0.2">
      <c r="A156" s="53">
        <v>39182</v>
      </c>
      <c r="B156" s="55" t="s">
        <v>3120</v>
      </c>
      <c r="C156" s="58"/>
      <c r="D156" s="43">
        <v>1961</v>
      </c>
      <c r="E156" s="61" t="s">
        <v>3479</v>
      </c>
      <c r="F156" s="61"/>
      <c r="G156" s="41"/>
    </row>
    <row r="157" spans="1:7" s="16" customFormat="1" ht="12" x14ac:dyDescent="0.2">
      <c r="A157" s="53">
        <v>39185</v>
      </c>
      <c r="B157" s="55" t="s">
        <v>3467</v>
      </c>
      <c r="C157" s="58"/>
      <c r="D157" s="43">
        <v>1962</v>
      </c>
      <c r="E157" s="61" t="s">
        <v>1562</v>
      </c>
      <c r="F157" s="61"/>
      <c r="G157" s="41"/>
    </row>
    <row r="158" spans="1:7" s="16" customFormat="1" ht="12" x14ac:dyDescent="0.2">
      <c r="A158" s="39">
        <v>39188</v>
      </c>
      <c r="B158" s="40" t="s">
        <v>2236</v>
      </c>
      <c r="C158" s="66"/>
      <c r="D158" s="43">
        <v>1965</v>
      </c>
      <c r="E158" s="41" t="s">
        <v>3523</v>
      </c>
      <c r="F158" s="61"/>
      <c r="G158" s="41"/>
    </row>
    <row r="159" spans="1:7" s="16" customFormat="1" ht="12" x14ac:dyDescent="0.2">
      <c r="A159" s="53">
        <v>39190</v>
      </c>
      <c r="B159" s="55" t="s">
        <v>2226</v>
      </c>
      <c r="C159" s="58"/>
      <c r="D159" s="43">
        <v>1966</v>
      </c>
      <c r="E159" s="61" t="s">
        <v>3338</v>
      </c>
      <c r="F159" s="61"/>
      <c r="G159" s="41"/>
    </row>
    <row r="160" spans="1:7" s="16" customFormat="1" ht="12" x14ac:dyDescent="0.2">
      <c r="A160" s="53">
        <v>39190</v>
      </c>
      <c r="B160" s="55" t="s">
        <v>1998</v>
      </c>
      <c r="C160" s="58"/>
      <c r="D160" s="43">
        <v>1968</v>
      </c>
      <c r="E160" s="61" t="s">
        <v>1577</v>
      </c>
      <c r="F160" s="61"/>
      <c r="G160" s="41"/>
    </row>
    <row r="161" spans="1:7" s="16" customFormat="1" ht="12" x14ac:dyDescent="0.2">
      <c r="A161" s="53">
        <v>39209</v>
      </c>
      <c r="B161" s="55" t="s">
        <v>3264</v>
      </c>
      <c r="C161" s="58"/>
      <c r="D161" s="43">
        <v>1969</v>
      </c>
      <c r="E161" s="61" t="s">
        <v>2504</v>
      </c>
      <c r="F161" s="61"/>
      <c r="G161" s="41"/>
    </row>
    <row r="162" spans="1:7" s="16" customFormat="1" ht="12" x14ac:dyDescent="0.2">
      <c r="A162" s="53">
        <v>39209</v>
      </c>
      <c r="B162" s="55" t="s">
        <v>3205</v>
      </c>
      <c r="C162" s="58"/>
      <c r="D162" s="43">
        <v>1970</v>
      </c>
      <c r="E162" s="61" t="s">
        <v>3206</v>
      </c>
      <c r="F162" s="61"/>
      <c r="G162" s="41"/>
    </row>
    <row r="163" spans="1:7" s="16" customFormat="1" ht="12" x14ac:dyDescent="0.2">
      <c r="A163" s="53">
        <v>39209</v>
      </c>
      <c r="B163" s="55" t="s">
        <v>1309</v>
      </c>
      <c r="C163" s="58"/>
      <c r="D163" s="43">
        <v>1971</v>
      </c>
      <c r="E163" s="61" t="s">
        <v>1577</v>
      </c>
      <c r="F163" s="61"/>
      <c r="G163" s="41"/>
    </row>
    <row r="164" spans="1:7" x14ac:dyDescent="0.2">
      <c r="A164" s="48">
        <v>39224</v>
      </c>
      <c r="B164" s="49" t="s">
        <v>3151</v>
      </c>
      <c r="D164" s="51">
        <v>1972</v>
      </c>
      <c r="E164" s="50" t="s">
        <v>3523</v>
      </c>
    </row>
    <row r="165" spans="1:7" x14ac:dyDescent="0.2">
      <c r="A165" s="48">
        <v>39224</v>
      </c>
      <c r="B165" s="49" t="s">
        <v>2142</v>
      </c>
      <c r="D165" s="51">
        <v>1973</v>
      </c>
      <c r="E165" s="50" t="s">
        <v>3032</v>
      </c>
    </row>
    <row r="166" spans="1:7" x14ac:dyDescent="0.2">
      <c r="A166" s="48">
        <v>39224</v>
      </c>
      <c r="B166" s="49" t="s">
        <v>3387</v>
      </c>
      <c r="D166" s="51">
        <v>1974</v>
      </c>
      <c r="E166" s="50" t="s">
        <v>2504</v>
      </c>
    </row>
    <row r="167" spans="1:7" x14ac:dyDescent="0.2">
      <c r="A167" s="48">
        <v>39226</v>
      </c>
      <c r="B167" s="49" t="s">
        <v>1488</v>
      </c>
      <c r="D167" s="51">
        <v>1975</v>
      </c>
      <c r="E167" s="50" t="s">
        <v>425</v>
      </c>
    </row>
    <row r="168" spans="1:7" x14ac:dyDescent="0.2">
      <c r="A168" s="48">
        <v>39228</v>
      </c>
      <c r="B168" s="49" t="s">
        <v>3959</v>
      </c>
      <c r="D168" s="51">
        <v>1976</v>
      </c>
      <c r="E168" s="50" t="s">
        <v>1617</v>
      </c>
    </row>
    <row r="169" spans="1:7" x14ac:dyDescent="0.2">
      <c r="A169" s="48">
        <v>39228</v>
      </c>
      <c r="B169" s="49" t="s">
        <v>1329</v>
      </c>
      <c r="D169" s="51">
        <v>1977</v>
      </c>
      <c r="E169" s="50" t="s">
        <v>1700</v>
      </c>
    </row>
    <row r="170" spans="1:7" s="16" customFormat="1" ht="12" x14ac:dyDescent="0.2">
      <c r="A170" s="53">
        <v>39228</v>
      </c>
      <c r="B170" s="55" t="s">
        <v>1253</v>
      </c>
      <c r="C170" s="58"/>
      <c r="D170" s="43">
        <v>1978</v>
      </c>
      <c r="E170" s="61" t="s">
        <v>1577</v>
      </c>
      <c r="F170" s="61"/>
      <c r="G170" s="41"/>
    </row>
    <row r="171" spans="1:7" s="16" customFormat="1" ht="12" x14ac:dyDescent="0.2">
      <c r="A171" s="53">
        <v>39228</v>
      </c>
      <c r="B171" s="55" t="s">
        <v>2394</v>
      </c>
      <c r="C171" s="58"/>
      <c r="D171" s="43">
        <v>1979</v>
      </c>
      <c r="E171" s="61" t="s">
        <v>112</v>
      </c>
      <c r="F171" s="61"/>
      <c r="G171" s="41"/>
    </row>
    <row r="172" spans="1:7" s="16" customFormat="1" ht="12" x14ac:dyDescent="0.2">
      <c r="A172" s="53">
        <v>39248</v>
      </c>
      <c r="B172" s="55" t="s">
        <v>1902</v>
      </c>
      <c r="C172" s="58"/>
      <c r="D172" s="43">
        <v>1980</v>
      </c>
      <c r="E172" s="61" t="s">
        <v>1086</v>
      </c>
      <c r="F172" s="61"/>
      <c r="G172" s="41"/>
    </row>
    <row r="173" spans="1:7" s="16" customFormat="1" ht="12" x14ac:dyDescent="0.2">
      <c r="A173" s="53">
        <v>39231</v>
      </c>
      <c r="B173" s="55" t="s">
        <v>1259</v>
      </c>
      <c r="C173" s="58"/>
      <c r="D173" s="43">
        <v>1981</v>
      </c>
      <c r="E173" s="61" t="s">
        <v>425</v>
      </c>
      <c r="F173" s="61"/>
      <c r="G173" s="41"/>
    </row>
    <row r="174" spans="1:7" s="16" customFormat="1" ht="12" x14ac:dyDescent="0.2">
      <c r="A174" s="53">
        <v>39231</v>
      </c>
      <c r="B174" s="55" t="s">
        <v>1494</v>
      </c>
      <c r="C174" s="58"/>
      <c r="D174" s="43">
        <v>1982</v>
      </c>
      <c r="E174" s="61" t="s">
        <v>1495</v>
      </c>
      <c r="F174" s="61"/>
      <c r="G174" s="41"/>
    </row>
    <row r="175" spans="1:7" x14ac:dyDescent="0.2">
      <c r="A175" s="48">
        <v>39231</v>
      </c>
      <c r="B175" s="49" t="s">
        <v>1233</v>
      </c>
      <c r="D175" s="51">
        <v>1983</v>
      </c>
      <c r="E175" s="50" t="s">
        <v>425</v>
      </c>
    </row>
    <row r="176" spans="1:7" x14ac:dyDescent="0.2">
      <c r="A176" s="48">
        <v>39231</v>
      </c>
      <c r="B176" s="49" t="s">
        <v>271</v>
      </c>
      <c r="D176" s="51">
        <v>1984</v>
      </c>
      <c r="E176" s="50" t="s">
        <v>3484</v>
      </c>
    </row>
    <row r="177" spans="1:7" s="16" customFormat="1" ht="12" x14ac:dyDescent="0.2">
      <c r="A177" s="53">
        <v>39232</v>
      </c>
      <c r="B177" s="55" t="s">
        <v>1489</v>
      </c>
      <c r="C177" s="58"/>
      <c r="D177" s="43">
        <v>1985</v>
      </c>
      <c r="E177" s="61" t="s">
        <v>3523</v>
      </c>
      <c r="F177" s="61"/>
      <c r="G177" s="41"/>
    </row>
    <row r="178" spans="1:7" x14ac:dyDescent="0.2">
      <c r="A178" s="48">
        <v>39245</v>
      </c>
      <c r="B178" s="49" t="s">
        <v>529</v>
      </c>
      <c r="D178" s="51">
        <v>1988</v>
      </c>
      <c r="E178" s="50" t="s">
        <v>3523</v>
      </c>
    </row>
    <row r="179" spans="1:7" x14ac:dyDescent="0.2">
      <c r="A179" s="48">
        <v>39246</v>
      </c>
      <c r="B179" s="49" t="s">
        <v>1785</v>
      </c>
      <c r="D179" s="51">
        <v>1989</v>
      </c>
      <c r="E179" s="50" t="s">
        <v>1786</v>
      </c>
    </row>
    <row r="180" spans="1:7" x14ac:dyDescent="0.2">
      <c r="A180" s="53">
        <v>39247</v>
      </c>
      <c r="B180" s="55" t="s">
        <v>478</v>
      </c>
      <c r="C180" s="58"/>
      <c r="D180" s="43">
        <v>1990</v>
      </c>
      <c r="E180" s="61" t="s">
        <v>3523</v>
      </c>
      <c r="F180" s="61"/>
    </row>
    <row r="181" spans="1:7" ht="25.5" x14ac:dyDescent="0.2">
      <c r="A181" s="48">
        <v>39251</v>
      </c>
      <c r="B181" s="49" t="s">
        <v>479</v>
      </c>
      <c r="D181" s="51">
        <v>1992</v>
      </c>
      <c r="E181" s="50" t="s">
        <v>1617</v>
      </c>
    </row>
    <row r="182" spans="1:7" x14ac:dyDescent="0.2">
      <c r="A182" s="48">
        <v>39251</v>
      </c>
      <c r="B182" s="49" t="s">
        <v>1098</v>
      </c>
      <c r="D182" s="51">
        <v>1993</v>
      </c>
      <c r="E182" s="50" t="s">
        <v>1577</v>
      </c>
    </row>
    <row r="183" spans="1:7" x14ac:dyDescent="0.2">
      <c r="A183" s="48">
        <v>39259</v>
      </c>
      <c r="B183" s="49" t="s">
        <v>167</v>
      </c>
      <c r="D183" s="51">
        <v>1994</v>
      </c>
      <c r="E183" s="50" t="s">
        <v>3523</v>
      </c>
    </row>
    <row r="184" spans="1:7" s="16" customFormat="1" ht="12" x14ac:dyDescent="0.2">
      <c r="A184" s="53">
        <v>39266</v>
      </c>
      <c r="B184" s="55" t="s">
        <v>1893</v>
      </c>
      <c r="C184" s="58"/>
      <c r="D184" s="43">
        <v>1995</v>
      </c>
      <c r="E184" s="61" t="s">
        <v>1085</v>
      </c>
      <c r="F184" s="61"/>
      <c r="G184" s="41"/>
    </row>
    <row r="185" spans="1:7" s="16" customFormat="1" ht="12" x14ac:dyDescent="0.2">
      <c r="A185" s="39">
        <v>39266</v>
      </c>
      <c r="B185" s="40" t="s">
        <v>2433</v>
      </c>
      <c r="C185" s="66"/>
      <c r="D185" s="43">
        <v>1996</v>
      </c>
      <c r="E185" s="41" t="s">
        <v>1577</v>
      </c>
      <c r="F185" s="61"/>
      <c r="G185" s="41"/>
    </row>
    <row r="186" spans="1:7" x14ac:dyDescent="0.2">
      <c r="A186" s="48">
        <v>39266</v>
      </c>
      <c r="B186" s="49" t="s">
        <v>1087</v>
      </c>
      <c r="D186" s="51">
        <v>1997</v>
      </c>
      <c r="E186" s="50" t="s">
        <v>3480</v>
      </c>
    </row>
    <row r="187" spans="1:7" x14ac:dyDescent="0.2">
      <c r="A187" s="48">
        <v>39266</v>
      </c>
      <c r="B187" s="49" t="s">
        <v>3322</v>
      </c>
      <c r="D187" s="51">
        <v>1998</v>
      </c>
      <c r="E187" s="50" t="s">
        <v>3480</v>
      </c>
    </row>
    <row r="188" spans="1:7" x14ac:dyDescent="0.2">
      <c r="A188" s="48">
        <v>39266</v>
      </c>
      <c r="B188" s="49" t="s">
        <v>818</v>
      </c>
      <c r="D188" s="51">
        <v>1999</v>
      </c>
      <c r="E188" s="50" t="s">
        <v>3162</v>
      </c>
    </row>
    <row r="189" spans="1:7" s="16" customFormat="1" ht="12" x14ac:dyDescent="0.2">
      <c r="A189" s="53">
        <v>39267</v>
      </c>
      <c r="B189" s="55" t="s">
        <v>2700</v>
      </c>
      <c r="C189" s="58"/>
      <c r="D189" s="43">
        <v>2000</v>
      </c>
      <c r="E189" s="61" t="s">
        <v>3523</v>
      </c>
      <c r="F189" s="61"/>
      <c r="G189" s="41"/>
    </row>
    <row r="190" spans="1:7" x14ac:dyDescent="0.2">
      <c r="A190" s="48">
        <v>39276</v>
      </c>
      <c r="B190" s="49" t="s">
        <v>1939</v>
      </c>
      <c r="D190" s="51">
        <v>2002</v>
      </c>
      <c r="E190" s="50" t="s">
        <v>425</v>
      </c>
    </row>
    <row r="191" spans="1:7" ht="25.5" x14ac:dyDescent="0.2">
      <c r="A191" s="48">
        <v>39276</v>
      </c>
      <c r="B191" s="49" t="s">
        <v>85</v>
      </c>
      <c r="D191" s="51">
        <v>2003</v>
      </c>
    </row>
    <row r="192" spans="1:7" x14ac:dyDescent="0.2">
      <c r="A192" s="48">
        <v>39276</v>
      </c>
      <c r="B192" s="49" t="s">
        <v>3654</v>
      </c>
      <c r="D192" s="51">
        <v>2004</v>
      </c>
    </row>
    <row r="193" spans="1:7" x14ac:dyDescent="0.2">
      <c r="A193" s="48">
        <v>39276</v>
      </c>
      <c r="B193" s="49" t="s">
        <v>495</v>
      </c>
      <c r="D193" s="51">
        <v>2005</v>
      </c>
    </row>
    <row r="194" spans="1:7" x14ac:dyDescent="0.2">
      <c r="A194" s="48">
        <v>39276</v>
      </c>
      <c r="B194" s="49" t="s">
        <v>1368</v>
      </c>
      <c r="D194" s="51">
        <v>2006</v>
      </c>
    </row>
    <row r="195" spans="1:7" x14ac:dyDescent="0.2">
      <c r="A195" s="48">
        <v>39276</v>
      </c>
      <c r="B195" s="49" t="s">
        <v>3599</v>
      </c>
      <c r="D195" s="51">
        <v>2006</v>
      </c>
      <c r="E195" s="50" t="s">
        <v>3600</v>
      </c>
    </row>
    <row r="196" spans="1:7" x14ac:dyDescent="0.2">
      <c r="A196" s="48">
        <v>39276</v>
      </c>
      <c r="B196" s="49" t="s">
        <v>3905</v>
      </c>
      <c r="D196" s="51">
        <v>2008</v>
      </c>
      <c r="E196" s="50" t="s">
        <v>425</v>
      </c>
    </row>
    <row r="197" spans="1:7" x14ac:dyDescent="0.2">
      <c r="A197" s="48">
        <v>39276</v>
      </c>
      <c r="B197" s="49" t="s">
        <v>4</v>
      </c>
      <c r="D197" s="51">
        <v>2009</v>
      </c>
      <c r="E197" s="50" t="s">
        <v>425</v>
      </c>
    </row>
    <row r="198" spans="1:7" x14ac:dyDescent="0.2">
      <c r="A198" s="48">
        <v>39276</v>
      </c>
      <c r="B198" s="49" t="s">
        <v>1358</v>
      </c>
      <c r="D198" s="51">
        <v>2010</v>
      </c>
    </row>
    <row r="199" spans="1:7" s="16" customFormat="1" ht="12" x14ac:dyDescent="0.2">
      <c r="A199" s="53">
        <v>39274</v>
      </c>
      <c r="B199" s="55" t="s">
        <v>222</v>
      </c>
      <c r="C199" s="58"/>
      <c r="D199" s="43">
        <v>2011</v>
      </c>
      <c r="E199" s="61" t="s">
        <v>3162</v>
      </c>
      <c r="F199" s="61"/>
      <c r="G199" s="41"/>
    </row>
    <row r="200" spans="1:7" x14ac:dyDescent="0.2">
      <c r="A200" s="48">
        <v>39276</v>
      </c>
      <c r="B200" s="49" t="s">
        <v>979</v>
      </c>
      <c r="D200" s="51">
        <v>2012</v>
      </c>
      <c r="E200" s="50" t="s">
        <v>425</v>
      </c>
    </row>
    <row r="201" spans="1:7" s="16" customFormat="1" ht="12" x14ac:dyDescent="0.2">
      <c r="A201" s="53">
        <v>39276</v>
      </c>
      <c r="B201" s="55" t="s">
        <v>3655</v>
      </c>
      <c r="C201" s="58"/>
      <c r="D201" s="43">
        <v>2013</v>
      </c>
      <c r="E201" s="61"/>
      <c r="F201" s="61"/>
      <c r="G201" s="41"/>
    </row>
    <row r="202" spans="1:7" x14ac:dyDescent="0.2">
      <c r="A202" s="48">
        <v>39276</v>
      </c>
      <c r="B202" s="49" t="s">
        <v>2303</v>
      </c>
      <c r="D202" s="51">
        <v>2014</v>
      </c>
      <c r="E202" s="50" t="s">
        <v>425</v>
      </c>
    </row>
    <row r="203" spans="1:7" x14ac:dyDescent="0.2">
      <c r="A203" s="48">
        <v>39276</v>
      </c>
      <c r="B203" s="49" t="s">
        <v>1118</v>
      </c>
      <c r="D203" s="51">
        <v>2016</v>
      </c>
    </row>
    <row r="204" spans="1:7" x14ac:dyDescent="0.2">
      <c r="A204" s="48">
        <v>39276</v>
      </c>
      <c r="B204" s="49" t="s">
        <v>906</v>
      </c>
      <c r="D204" s="51">
        <v>2016</v>
      </c>
      <c r="E204" s="50" t="s">
        <v>3206</v>
      </c>
    </row>
    <row r="205" spans="1:7" x14ac:dyDescent="0.2">
      <c r="A205" s="48">
        <v>39276</v>
      </c>
      <c r="B205" s="49" t="s">
        <v>1268</v>
      </c>
      <c r="D205" s="51">
        <v>2018</v>
      </c>
      <c r="E205" s="50" t="s">
        <v>425</v>
      </c>
    </row>
    <row r="206" spans="1:7" x14ac:dyDescent="0.2">
      <c r="A206" s="126">
        <v>39276</v>
      </c>
      <c r="B206" s="127" t="s">
        <v>1269</v>
      </c>
      <c r="C206" s="128"/>
      <c r="D206" s="129">
        <v>2019</v>
      </c>
      <c r="E206" s="130"/>
    </row>
    <row r="207" spans="1:7" x14ac:dyDescent="0.2">
      <c r="A207" s="126">
        <v>39276</v>
      </c>
      <c r="B207" s="127" t="s">
        <v>2706</v>
      </c>
      <c r="C207" s="128"/>
      <c r="D207" s="129">
        <v>2020</v>
      </c>
      <c r="E207" s="130"/>
    </row>
    <row r="208" spans="1:7" x14ac:dyDescent="0.2">
      <c r="A208" s="48">
        <v>39276</v>
      </c>
      <c r="B208" s="49" t="s">
        <v>3601</v>
      </c>
      <c r="C208" s="69" t="s">
        <v>2373</v>
      </c>
      <c r="D208" s="51">
        <v>2020</v>
      </c>
      <c r="E208" s="50" t="s">
        <v>3162</v>
      </c>
      <c r="G208" s="56">
        <v>39855</v>
      </c>
    </row>
    <row r="209" spans="1:7" x14ac:dyDescent="0.2">
      <c r="A209" s="48">
        <v>39276</v>
      </c>
      <c r="B209" s="49" t="s">
        <v>764</v>
      </c>
      <c r="D209" s="51">
        <v>2021</v>
      </c>
      <c r="E209" s="50" t="s">
        <v>425</v>
      </c>
    </row>
    <row r="210" spans="1:7" x14ac:dyDescent="0.2">
      <c r="A210" s="48">
        <v>39276</v>
      </c>
      <c r="B210" s="49" t="s">
        <v>2498</v>
      </c>
      <c r="D210" s="51">
        <v>2022</v>
      </c>
    </row>
    <row r="211" spans="1:7" x14ac:dyDescent="0.2">
      <c r="A211" s="126">
        <v>39276</v>
      </c>
      <c r="B211" s="127" t="s">
        <v>2499</v>
      </c>
      <c r="C211" s="128"/>
      <c r="D211" s="129">
        <v>2023</v>
      </c>
      <c r="E211" s="130" t="s">
        <v>425</v>
      </c>
    </row>
    <row r="212" spans="1:7" s="16" customFormat="1" ht="12" x14ac:dyDescent="0.2">
      <c r="A212" s="53">
        <v>39281</v>
      </c>
      <c r="B212" s="55" t="s">
        <v>2894</v>
      </c>
      <c r="C212" s="58"/>
      <c r="D212" s="43">
        <v>2024</v>
      </c>
      <c r="E212" s="61" t="s">
        <v>3523</v>
      </c>
      <c r="F212" s="61"/>
      <c r="G212" s="41"/>
    </row>
    <row r="213" spans="1:7" s="16" customFormat="1" ht="12" x14ac:dyDescent="0.2">
      <c r="A213" s="53">
        <v>39281</v>
      </c>
      <c r="B213" s="55" t="s">
        <v>599</v>
      </c>
      <c r="C213" s="58"/>
      <c r="D213" s="43">
        <v>2025</v>
      </c>
      <c r="E213" s="61" t="s">
        <v>3523</v>
      </c>
      <c r="F213" s="61"/>
      <c r="G213" s="41"/>
    </row>
    <row r="214" spans="1:7" s="16" customFormat="1" ht="12" x14ac:dyDescent="0.2">
      <c r="A214" s="53">
        <v>39288</v>
      </c>
      <c r="B214" s="55" t="s">
        <v>1360</v>
      </c>
      <c r="C214" s="58"/>
      <c r="D214" s="43">
        <v>2026</v>
      </c>
      <c r="E214" s="61" t="s">
        <v>1085</v>
      </c>
      <c r="F214" s="61"/>
      <c r="G214" s="41"/>
    </row>
    <row r="215" spans="1:7" x14ac:dyDescent="0.2">
      <c r="A215" s="53">
        <v>39288</v>
      </c>
      <c r="B215" s="55" t="s">
        <v>2982</v>
      </c>
      <c r="C215" s="58"/>
      <c r="D215" s="43">
        <v>2027</v>
      </c>
      <c r="E215" s="61" t="s">
        <v>1085</v>
      </c>
      <c r="F215" s="61"/>
    </row>
    <row r="216" spans="1:7" x14ac:dyDescent="0.2">
      <c r="A216" s="48">
        <v>39302</v>
      </c>
      <c r="B216" s="49" t="s">
        <v>1291</v>
      </c>
      <c r="D216" s="51">
        <v>2028</v>
      </c>
      <c r="E216" s="50" t="s">
        <v>1700</v>
      </c>
    </row>
    <row r="217" spans="1:7" x14ac:dyDescent="0.2">
      <c r="A217" s="48">
        <v>39324</v>
      </c>
      <c r="B217" s="49" t="s">
        <v>3868</v>
      </c>
      <c r="D217" s="51">
        <v>2029</v>
      </c>
      <c r="E217" s="50" t="s">
        <v>2504</v>
      </c>
    </row>
    <row r="218" spans="1:7" x14ac:dyDescent="0.2">
      <c r="A218" s="48">
        <v>39324</v>
      </c>
      <c r="B218" s="49" t="s">
        <v>3869</v>
      </c>
      <c r="D218" s="51">
        <v>2030</v>
      </c>
      <c r="E218" s="50" t="s">
        <v>3523</v>
      </c>
    </row>
    <row r="219" spans="1:7" x14ac:dyDescent="0.2">
      <c r="A219" s="48">
        <v>39345</v>
      </c>
      <c r="B219" s="49" t="s">
        <v>1502</v>
      </c>
      <c r="C219" s="69" t="s">
        <v>2213</v>
      </c>
      <c r="D219" s="51">
        <v>2031</v>
      </c>
      <c r="E219" s="50" t="s">
        <v>3480</v>
      </c>
      <c r="G219" s="56">
        <v>39855</v>
      </c>
    </row>
    <row r="220" spans="1:7" x14ac:dyDescent="0.2">
      <c r="A220" s="48">
        <v>39345</v>
      </c>
      <c r="B220" s="49" t="s">
        <v>802</v>
      </c>
      <c r="C220" s="69" t="s">
        <v>3362</v>
      </c>
      <c r="D220" s="51">
        <v>2032</v>
      </c>
      <c r="E220" s="50" t="s">
        <v>3480</v>
      </c>
      <c r="G220" s="56">
        <v>39855</v>
      </c>
    </row>
    <row r="221" spans="1:7" x14ac:dyDescent="0.2">
      <c r="A221" s="48">
        <v>39345</v>
      </c>
      <c r="B221" s="49" t="s">
        <v>3633</v>
      </c>
      <c r="D221" s="51">
        <v>2033</v>
      </c>
      <c r="E221" s="50" t="s">
        <v>2504</v>
      </c>
    </row>
    <row r="222" spans="1:7" x14ac:dyDescent="0.2">
      <c r="A222" s="48">
        <v>39351</v>
      </c>
      <c r="B222" s="49" t="s">
        <v>3081</v>
      </c>
      <c r="C222" s="69" t="s">
        <v>3361</v>
      </c>
      <c r="D222" s="51">
        <v>2037</v>
      </c>
      <c r="E222" s="50" t="s">
        <v>3480</v>
      </c>
      <c r="G222" s="56">
        <v>39828</v>
      </c>
    </row>
    <row r="223" spans="1:7" x14ac:dyDescent="0.2">
      <c r="A223" s="48">
        <v>39351</v>
      </c>
      <c r="B223" s="49" t="s">
        <v>3703</v>
      </c>
      <c r="D223" s="51">
        <v>2038</v>
      </c>
      <c r="E223" s="50" t="s">
        <v>3480</v>
      </c>
    </row>
    <row r="224" spans="1:7" x14ac:dyDescent="0.2">
      <c r="A224" s="48">
        <v>39382</v>
      </c>
      <c r="B224" s="49" t="s">
        <v>490</v>
      </c>
      <c r="C224" s="69" t="s">
        <v>3362</v>
      </c>
      <c r="D224" s="51">
        <v>2039</v>
      </c>
      <c r="E224" s="50" t="s">
        <v>3481</v>
      </c>
      <c r="G224" s="56">
        <v>39597</v>
      </c>
    </row>
    <row r="225" spans="1:7" x14ac:dyDescent="0.2">
      <c r="A225" s="48">
        <v>39384</v>
      </c>
      <c r="B225" s="49" t="s">
        <v>769</v>
      </c>
      <c r="D225" s="51">
        <v>2041</v>
      </c>
      <c r="E225" s="50" t="s">
        <v>3478</v>
      </c>
    </row>
    <row r="226" spans="1:7" x14ac:dyDescent="0.2">
      <c r="A226" s="48">
        <v>39384</v>
      </c>
      <c r="B226" s="49" t="s">
        <v>2136</v>
      </c>
      <c r="D226" s="51">
        <v>2042</v>
      </c>
      <c r="E226" s="50" t="s">
        <v>3478</v>
      </c>
      <c r="G226" s="56">
        <v>39555</v>
      </c>
    </row>
    <row r="227" spans="1:7" x14ac:dyDescent="0.2">
      <c r="A227" s="48">
        <v>39395</v>
      </c>
      <c r="B227" s="49" t="s">
        <v>3339</v>
      </c>
      <c r="D227" s="51">
        <v>2044</v>
      </c>
      <c r="E227" s="50" t="s">
        <v>1562</v>
      </c>
    </row>
    <row r="228" spans="1:7" x14ac:dyDescent="0.2">
      <c r="A228" s="126">
        <v>39395</v>
      </c>
      <c r="B228" s="127" t="s">
        <v>2049</v>
      </c>
      <c r="C228" s="128" t="s">
        <v>3361</v>
      </c>
      <c r="D228" s="129">
        <v>2046</v>
      </c>
      <c r="E228" s="130" t="s">
        <v>2504</v>
      </c>
      <c r="G228" s="56">
        <v>39828</v>
      </c>
    </row>
    <row r="229" spans="1:7" x14ac:dyDescent="0.2">
      <c r="A229" s="48">
        <v>39405</v>
      </c>
      <c r="B229" s="49" t="s">
        <v>3713</v>
      </c>
      <c r="D229" s="51">
        <v>2047</v>
      </c>
      <c r="E229" s="50" t="s">
        <v>433</v>
      </c>
    </row>
    <row r="230" spans="1:7" x14ac:dyDescent="0.2">
      <c r="A230" s="48">
        <v>39405</v>
      </c>
      <c r="B230" s="49" t="s">
        <v>3335</v>
      </c>
      <c r="C230" s="69" t="s">
        <v>3360</v>
      </c>
      <c r="D230" s="51">
        <v>2048</v>
      </c>
      <c r="E230" s="50" t="s">
        <v>3482</v>
      </c>
      <c r="G230" s="56">
        <v>39828</v>
      </c>
    </row>
    <row r="231" spans="1:7" x14ac:dyDescent="0.2">
      <c r="A231" s="48">
        <v>39405</v>
      </c>
      <c r="B231" s="49" t="s">
        <v>3183</v>
      </c>
      <c r="D231" s="51">
        <v>2049</v>
      </c>
      <c r="E231" s="50" t="s">
        <v>3482</v>
      </c>
    </row>
    <row r="232" spans="1:7" x14ac:dyDescent="0.2">
      <c r="A232" s="48">
        <v>39258</v>
      </c>
      <c r="B232" s="49" t="s">
        <v>198</v>
      </c>
      <c r="C232" s="69" t="s">
        <v>3893</v>
      </c>
      <c r="D232" s="51">
        <v>2063</v>
      </c>
      <c r="E232" s="50" t="s">
        <v>3032</v>
      </c>
      <c r="G232" s="56">
        <v>39849</v>
      </c>
    </row>
    <row r="233" spans="1:7" x14ac:dyDescent="0.2">
      <c r="A233" s="48">
        <v>39266</v>
      </c>
      <c r="B233" s="49" t="s">
        <v>1784</v>
      </c>
      <c r="C233" s="69" t="s">
        <v>3893</v>
      </c>
      <c r="D233" s="51">
        <v>2071</v>
      </c>
      <c r="E233" s="50" t="s">
        <v>748</v>
      </c>
      <c r="G233" s="56">
        <v>39828</v>
      </c>
    </row>
    <row r="234" spans="1:7" x14ac:dyDescent="0.2">
      <c r="A234" s="48">
        <v>39294</v>
      </c>
      <c r="B234" s="49" t="s">
        <v>2155</v>
      </c>
      <c r="D234" s="51">
        <v>2101</v>
      </c>
      <c r="G234" s="56">
        <v>39594</v>
      </c>
    </row>
    <row r="235" spans="1:7" x14ac:dyDescent="0.2">
      <c r="A235" s="126">
        <v>39294</v>
      </c>
      <c r="B235" s="127" t="s">
        <v>3224</v>
      </c>
      <c r="C235" s="128" t="s">
        <v>3361</v>
      </c>
      <c r="D235" s="129">
        <v>2102</v>
      </c>
      <c r="E235" s="130" t="s">
        <v>3482</v>
      </c>
      <c r="G235" s="56">
        <v>39890</v>
      </c>
    </row>
    <row r="236" spans="1:7" x14ac:dyDescent="0.2">
      <c r="A236" s="126">
        <v>39316</v>
      </c>
      <c r="B236" s="127" t="s">
        <v>440</v>
      </c>
      <c r="C236" s="128"/>
      <c r="D236" s="129">
        <v>2122</v>
      </c>
      <c r="E236" s="130" t="s">
        <v>433</v>
      </c>
    </row>
    <row r="237" spans="1:7" x14ac:dyDescent="0.2">
      <c r="A237" s="48">
        <v>39321</v>
      </c>
      <c r="B237" s="49" t="s">
        <v>2074</v>
      </c>
      <c r="D237" s="51">
        <v>2125</v>
      </c>
      <c r="E237" s="50" t="s">
        <v>135</v>
      </c>
    </row>
    <row r="238" spans="1:7" x14ac:dyDescent="0.2">
      <c r="A238" s="48">
        <v>39322</v>
      </c>
      <c r="B238" s="49" t="s">
        <v>2073</v>
      </c>
      <c r="D238" s="51">
        <v>2126</v>
      </c>
      <c r="E238" s="50" t="s">
        <v>3523</v>
      </c>
    </row>
    <row r="239" spans="1:7" x14ac:dyDescent="0.2">
      <c r="A239" s="48">
        <v>39322</v>
      </c>
      <c r="B239" s="49" t="s">
        <v>660</v>
      </c>
      <c r="D239" s="51">
        <v>2129</v>
      </c>
      <c r="E239" s="50" t="s">
        <v>1085</v>
      </c>
    </row>
    <row r="240" spans="1:7" x14ac:dyDescent="0.2">
      <c r="A240" s="48">
        <v>39322</v>
      </c>
      <c r="B240" s="49" t="s">
        <v>3964</v>
      </c>
      <c r="C240" s="69" t="s">
        <v>2373</v>
      </c>
      <c r="D240" s="51">
        <v>2130</v>
      </c>
      <c r="E240" s="50" t="s">
        <v>2789</v>
      </c>
      <c r="G240" s="56">
        <v>40051</v>
      </c>
    </row>
    <row r="241" spans="1:7" x14ac:dyDescent="0.2">
      <c r="A241" s="48">
        <v>39344</v>
      </c>
      <c r="B241" s="49" t="s">
        <v>3065</v>
      </c>
      <c r="D241" s="51">
        <v>2168</v>
      </c>
      <c r="E241" s="50" t="s">
        <v>1577</v>
      </c>
    </row>
    <row r="242" spans="1:7" x14ac:dyDescent="0.2">
      <c r="A242" s="48">
        <v>39349</v>
      </c>
      <c r="B242" s="49" t="s">
        <v>2655</v>
      </c>
      <c r="D242" s="51">
        <v>2170</v>
      </c>
      <c r="E242" s="50" t="s">
        <v>1495</v>
      </c>
    </row>
    <row r="243" spans="1:7" x14ac:dyDescent="0.2">
      <c r="A243" s="126">
        <v>39353</v>
      </c>
      <c r="B243" s="127" t="s">
        <v>3673</v>
      </c>
      <c r="C243" s="128"/>
      <c r="D243" s="129">
        <v>2272</v>
      </c>
      <c r="E243" s="130" t="s">
        <v>2376</v>
      </c>
    </row>
    <row r="244" spans="1:7" x14ac:dyDescent="0.2">
      <c r="A244" s="48">
        <v>39336</v>
      </c>
      <c r="B244" s="49" t="s">
        <v>2683</v>
      </c>
      <c r="D244" s="51">
        <v>2351</v>
      </c>
      <c r="E244" s="50" t="s">
        <v>3032</v>
      </c>
    </row>
    <row r="245" spans="1:7" x14ac:dyDescent="0.2">
      <c r="A245" s="126">
        <v>39400</v>
      </c>
      <c r="B245" s="127" t="s">
        <v>1787</v>
      </c>
      <c r="C245" s="128"/>
      <c r="D245" s="129">
        <v>2611</v>
      </c>
      <c r="E245" s="130" t="s">
        <v>2504</v>
      </c>
    </row>
    <row r="246" spans="1:7" x14ac:dyDescent="0.2">
      <c r="A246" s="126">
        <v>39421</v>
      </c>
      <c r="B246" s="127" t="s">
        <v>2048</v>
      </c>
      <c r="C246" s="128"/>
      <c r="D246" s="129">
        <v>2704</v>
      </c>
      <c r="E246" s="130" t="s">
        <v>3481</v>
      </c>
    </row>
    <row r="247" spans="1:7" x14ac:dyDescent="0.2">
      <c r="A247" s="48">
        <v>39512</v>
      </c>
      <c r="B247" s="49" t="s">
        <v>2934</v>
      </c>
      <c r="C247" s="69" t="s">
        <v>2213</v>
      </c>
      <c r="D247" s="51">
        <v>2730</v>
      </c>
      <c r="E247" s="50" t="s">
        <v>3480</v>
      </c>
      <c r="G247" s="56">
        <v>40616</v>
      </c>
    </row>
    <row r="248" spans="1:7" x14ac:dyDescent="0.2">
      <c r="A248" s="48">
        <v>39512</v>
      </c>
      <c r="B248" s="49" t="s">
        <v>2710</v>
      </c>
      <c r="D248" s="51">
        <v>2735</v>
      </c>
      <c r="E248" s="50" t="s">
        <v>2504</v>
      </c>
      <c r="G248" s="56">
        <v>39555</v>
      </c>
    </row>
    <row r="249" spans="1:7" x14ac:dyDescent="0.2">
      <c r="A249" s="48">
        <v>39415</v>
      </c>
      <c r="B249" s="49" t="s">
        <v>2859</v>
      </c>
      <c r="D249" s="51">
        <v>2781</v>
      </c>
      <c r="E249" s="50" t="s">
        <v>3478</v>
      </c>
    </row>
    <row r="250" spans="1:7" x14ac:dyDescent="0.2">
      <c r="A250" s="48">
        <v>39426</v>
      </c>
      <c r="B250" s="49" t="s">
        <v>3232</v>
      </c>
      <c r="D250" s="51">
        <v>2795</v>
      </c>
      <c r="E250" s="50" t="s">
        <v>3478</v>
      </c>
    </row>
    <row r="251" spans="1:7" x14ac:dyDescent="0.2">
      <c r="A251" s="126">
        <v>39462</v>
      </c>
      <c r="B251" s="127" t="s">
        <v>3572</v>
      </c>
      <c r="C251" s="128" t="s">
        <v>2214</v>
      </c>
      <c r="D251" s="129">
        <v>2893</v>
      </c>
      <c r="E251" s="130" t="s">
        <v>2504</v>
      </c>
      <c r="G251" s="56">
        <v>39818</v>
      </c>
    </row>
    <row r="252" spans="1:7" x14ac:dyDescent="0.2">
      <c r="A252" s="48">
        <v>39479</v>
      </c>
      <c r="B252" s="49" t="s">
        <v>45</v>
      </c>
      <c r="C252" s="69" t="s">
        <v>3356</v>
      </c>
      <c r="D252" s="51">
        <v>2916</v>
      </c>
      <c r="E252" s="50" t="s">
        <v>3480</v>
      </c>
      <c r="G252" s="56">
        <v>39927</v>
      </c>
    </row>
    <row r="253" spans="1:7" x14ac:dyDescent="0.2">
      <c r="A253" s="126">
        <v>39479</v>
      </c>
      <c r="B253" s="127" t="s">
        <v>2936</v>
      </c>
      <c r="C253" s="128"/>
      <c r="D253" s="129">
        <v>2923</v>
      </c>
      <c r="E253" s="130" t="s">
        <v>3480</v>
      </c>
    </row>
    <row r="254" spans="1:7" x14ac:dyDescent="0.2">
      <c r="A254" s="48">
        <v>39485</v>
      </c>
      <c r="B254" s="49" t="s">
        <v>1671</v>
      </c>
      <c r="C254" s="69" t="s">
        <v>2214</v>
      </c>
      <c r="D254" s="51">
        <v>2931</v>
      </c>
      <c r="E254" s="50" t="s">
        <v>3478</v>
      </c>
      <c r="G254" s="56">
        <v>39582</v>
      </c>
    </row>
    <row r="255" spans="1:7" x14ac:dyDescent="0.2">
      <c r="A255" s="48">
        <v>39497</v>
      </c>
      <c r="B255" s="49" t="s">
        <v>1231</v>
      </c>
      <c r="D255" s="51">
        <v>2932</v>
      </c>
      <c r="E255" s="50" t="s">
        <v>2371</v>
      </c>
    </row>
    <row r="256" spans="1:7" x14ac:dyDescent="0.2">
      <c r="A256" s="48">
        <v>39504</v>
      </c>
      <c r="B256" s="49" t="s">
        <v>2752</v>
      </c>
      <c r="D256" s="51">
        <v>2933</v>
      </c>
      <c r="E256" s="50" t="s">
        <v>3176</v>
      </c>
    </row>
    <row r="257" spans="1:7" x14ac:dyDescent="0.2">
      <c r="A257" s="126">
        <v>39505</v>
      </c>
      <c r="B257" s="127" t="s">
        <v>1483</v>
      </c>
      <c r="C257" s="128" t="s">
        <v>3360</v>
      </c>
      <c r="D257" s="129">
        <v>2934</v>
      </c>
      <c r="E257" s="130" t="s">
        <v>3478</v>
      </c>
      <c r="G257" s="56">
        <v>39741</v>
      </c>
    </row>
    <row r="258" spans="1:7" x14ac:dyDescent="0.2">
      <c r="A258" s="126">
        <v>39505</v>
      </c>
      <c r="B258" s="127" t="s">
        <v>3308</v>
      </c>
      <c r="C258" s="128" t="s">
        <v>3360</v>
      </c>
      <c r="D258" s="129">
        <v>2935</v>
      </c>
      <c r="E258" s="130" t="s">
        <v>3478</v>
      </c>
      <c r="G258" s="56">
        <v>39638</v>
      </c>
    </row>
    <row r="259" spans="1:7" x14ac:dyDescent="0.2">
      <c r="A259" s="48">
        <v>39508</v>
      </c>
      <c r="B259" s="49" t="s">
        <v>3099</v>
      </c>
      <c r="C259" s="69" t="s">
        <v>3356</v>
      </c>
      <c r="D259" s="51">
        <v>2938</v>
      </c>
      <c r="E259" s="50" t="s">
        <v>1562</v>
      </c>
      <c r="G259" s="56">
        <v>39959</v>
      </c>
    </row>
    <row r="260" spans="1:7" x14ac:dyDescent="0.2">
      <c r="A260" s="48">
        <v>39510</v>
      </c>
      <c r="B260" s="49" t="s">
        <v>2619</v>
      </c>
      <c r="C260" s="69" t="s">
        <v>3356</v>
      </c>
      <c r="D260" s="51">
        <v>2939</v>
      </c>
      <c r="E260" s="50" t="s">
        <v>1562</v>
      </c>
      <c r="G260" s="56">
        <v>39582</v>
      </c>
    </row>
    <row r="261" spans="1:7" x14ac:dyDescent="0.2">
      <c r="A261" s="48">
        <v>39512</v>
      </c>
      <c r="B261" s="49" t="s">
        <v>1320</v>
      </c>
      <c r="D261" s="51">
        <v>2940</v>
      </c>
      <c r="E261" s="50" t="s">
        <v>1474</v>
      </c>
    </row>
    <row r="262" spans="1:7" ht="25.5" x14ac:dyDescent="0.2">
      <c r="A262" s="48">
        <v>39548</v>
      </c>
      <c r="B262" s="49" t="s">
        <v>3947</v>
      </c>
      <c r="C262" s="69" t="s">
        <v>3357</v>
      </c>
      <c r="D262" s="51">
        <v>2941</v>
      </c>
      <c r="E262" s="50" t="s">
        <v>1562</v>
      </c>
      <c r="G262" s="56">
        <v>39769</v>
      </c>
    </row>
    <row r="263" spans="1:7" x14ac:dyDescent="0.2">
      <c r="A263" s="48">
        <v>39541</v>
      </c>
      <c r="B263" s="49" t="s">
        <v>465</v>
      </c>
      <c r="C263" s="69" t="s">
        <v>3356</v>
      </c>
      <c r="D263" s="51">
        <v>2942</v>
      </c>
      <c r="E263" s="50" t="s">
        <v>3478</v>
      </c>
      <c r="G263" s="56">
        <v>39861</v>
      </c>
    </row>
    <row r="264" spans="1:7" x14ac:dyDescent="0.2">
      <c r="A264" s="48">
        <v>39498</v>
      </c>
      <c r="B264" s="49" t="s">
        <v>910</v>
      </c>
      <c r="C264" s="69" t="s">
        <v>2877</v>
      </c>
      <c r="D264" s="51">
        <v>2950</v>
      </c>
      <c r="E264" s="50" t="s">
        <v>3480</v>
      </c>
      <c r="G264" s="56">
        <v>40616</v>
      </c>
    </row>
    <row r="265" spans="1:7" x14ac:dyDescent="0.2">
      <c r="A265" s="48">
        <v>39498</v>
      </c>
      <c r="B265" s="49" t="s">
        <v>3836</v>
      </c>
      <c r="D265" s="51">
        <v>2952</v>
      </c>
      <c r="E265" s="50" t="s">
        <v>3837</v>
      </c>
    </row>
    <row r="266" spans="1:7" x14ac:dyDescent="0.2">
      <c r="A266" s="126">
        <v>39582</v>
      </c>
      <c r="B266" s="127" t="s">
        <v>2495</v>
      </c>
      <c r="C266" s="128" t="s">
        <v>3362</v>
      </c>
      <c r="D266" s="129">
        <v>3047</v>
      </c>
      <c r="E266" s="130" t="s">
        <v>3486</v>
      </c>
      <c r="G266" s="56">
        <v>39769</v>
      </c>
    </row>
    <row r="267" spans="1:7" x14ac:dyDescent="0.2">
      <c r="A267" s="126">
        <v>39575</v>
      </c>
      <c r="B267" s="127" t="s">
        <v>466</v>
      </c>
      <c r="C267" s="128" t="s">
        <v>2373</v>
      </c>
      <c r="D267" s="129">
        <v>3050</v>
      </c>
      <c r="E267" s="130" t="s">
        <v>3162</v>
      </c>
      <c r="G267" s="56">
        <v>39699</v>
      </c>
    </row>
    <row r="268" spans="1:7" x14ac:dyDescent="0.2">
      <c r="A268" s="48">
        <v>39619</v>
      </c>
      <c r="B268" s="49" t="s">
        <v>398</v>
      </c>
      <c r="C268" s="69" t="s">
        <v>2213</v>
      </c>
      <c r="D268" s="51">
        <v>3051</v>
      </c>
      <c r="E268" s="50" t="s">
        <v>3162</v>
      </c>
      <c r="G268" s="56">
        <v>40616</v>
      </c>
    </row>
    <row r="269" spans="1:7" x14ac:dyDescent="0.2">
      <c r="A269" s="126">
        <v>39626</v>
      </c>
      <c r="B269" s="127" t="s">
        <v>2249</v>
      </c>
      <c r="C269" s="128" t="s">
        <v>4027</v>
      </c>
      <c r="D269" s="129">
        <v>3058</v>
      </c>
      <c r="E269" s="130" t="s">
        <v>3478</v>
      </c>
      <c r="G269" s="56">
        <v>39638</v>
      </c>
    </row>
    <row r="270" spans="1:7" x14ac:dyDescent="0.2">
      <c r="A270" s="48">
        <v>39563</v>
      </c>
      <c r="B270" s="49" t="s">
        <v>2744</v>
      </c>
      <c r="C270" s="69" t="s">
        <v>3362</v>
      </c>
      <c r="D270" s="51">
        <v>3063</v>
      </c>
      <c r="E270" s="50" t="s">
        <v>3162</v>
      </c>
      <c r="G270" s="56">
        <v>39581</v>
      </c>
    </row>
    <row r="271" spans="1:7" x14ac:dyDescent="0.2">
      <c r="A271" s="48">
        <v>39603</v>
      </c>
      <c r="B271" s="49" t="s">
        <v>331</v>
      </c>
      <c r="C271" s="69" t="s">
        <v>3360</v>
      </c>
      <c r="D271" s="51">
        <v>3088</v>
      </c>
      <c r="E271" s="50" t="s">
        <v>2504</v>
      </c>
      <c r="G271" s="56">
        <v>39638</v>
      </c>
    </row>
    <row r="272" spans="1:7" x14ac:dyDescent="0.2">
      <c r="A272" s="126">
        <v>39594</v>
      </c>
      <c r="B272" s="127" t="s">
        <v>3504</v>
      </c>
      <c r="C272" s="128" t="s">
        <v>3360</v>
      </c>
      <c r="D272" s="129">
        <v>3102</v>
      </c>
      <c r="E272" s="130" t="s">
        <v>3480</v>
      </c>
      <c r="G272" s="56">
        <v>39594</v>
      </c>
    </row>
    <row r="273" spans="1:7" x14ac:dyDescent="0.2">
      <c r="A273" s="126">
        <v>39547</v>
      </c>
      <c r="B273" s="127" t="s">
        <v>3269</v>
      </c>
      <c r="C273" s="128"/>
      <c r="D273" s="129">
        <v>3141</v>
      </c>
      <c r="E273" s="130" t="s">
        <v>2504</v>
      </c>
      <c r="G273" s="56">
        <v>39561</v>
      </c>
    </row>
    <row r="274" spans="1:7" x14ac:dyDescent="0.2">
      <c r="A274" s="126">
        <v>39630</v>
      </c>
      <c r="B274" s="127" t="s">
        <v>2259</v>
      </c>
      <c r="C274" s="128" t="s">
        <v>3362</v>
      </c>
      <c r="D274" s="129">
        <v>3147</v>
      </c>
      <c r="E274" s="130" t="s">
        <v>3175</v>
      </c>
      <c r="G274" s="56">
        <v>39757</v>
      </c>
    </row>
    <row r="275" spans="1:7" x14ac:dyDescent="0.2">
      <c r="A275" s="126">
        <v>39639</v>
      </c>
      <c r="B275" s="127" t="s">
        <v>3736</v>
      </c>
      <c r="C275" s="128" t="s">
        <v>3356</v>
      </c>
      <c r="D275" s="129">
        <v>3153</v>
      </c>
      <c r="E275" s="130" t="s">
        <v>2376</v>
      </c>
      <c r="G275" s="56">
        <v>39792</v>
      </c>
    </row>
    <row r="276" spans="1:7" x14ac:dyDescent="0.2">
      <c r="A276" s="126">
        <v>39619</v>
      </c>
      <c r="B276" s="127" t="s">
        <v>3202</v>
      </c>
      <c r="C276" s="128" t="s">
        <v>2213</v>
      </c>
      <c r="D276" s="129">
        <v>3155</v>
      </c>
      <c r="E276" s="130" t="s">
        <v>3478</v>
      </c>
      <c r="G276" s="56">
        <v>39769</v>
      </c>
    </row>
    <row r="277" spans="1:7" x14ac:dyDescent="0.2">
      <c r="A277" s="48">
        <v>39223</v>
      </c>
      <c r="B277" s="49" t="s">
        <v>6</v>
      </c>
      <c r="D277" s="51">
        <v>3156</v>
      </c>
      <c r="E277" s="50" t="s">
        <v>2789</v>
      </c>
      <c r="G277" s="56">
        <v>39555</v>
      </c>
    </row>
    <row r="278" spans="1:7" x14ac:dyDescent="0.2">
      <c r="A278" s="126">
        <v>39547</v>
      </c>
      <c r="B278" s="127" t="s">
        <v>470</v>
      </c>
      <c r="C278" s="128" t="s">
        <v>3361</v>
      </c>
      <c r="D278" s="129">
        <v>3157</v>
      </c>
      <c r="E278" s="130" t="s">
        <v>3162</v>
      </c>
      <c r="G278" s="56">
        <v>39638</v>
      </c>
    </row>
    <row r="279" spans="1:7" x14ac:dyDescent="0.2">
      <c r="A279" s="126">
        <v>39547</v>
      </c>
      <c r="B279" s="127" t="s">
        <v>471</v>
      </c>
      <c r="C279" s="128" t="s">
        <v>3358</v>
      </c>
      <c r="D279" s="129">
        <v>3159</v>
      </c>
      <c r="E279" s="130" t="s">
        <v>2504</v>
      </c>
      <c r="G279" s="56">
        <v>39764</v>
      </c>
    </row>
    <row r="280" spans="1:7" x14ac:dyDescent="0.2">
      <c r="A280" s="48">
        <v>39549</v>
      </c>
      <c r="B280" s="49" t="s">
        <v>2475</v>
      </c>
      <c r="D280" s="51">
        <v>3169</v>
      </c>
      <c r="E280" s="50" t="s">
        <v>2476</v>
      </c>
      <c r="G280" s="56">
        <v>39557</v>
      </c>
    </row>
    <row r="281" spans="1:7" x14ac:dyDescent="0.2">
      <c r="A281" s="126">
        <v>39646</v>
      </c>
      <c r="B281" s="127" t="s">
        <v>854</v>
      </c>
      <c r="C281" s="128" t="s">
        <v>855</v>
      </c>
      <c r="D281" s="129">
        <v>3170</v>
      </c>
      <c r="E281" s="130" t="s">
        <v>1562</v>
      </c>
      <c r="G281" s="56">
        <v>39741</v>
      </c>
    </row>
    <row r="282" spans="1:7" x14ac:dyDescent="0.2">
      <c r="A282" s="126">
        <v>39632</v>
      </c>
      <c r="B282" s="127" t="s">
        <v>3792</v>
      </c>
      <c r="C282" s="128" t="s">
        <v>3361</v>
      </c>
      <c r="D282" s="129">
        <v>3176</v>
      </c>
      <c r="E282" s="130" t="s">
        <v>1562</v>
      </c>
      <c r="G282" s="56">
        <v>39764</v>
      </c>
    </row>
    <row r="283" spans="1:7" x14ac:dyDescent="0.2">
      <c r="A283" s="126">
        <v>39549</v>
      </c>
      <c r="B283" s="127" t="s">
        <v>3839</v>
      </c>
      <c r="C283" s="128" t="s">
        <v>3361</v>
      </c>
      <c r="D283" s="129">
        <v>3179</v>
      </c>
      <c r="E283" s="130" t="s">
        <v>3482</v>
      </c>
      <c r="G283" s="56">
        <v>39764</v>
      </c>
    </row>
    <row r="284" spans="1:7" x14ac:dyDescent="0.2">
      <c r="A284" s="48">
        <v>39630</v>
      </c>
      <c r="B284" s="49" t="s">
        <v>279</v>
      </c>
      <c r="C284" s="69" t="s">
        <v>3362</v>
      </c>
      <c r="D284" s="51">
        <v>3194</v>
      </c>
      <c r="G284" s="56">
        <v>39757</v>
      </c>
    </row>
    <row r="285" spans="1:7" x14ac:dyDescent="0.2">
      <c r="A285" s="126">
        <v>39601</v>
      </c>
      <c r="B285" s="127" t="s">
        <v>958</v>
      </c>
      <c r="C285" s="128" t="s">
        <v>3361</v>
      </c>
      <c r="D285" s="129">
        <v>3218</v>
      </c>
      <c r="E285" s="130"/>
      <c r="G285" s="56">
        <v>39623</v>
      </c>
    </row>
    <row r="286" spans="1:7" x14ac:dyDescent="0.2">
      <c r="A286" s="48">
        <v>39601</v>
      </c>
      <c r="B286" s="49" t="s">
        <v>1907</v>
      </c>
      <c r="C286" s="69" t="s">
        <v>2214</v>
      </c>
      <c r="D286" s="51">
        <v>3219</v>
      </c>
      <c r="E286" s="50" t="s">
        <v>2069</v>
      </c>
      <c r="G286" s="56">
        <v>39769</v>
      </c>
    </row>
    <row r="287" spans="1:7" x14ac:dyDescent="0.2">
      <c r="A287" s="126">
        <v>39605</v>
      </c>
      <c r="B287" s="127" t="s">
        <v>124</v>
      </c>
      <c r="C287" s="128" t="s">
        <v>3361</v>
      </c>
      <c r="D287" s="129">
        <v>3221</v>
      </c>
      <c r="E287" s="130" t="s">
        <v>3450</v>
      </c>
      <c r="G287" s="56">
        <v>39623</v>
      </c>
    </row>
    <row r="288" spans="1:7" x14ac:dyDescent="0.2">
      <c r="A288" s="48">
        <v>39601</v>
      </c>
      <c r="B288" s="49" t="s">
        <v>278</v>
      </c>
      <c r="C288" s="69" t="s">
        <v>3362</v>
      </c>
      <c r="D288" s="51">
        <v>3226</v>
      </c>
      <c r="G288" s="56">
        <v>39757</v>
      </c>
    </row>
    <row r="289" spans="1:7" x14ac:dyDescent="0.2">
      <c r="A289" s="126">
        <v>39605</v>
      </c>
      <c r="B289" s="127" t="s">
        <v>991</v>
      </c>
      <c r="C289" s="128" t="s">
        <v>634</v>
      </c>
      <c r="D289" s="129">
        <v>3234</v>
      </c>
      <c r="E289" s="130"/>
      <c r="G289" s="56">
        <v>39638</v>
      </c>
    </row>
    <row r="290" spans="1:7" x14ac:dyDescent="0.2">
      <c r="A290" s="126">
        <v>39638</v>
      </c>
      <c r="B290" s="127" t="s">
        <v>2021</v>
      </c>
      <c r="C290" s="128" t="s">
        <v>2213</v>
      </c>
      <c r="D290" s="129">
        <v>3235</v>
      </c>
      <c r="E290" s="130" t="s">
        <v>3478</v>
      </c>
      <c r="G290" s="56">
        <v>39828</v>
      </c>
    </row>
    <row r="291" spans="1:7" x14ac:dyDescent="0.2">
      <c r="A291" s="126">
        <v>39636</v>
      </c>
      <c r="B291" s="127" t="s">
        <v>3326</v>
      </c>
      <c r="C291" s="128" t="s">
        <v>2213</v>
      </c>
      <c r="D291" s="129">
        <v>3237</v>
      </c>
      <c r="E291" s="130" t="s">
        <v>3709</v>
      </c>
      <c r="G291" s="56">
        <v>39818</v>
      </c>
    </row>
    <row r="292" spans="1:7" x14ac:dyDescent="0.2">
      <c r="A292" s="48">
        <v>39610</v>
      </c>
      <c r="B292" s="49" t="s">
        <v>3270</v>
      </c>
      <c r="C292" s="69" t="s">
        <v>3356</v>
      </c>
      <c r="D292" s="51">
        <v>3248</v>
      </c>
      <c r="E292" s="50" t="s">
        <v>3480</v>
      </c>
      <c r="G292" s="56">
        <v>39623</v>
      </c>
    </row>
    <row r="293" spans="1:7" x14ac:dyDescent="0.2">
      <c r="A293" s="126">
        <v>39545</v>
      </c>
      <c r="B293" s="127" t="s">
        <v>3069</v>
      </c>
      <c r="C293" s="128"/>
      <c r="D293" s="129">
        <v>3255</v>
      </c>
      <c r="E293" s="130" t="s">
        <v>3480</v>
      </c>
      <c r="G293" s="56">
        <v>39561</v>
      </c>
    </row>
    <row r="294" spans="1:7" x14ac:dyDescent="0.2">
      <c r="A294" s="48">
        <v>39610</v>
      </c>
      <c r="B294" s="49" t="s">
        <v>1742</v>
      </c>
      <c r="C294" s="69" t="s">
        <v>3356</v>
      </c>
      <c r="D294" s="51">
        <v>3260</v>
      </c>
      <c r="E294" s="50" t="s">
        <v>3480</v>
      </c>
      <c r="G294" s="56">
        <v>39623</v>
      </c>
    </row>
    <row r="295" spans="1:7" x14ac:dyDescent="0.2">
      <c r="A295" s="48">
        <v>39545</v>
      </c>
      <c r="B295" s="49" t="s">
        <v>3268</v>
      </c>
      <c r="C295" s="69" t="s">
        <v>3356</v>
      </c>
      <c r="D295" s="51">
        <v>3293</v>
      </c>
      <c r="E295" s="50" t="s">
        <v>3482</v>
      </c>
      <c r="G295" s="56">
        <v>39927</v>
      </c>
    </row>
    <row r="296" spans="1:7" x14ac:dyDescent="0.2">
      <c r="A296" s="48">
        <v>39652</v>
      </c>
      <c r="B296" s="49" t="s">
        <v>434</v>
      </c>
      <c r="C296" s="69" t="s">
        <v>3357</v>
      </c>
      <c r="D296" s="51">
        <v>4093</v>
      </c>
      <c r="G296" s="56">
        <v>39764</v>
      </c>
    </row>
    <row r="297" spans="1:7" x14ac:dyDescent="0.2">
      <c r="A297" s="48">
        <v>39650</v>
      </c>
      <c r="B297" s="49" t="s">
        <v>1484</v>
      </c>
      <c r="C297" s="69" t="s">
        <v>1624</v>
      </c>
      <c r="D297" s="51">
        <v>4110</v>
      </c>
      <c r="E297" s="50" t="s">
        <v>3162</v>
      </c>
      <c r="G297" s="56">
        <v>39769</v>
      </c>
    </row>
    <row r="298" spans="1:7" x14ac:dyDescent="0.2">
      <c r="A298" s="126">
        <v>39654</v>
      </c>
      <c r="B298" s="127" t="s">
        <v>1485</v>
      </c>
      <c r="C298" s="128" t="s">
        <v>799</v>
      </c>
      <c r="D298" s="129">
        <v>4160</v>
      </c>
      <c r="E298" s="130" t="s">
        <v>1562</v>
      </c>
      <c r="G298" s="56">
        <v>39769</v>
      </c>
    </row>
    <row r="299" spans="1:7" x14ac:dyDescent="0.2">
      <c r="A299" s="126">
        <v>39657</v>
      </c>
      <c r="B299" s="127" t="s">
        <v>3325</v>
      </c>
      <c r="C299" s="128" t="s">
        <v>3362</v>
      </c>
      <c r="D299" s="129">
        <v>4161</v>
      </c>
      <c r="E299" s="130"/>
      <c r="G299" s="56">
        <v>39764</v>
      </c>
    </row>
    <row r="300" spans="1:7" x14ac:dyDescent="0.2">
      <c r="A300" s="48">
        <v>39689</v>
      </c>
      <c r="B300" s="49" t="s">
        <v>2302</v>
      </c>
      <c r="C300" s="69" t="s">
        <v>2213</v>
      </c>
      <c r="D300" s="51">
        <v>4163</v>
      </c>
      <c r="E300" s="50" t="s">
        <v>2504</v>
      </c>
      <c r="G300" s="56">
        <v>39996</v>
      </c>
    </row>
    <row r="301" spans="1:7" x14ac:dyDescent="0.2">
      <c r="A301" s="48">
        <v>39661</v>
      </c>
      <c r="B301" s="49" t="s">
        <v>1513</v>
      </c>
      <c r="C301" s="69" t="s">
        <v>2213</v>
      </c>
      <c r="D301" s="51">
        <v>4164</v>
      </c>
      <c r="E301" s="50" t="s">
        <v>2504</v>
      </c>
      <c r="G301" s="56">
        <v>39769</v>
      </c>
    </row>
    <row r="302" spans="1:7" x14ac:dyDescent="0.2">
      <c r="A302" s="126">
        <v>39661</v>
      </c>
      <c r="B302" s="127" t="s">
        <v>286</v>
      </c>
      <c r="C302" s="128" t="s">
        <v>2213</v>
      </c>
      <c r="D302" s="129">
        <v>4165</v>
      </c>
      <c r="E302" s="130"/>
      <c r="G302" s="56">
        <v>39764</v>
      </c>
    </row>
    <row r="303" spans="1:7" x14ac:dyDescent="0.2">
      <c r="A303" s="48">
        <v>39276</v>
      </c>
      <c r="B303" s="49" t="s">
        <v>3880</v>
      </c>
      <c r="C303" s="69" t="s">
        <v>2213</v>
      </c>
      <c r="D303" s="51">
        <v>4166</v>
      </c>
      <c r="G303" s="56">
        <v>39757</v>
      </c>
    </row>
    <row r="304" spans="1:7" x14ac:dyDescent="0.2">
      <c r="A304" s="48">
        <v>39744</v>
      </c>
      <c r="B304" s="49" t="s">
        <v>1022</v>
      </c>
      <c r="C304" s="69" t="s">
        <v>3356</v>
      </c>
      <c r="D304" s="51">
        <v>4170</v>
      </c>
      <c r="E304" s="50" t="s">
        <v>3176</v>
      </c>
      <c r="G304" s="56">
        <v>39927</v>
      </c>
    </row>
    <row r="305" spans="1:7" x14ac:dyDescent="0.2">
      <c r="A305" s="48">
        <v>39748</v>
      </c>
      <c r="B305" s="49" t="s">
        <v>324</v>
      </c>
      <c r="C305" s="69" t="s">
        <v>2213</v>
      </c>
      <c r="D305" s="51">
        <v>4171</v>
      </c>
      <c r="E305" s="50" t="s">
        <v>3837</v>
      </c>
      <c r="F305" s="50" t="s">
        <v>747</v>
      </c>
      <c r="G305" s="56">
        <v>39877</v>
      </c>
    </row>
    <row r="306" spans="1:7" x14ac:dyDescent="0.2">
      <c r="A306" s="126">
        <v>39748</v>
      </c>
      <c r="B306" s="127" t="s">
        <v>3193</v>
      </c>
      <c r="C306" s="128" t="s">
        <v>2214</v>
      </c>
      <c r="D306" s="129">
        <v>4172</v>
      </c>
      <c r="E306" s="130"/>
      <c r="G306" s="56">
        <v>39818</v>
      </c>
    </row>
    <row r="307" spans="1:7" x14ac:dyDescent="0.2">
      <c r="A307" s="48">
        <v>39749</v>
      </c>
      <c r="B307" s="49" t="s">
        <v>3781</v>
      </c>
      <c r="C307" s="69" t="s">
        <v>3356</v>
      </c>
      <c r="D307" s="51">
        <v>4173</v>
      </c>
      <c r="E307" s="50" t="s">
        <v>758</v>
      </c>
      <c r="G307" s="56">
        <v>39861</v>
      </c>
    </row>
    <row r="308" spans="1:7" x14ac:dyDescent="0.2">
      <c r="A308" s="48">
        <v>39749</v>
      </c>
      <c r="B308" s="49" t="s">
        <v>3782</v>
      </c>
      <c r="C308" s="69" t="s">
        <v>3356</v>
      </c>
      <c r="D308" s="51">
        <v>4174</v>
      </c>
      <c r="E308" s="50" t="s">
        <v>3483</v>
      </c>
      <c r="G308" s="56">
        <v>39959</v>
      </c>
    </row>
    <row r="309" spans="1:7" ht="25.5" x14ac:dyDescent="0.2">
      <c r="A309" s="48">
        <v>39764</v>
      </c>
      <c r="B309" s="49" t="s">
        <v>3059</v>
      </c>
      <c r="C309" s="69" t="s">
        <v>3893</v>
      </c>
      <c r="D309" s="51">
        <v>4176</v>
      </c>
      <c r="E309" s="50" t="s">
        <v>1562</v>
      </c>
      <c r="G309" s="56">
        <v>40616</v>
      </c>
    </row>
    <row r="310" spans="1:7" x14ac:dyDescent="0.2">
      <c r="A310" s="48">
        <v>39801</v>
      </c>
      <c r="B310" s="49" t="s">
        <v>1158</v>
      </c>
      <c r="D310" s="51">
        <v>4181</v>
      </c>
      <c r="E310" s="50" t="s">
        <v>3480</v>
      </c>
      <c r="G310" s="56">
        <v>40616</v>
      </c>
    </row>
    <row r="311" spans="1:7" x14ac:dyDescent="0.2">
      <c r="A311" s="126">
        <v>39854</v>
      </c>
      <c r="B311" s="127" t="s">
        <v>3472</v>
      </c>
      <c r="C311" s="128" t="s">
        <v>2213</v>
      </c>
      <c r="D311" s="129">
        <v>4183</v>
      </c>
      <c r="E311" s="130" t="s">
        <v>3483</v>
      </c>
      <c r="G311" s="56">
        <v>39877</v>
      </c>
    </row>
    <row r="312" spans="1:7" x14ac:dyDescent="0.2">
      <c r="A312" s="48">
        <v>39750</v>
      </c>
      <c r="B312" s="49" t="s">
        <v>2941</v>
      </c>
      <c r="C312" s="69" t="s">
        <v>2213</v>
      </c>
      <c r="D312" s="51">
        <v>4184</v>
      </c>
      <c r="E312" s="50" t="s">
        <v>2504</v>
      </c>
      <c r="G312" s="56">
        <v>40086</v>
      </c>
    </row>
    <row r="313" spans="1:7" x14ac:dyDescent="0.2">
      <c r="A313" s="48">
        <v>39739</v>
      </c>
      <c r="B313" s="49" t="s">
        <v>259</v>
      </c>
      <c r="C313" s="69" t="s">
        <v>3360</v>
      </c>
      <c r="D313" s="51">
        <v>4185</v>
      </c>
      <c r="E313" s="50" t="s">
        <v>3165</v>
      </c>
      <c r="G313" s="56">
        <v>39877</v>
      </c>
    </row>
    <row r="314" spans="1:7" x14ac:dyDescent="0.2">
      <c r="A314" s="48">
        <v>39711</v>
      </c>
      <c r="B314" s="49" t="s">
        <v>3604</v>
      </c>
      <c r="C314" s="69" t="s">
        <v>1866</v>
      </c>
      <c r="D314" s="51">
        <v>4186</v>
      </c>
      <c r="E314" s="50" t="s">
        <v>1021</v>
      </c>
      <c r="G314" s="56">
        <v>40616</v>
      </c>
    </row>
    <row r="315" spans="1:7" x14ac:dyDescent="0.2">
      <c r="A315" s="48">
        <v>39699</v>
      </c>
      <c r="B315" s="49" t="s">
        <v>798</v>
      </c>
      <c r="C315" s="69" t="s">
        <v>799</v>
      </c>
      <c r="D315" s="51">
        <v>4188</v>
      </c>
      <c r="E315" s="50" t="s">
        <v>3482</v>
      </c>
      <c r="G315" s="56">
        <v>39818</v>
      </c>
    </row>
    <row r="316" spans="1:7" x14ac:dyDescent="0.2">
      <c r="A316" s="126">
        <v>39696</v>
      </c>
      <c r="B316" s="127" t="s">
        <v>1743</v>
      </c>
      <c r="C316" s="128" t="s">
        <v>2214</v>
      </c>
      <c r="D316" s="129">
        <v>4191</v>
      </c>
      <c r="E316" s="130" t="s">
        <v>1562</v>
      </c>
      <c r="G316" s="56">
        <v>39828</v>
      </c>
    </row>
    <row r="317" spans="1:7" x14ac:dyDescent="0.2">
      <c r="A317" s="48">
        <v>39739</v>
      </c>
      <c r="B317" s="49" t="s">
        <v>908</v>
      </c>
      <c r="C317" s="69" t="s">
        <v>2213</v>
      </c>
      <c r="D317" s="51">
        <v>4274</v>
      </c>
      <c r="E317" s="50" t="s">
        <v>3482</v>
      </c>
      <c r="G317" s="56">
        <v>40616</v>
      </c>
    </row>
    <row r="318" spans="1:7" x14ac:dyDescent="0.2">
      <c r="A318" s="126">
        <v>39787</v>
      </c>
      <c r="B318" s="127" t="s">
        <v>1632</v>
      </c>
      <c r="C318" s="128" t="s">
        <v>2213</v>
      </c>
      <c r="D318" s="129">
        <v>4279</v>
      </c>
      <c r="E318" s="130" t="s">
        <v>3478</v>
      </c>
      <c r="G318" s="56">
        <v>39818</v>
      </c>
    </row>
    <row r="319" spans="1:7" ht="25.5" x14ac:dyDescent="0.2">
      <c r="A319" s="48">
        <v>39724</v>
      </c>
      <c r="B319" s="49" t="s">
        <v>2981</v>
      </c>
      <c r="C319" s="69" t="s">
        <v>3361</v>
      </c>
      <c r="D319" s="51">
        <v>4318</v>
      </c>
      <c r="E319" s="50" t="s">
        <v>3032</v>
      </c>
      <c r="G319" s="56">
        <v>39849</v>
      </c>
    </row>
    <row r="320" spans="1:7" x14ac:dyDescent="0.2">
      <c r="A320" s="126">
        <v>39724</v>
      </c>
      <c r="B320" s="127" t="s">
        <v>3631</v>
      </c>
      <c r="C320" s="128" t="s">
        <v>2214</v>
      </c>
      <c r="D320" s="129">
        <v>4352</v>
      </c>
      <c r="E320" s="130" t="s">
        <v>3482</v>
      </c>
      <c r="G320" s="56">
        <v>39769</v>
      </c>
    </row>
    <row r="321" spans="1:7" x14ac:dyDescent="0.2">
      <c r="A321" s="126">
        <v>39764</v>
      </c>
      <c r="B321" s="127" t="s">
        <v>733</v>
      </c>
      <c r="C321" s="128" t="s">
        <v>3893</v>
      </c>
      <c r="D321" s="129">
        <v>4465</v>
      </c>
      <c r="E321" s="130" t="s">
        <v>3837</v>
      </c>
      <c r="G321" s="56">
        <v>39927</v>
      </c>
    </row>
    <row r="322" spans="1:7" x14ac:dyDescent="0.2">
      <c r="A322" s="48">
        <v>39764</v>
      </c>
      <c r="B322" s="49" t="s">
        <v>1250</v>
      </c>
      <c r="C322" s="69" t="s">
        <v>3893</v>
      </c>
      <c r="D322" s="51">
        <v>4466</v>
      </c>
      <c r="E322" s="50" t="s">
        <v>3176</v>
      </c>
      <c r="G322" s="56">
        <v>39890</v>
      </c>
    </row>
    <row r="323" spans="1:7" x14ac:dyDescent="0.2">
      <c r="A323" s="48">
        <v>39776</v>
      </c>
      <c r="B323" s="49" t="s">
        <v>988</v>
      </c>
      <c r="C323" s="69" t="s">
        <v>3360</v>
      </c>
      <c r="D323" s="51">
        <v>4525</v>
      </c>
      <c r="E323" s="50" t="s">
        <v>3162</v>
      </c>
      <c r="G323" s="56">
        <v>39855</v>
      </c>
    </row>
    <row r="324" spans="1:7" x14ac:dyDescent="0.2">
      <c r="A324" s="48">
        <v>39843</v>
      </c>
      <c r="B324" s="49" t="s">
        <v>1884</v>
      </c>
      <c r="C324" s="69" t="s">
        <v>2214</v>
      </c>
      <c r="D324" s="51">
        <v>4542</v>
      </c>
      <c r="E324" s="50" t="s">
        <v>2504</v>
      </c>
      <c r="G324" s="56">
        <v>39927</v>
      </c>
    </row>
    <row r="325" spans="1:7" x14ac:dyDescent="0.2">
      <c r="A325" s="126">
        <v>39825</v>
      </c>
      <c r="B325" s="127" t="s">
        <v>3819</v>
      </c>
      <c r="C325" s="128" t="s">
        <v>2213</v>
      </c>
      <c r="D325" s="129">
        <v>4567</v>
      </c>
      <c r="E325" s="130" t="s">
        <v>3162</v>
      </c>
      <c r="G325" s="56">
        <v>39855</v>
      </c>
    </row>
    <row r="326" spans="1:7" x14ac:dyDescent="0.2">
      <c r="A326" s="48">
        <v>39825</v>
      </c>
      <c r="B326" s="49" t="s">
        <v>1434</v>
      </c>
      <c r="D326" s="51">
        <v>4568</v>
      </c>
      <c r="E326" s="50" t="s">
        <v>2789</v>
      </c>
      <c r="G326" s="56">
        <v>39832</v>
      </c>
    </row>
    <row r="327" spans="1:7" x14ac:dyDescent="0.2">
      <c r="A327" s="48">
        <v>39832</v>
      </c>
      <c r="B327" s="49" t="s">
        <v>2190</v>
      </c>
      <c r="C327" s="69" t="s">
        <v>3362</v>
      </c>
      <c r="D327" s="51">
        <v>4570</v>
      </c>
      <c r="E327" s="50" t="s">
        <v>3837</v>
      </c>
      <c r="G327" s="56">
        <v>39959</v>
      </c>
    </row>
    <row r="328" spans="1:7" x14ac:dyDescent="0.2">
      <c r="A328" s="48">
        <v>39862</v>
      </c>
      <c r="B328" s="49" t="s">
        <v>438</v>
      </c>
      <c r="C328" s="69" t="s">
        <v>2213</v>
      </c>
      <c r="D328" s="51">
        <v>4629</v>
      </c>
      <c r="E328" s="50" t="s">
        <v>2504</v>
      </c>
      <c r="G328" s="56">
        <v>40023</v>
      </c>
    </row>
    <row r="329" spans="1:7" x14ac:dyDescent="0.2">
      <c r="A329" s="126">
        <v>39897</v>
      </c>
      <c r="B329" s="127" t="s">
        <v>3342</v>
      </c>
      <c r="C329" s="128" t="s">
        <v>2213</v>
      </c>
      <c r="D329" s="129">
        <v>4642</v>
      </c>
      <c r="E329" s="130" t="s">
        <v>3480</v>
      </c>
      <c r="G329" s="56">
        <v>39903</v>
      </c>
    </row>
    <row r="330" spans="1:7" x14ac:dyDescent="0.2">
      <c r="A330" s="48">
        <v>39927</v>
      </c>
      <c r="B330" s="49" t="s">
        <v>568</v>
      </c>
      <c r="C330" s="69" t="s">
        <v>1819</v>
      </c>
      <c r="D330" s="51">
        <v>4660</v>
      </c>
      <c r="E330" s="50" t="s">
        <v>3165</v>
      </c>
      <c r="G330" s="56">
        <v>39930</v>
      </c>
    </row>
    <row r="331" spans="1:7" x14ac:dyDescent="0.2">
      <c r="A331" s="48">
        <v>40141</v>
      </c>
      <c r="B331" s="49" t="s">
        <v>2690</v>
      </c>
      <c r="C331" s="69" t="s">
        <v>2213</v>
      </c>
      <c r="D331" s="51">
        <v>4675</v>
      </c>
      <c r="E331" s="50" t="s">
        <v>3480</v>
      </c>
      <c r="G331" s="56">
        <v>40148</v>
      </c>
    </row>
    <row r="332" spans="1:7" x14ac:dyDescent="0.2">
      <c r="A332" s="126">
        <v>40148</v>
      </c>
      <c r="B332" s="127" t="s">
        <v>154</v>
      </c>
      <c r="C332" s="128" t="s">
        <v>3362</v>
      </c>
      <c r="D332" s="129">
        <v>4676</v>
      </c>
      <c r="E332" s="130" t="s">
        <v>2069</v>
      </c>
      <c r="G332" s="56">
        <v>40182</v>
      </c>
    </row>
    <row r="333" spans="1:7" x14ac:dyDescent="0.2">
      <c r="A333" s="48">
        <v>40148</v>
      </c>
      <c r="B333" s="49" t="s">
        <v>1985</v>
      </c>
      <c r="C333" s="69" t="s">
        <v>3742</v>
      </c>
      <c r="D333" s="51">
        <v>4677</v>
      </c>
      <c r="E333" s="50" t="s">
        <v>2504</v>
      </c>
      <c r="G333" s="56">
        <v>40206</v>
      </c>
    </row>
    <row r="334" spans="1:7" x14ac:dyDescent="0.2">
      <c r="A334" s="48">
        <v>40163</v>
      </c>
      <c r="B334" s="49" t="s">
        <v>2757</v>
      </c>
      <c r="C334" s="69" t="s">
        <v>3742</v>
      </c>
      <c r="D334" s="51">
        <v>4678</v>
      </c>
      <c r="E334" s="50" t="s">
        <v>3480</v>
      </c>
      <c r="G334" s="56">
        <v>40182</v>
      </c>
    </row>
    <row r="335" spans="1:7" x14ac:dyDescent="0.2">
      <c r="A335" s="48">
        <v>40196</v>
      </c>
      <c r="B335" s="49" t="s">
        <v>2174</v>
      </c>
      <c r="C335" s="69" t="s">
        <v>3893</v>
      </c>
      <c r="D335" s="51">
        <v>4680</v>
      </c>
      <c r="E335" s="50" t="s">
        <v>328</v>
      </c>
      <c r="G335" s="56">
        <v>40210</v>
      </c>
    </row>
    <row r="336" spans="1:7" x14ac:dyDescent="0.2">
      <c r="A336" s="48">
        <v>40141</v>
      </c>
      <c r="B336" s="49" t="s">
        <v>2691</v>
      </c>
      <c r="C336" s="69" t="s">
        <v>3362</v>
      </c>
      <c r="D336" s="51">
        <v>4687</v>
      </c>
      <c r="E336" s="50" t="s">
        <v>3165</v>
      </c>
      <c r="G336" s="56">
        <v>40148</v>
      </c>
    </row>
    <row r="337" spans="1:7" x14ac:dyDescent="0.2">
      <c r="A337" s="48">
        <v>40352</v>
      </c>
      <c r="B337" s="49" t="s">
        <v>1073</v>
      </c>
      <c r="C337" s="69" t="s">
        <v>531</v>
      </c>
      <c r="D337" s="51">
        <v>4689</v>
      </c>
      <c r="G337" s="56">
        <v>40436</v>
      </c>
    </row>
    <row r="338" spans="1:7" x14ac:dyDescent="0.2">
      <c r="A338" s="126">
        <v>40127</v>
      </c>
      <c r="B338" s="127" t="s">
        <v>2559</v>
      </c>
      <c r="C338" s="128" t="s">
        <v>2214</v>
      </c>
      <c r="D338" s="129">
        <v>4690</v>
      </c>
      <c r="E338" s="130" t="s">
        <v>2069</v>
      </c>
      <c r="G338" s="56">
        <v>40138</v>
      </c>
    </row>
    <row r="339" spans="1:7" x14ac:dyDescent="0.2">
      <c r="A339" s="48">
        <v>40134</v>
      </c>
      <c r="B339" s="49" t="s">
        <v>372</v>
      </c>
      <c r="C339" s="69" t="s">
        <v>3360</v>
      </c>
      <c r="D339" s="51">
        <v>4691</v>
      </c>
      <c r="E339" s="50" t="s">
        <v>3478</v>
      </c>
      <c r="G339" s="56">
        <v>40504</v>
      </c>
    </row>
    <row r="340" spans="1:7" x14ac:dyDescent="0.2">
      <c r="A340" s="48">
        <v>40356</v>
      </c>
      <c r="B340" s="49" t="s">
        <v>87</v>
      </c>
      <c r="D340" s="51">
        <v>4692</v>
      </c>
      <c r="G340" s="56">
        <v>40535</v>
      </c>
    </row>
    <row r="341" spans="1:7" x14ac:dyDescent="0.2">
      <c r="A341" s="48">
        <v>40213</v>
      </c>
      <c r="B341" s="49" t="s">
        <v>1799</v>
      </c>
      <c r="D341" s="51">
        <v>4695</v>
      </c>
      <c r="G341" s="56">
        <v>40616</v>
      </c>
    </row>
    <row r="342" spans="1:7" x14ac:dyDescent="0.2">
      <c r="A342" s="48">
        <v>40127</v>
      </c>
      <c r="B342" s="49" t="s">
        <v>2117</v>
      </c>
      <c r="C342" s="69" t="s">
        <v>2214</v>
      </c>
      <c r="D342" s="51">
        <v>4696</v>
      </c>
      <c r="G342" s="56">
        <v>40182</v>
      </c>
    </row>
    <row r="343" spans="1:7" x14ac:dyDescent="0.2">
      <c r="A343" s="48">
        <v>40122</v>
      </c>
      <c r="B343" s="49" t="s">
        <v>3791</v>
      </c>
      <c r="C343" s="69" t="s">
        <v>3360</v>
      </c>
      <c r="D343" s="51">
        <v>4697</v>
      </c>
      <c r="E343" s="50" t="s">
        <v>3165</v>
      </c>
      <c r="G343" s="56">
        <v>40616</v>
      </c>
    </row>
    <row r="344" spans="1:7" x14ac:dyDescent="0.2">
      <c r="A344" s="48">
        <v>40127</v>
      </c>
      <c r="B344" s="49" t="s">
        <v>2207</v>
      </c>
      <c r="C344" s="69" t="s">
        <v>646</v>
      </c>
      <c r="D344" s="51">
        <v>4698</v>
      </c>
      <c r="E344" s="50" t="s">
        <v>3482</v>
      </c>
      <c r="G344" s="56">
        <v>40616</v>
      </c>
    </row>
    <row r="345" spans="1:7" x14ac:dyDescent="0.2">
      <c r="A345" s="48">
        <v>40121</v>
      </c>
      <c r="B345" s="49" t="s">
        <v>1382</v>
      </c>
      <c r="C345" s="69" t="s">
        <v>3360</v>
      </c>
      <c r="D345" s="51">
        <v>4699</v>
      </c>
      <c r="E345" s="50" t="s">
        <v>1383</v>
      </c>
      <c r="G345" s="56">
        <v>40182</v>
      </c>
    </row>
    <row r="346" spans="1:7" x14ac:dyDescent="0.2">
      <c r="A346" s="48">
        <v>40120</v>
      </c>
      <c r="B346" s="49" t="s">
        <v>852</v>
      </c>
      <c r="C346" s="69" t="s">
        <v>3893</v>
      </c>
      <c r="D346" s="51">
        <v>4700</v>
      </c>
      <c r="E346" s="50" t="s">
        <v>3486</v>
      </c>
      <c r="G346" s="56">
        <v>40616</v>
      </c>
    </row>
    <row r="347" spans="1:7" x14ac:dyDescent="0.2">
      <c r="A347" s="126">
        <v>40108</v>
      </c>
      <c r="B347" s="127" t="s">
        <v>469</v>
      </c>
      <c r="C347" s="128" t="s">
        <v>3361</v>
      </c>
      <c r="D347" s="129">
        <v>4701</v>
      </c>
      <c r="E347" s="130" t="s">
        <v>3480</v>
      </c>
      <c r="G347" s="56">
        <v>40129</v>
      </c>
    </row>
    <row r="348" spans="1:7" x14ac:dyDescent="0.2">
      <c r="A348" s="48">
        <v>40108</v>
      </c>
      <c r="B348" s="49" t="s">
        <v>2640</v>
      </c>
      <c r="C348" s="69" t="s">
        <v>3361</v>
      </c>
      <c r="D348" s="51">
        <v>4702</v>
      </c>
      <c r="E348" s="50" t="s">
        <v>3478</v>
      </c>
      <c r="G348" s="56">
        <v>40504</v>
      </c>
    </row>
    <row r="349" spans="1:7" x14ac:dyDescent="0.2">
      <c r="A349" s="48">
        <v>40073</v>
      </c>
      <c r="B349" s="49" t="s">
        <v>1612</v>
      </c>
      <c r="C349" s="69" t="s">
        <v>3893</v>
      </c>
      <c r="D349" s="51">
        <v>4705</v>
      </c>
      <c r="E349" s="50" t="s">
        <v>433</v>
      </c>
      <c r="G349" s="56">
        <v>40080</v>
      </c>
    </row>
    <row r="350" spans="1:7" x14ac:dyDescent="0.2">
      <c r="A350" s="48">
        <v>40075</v>
      </c>
      <c r="B350" s="49" t="s">
        <v>2286</v>
      </c>
      <c r="C350" s="69" t="s">
        <v>2213</v>
      </c>
      <c r="D350" s="51">
        <v>4706</v>
      </c>
      <c r="E350" s="50" t="s">
        <v>3478</v>
      </c>
      <c r="G350" s="56">
        <v>40616</v>
      </c>
    </row>
    <row r="351" spans="1:7" x14ac:dyDescent="0.2">
      <c r="A351" s="48">
        <v>40075</v>
      </c>
      <c r="B351" s="49" t="s">
        <v>3636</v>
      </c>
      <c r="C351" s="69" t="s">
        <v>2213</v>
      </c>
      <c r="D351" s="51">
        <v>4707</v>
      </c>
      <c r="E351" s="50" t="s">
        <v>3478</v>
      </c>
      <c r="G351" s="56">
        <v>40094</v>
      </c>
    </row>
    <row r="352" spans="1:7" x14ac:dyDescent="0.2">
      <c r="A352" s="48">
        <v>40058</v>
      </c>
      <c r="B352" s="49" t="s">
        <v>3788</v>
      </c>
      <c r="C352" s="69" t="s">
        <v>3893</v>
      </c>
      <c r="D352" s="51">
        <v>4708</v>
      </c>
      <c r="E352" s="50" t="s">
        <v>323</v>
      </c>
      <c r="G352" s="56">
        <v>40616</v>
      </c>
    </row>
    <row r="353" spans="1:7" x14ac:dyDescent="0.2">
      <c r="A353" s="48">
        <v>40072</v>
      </c>
      <c r="B353" s="49" t="s">
        <v>3456</v>
      </c>
      <c r="C353" s="69" t="s">
        <v>2213</v>
      </c>
      <c r="D353" s="51">
        <v>4709</v>
      </c>
      <c r="E353" s="50" t="s">
        <v>2504</v>
      </c>
      <c r="G353" s="56">
        <v>40138</v>
      </c>
    </row>
    <row r="354" spans="1:7" x14ac:dyDescent="0.2">
      <c r="A354" s="48">
        <v>40023</v>
      </c>
      <c r="B354" s="49" t="s">
        <v>3074</v>
      </c>
      <c r="C354" s="69" t="s">
        <v>3742</v>
      </c>
      <c r="D354" s="51">
        <v>4711</v>
      </c>
      <c r="E354" s="50" t="s">
        <v>3032</v>
      </c>
      <c r="G354" s="56">
        <v>40138</v>
      </c>
    </row>
    <row r="355" spans="1:7" x14ac:dyDescent="0.2">
      <c r="A355" s="48">
        <v>40016</v>
      </c>
      <c r="B355" s="49" t="s">
        <v>3666</v>
      </c>
      <c r="C355" s="69" t="s">
        <v>3362</v>
      </c>
      <c r="D355" s="51">
        <v>4712</v>
      </c>
      <c r="E355" s="50" t="s">
        <v>2069</v>
      </c>
      <c r="G355" s="56">
        <v>40018</v>
      </c>
    </row>
    <row r="356" spans="1:7" x14ac:dyDescent="0.2">
      <c r="A356" s="48">
        <v>40011</v>
      </c>
      <c r="B356" s="49" t="s">
        <v>505</v>
      </c>
      <c r="C356" s="69" t="s">
        <v>3360</v>
      </c>
      <c r="D356" s="51">
        <v>4713</v>
      </c>
      <c r="E356" s="50" t="s">
        <v>3480</v>
      </c>
      <c r="G356" s="56">
        <v>40616</v>
      </c>
    </row>
    <row r="357" spans="1:7" x14ac:dyDescent="0.2">
      <c r="A357" s="48">
        <v>39990</v>
      </c>
      <c r="B357" s="49" t="s">
        <v>3212</v>
      </c>
      <c r="C357" s="69" t="s">
        <v>2213</v>
      </c>
      <c r="D357" s="51">
        <v>4717</v>
      </c>
      <c r="E357" s="50" t="s">
        <v>2789</v>
      </c>
      <c r="G357" s="56">
        <v>40023</v>
      </c>
    </row>
    <row r="358" spans="1:7" x14ac:dyDescent="0.2">
      <c r="A358" s="48">
        <v>39989</v>
      </c>
      <c r="B358" s="49" t="s">
        <v>1805</v>
      </c>
      <c r="C358" s="69" t="s">
        <v>3360</v>
      </c>
      <c r="D358" s="51">
        <v>4720</v>
      </c>
      <c r="E358" s="50" t="s">
        <v>3479</v>
      </c>
      <c r="G358" s="56">
        <v>40010</v>
      </c>
    </row>
    <row r="359" spans="1:7" x14ac:dyDescent="0.2">
      <c r="A359" s="48">
        <v>39979</v>
      </c>
      <c r="B359" s="49" t="s">
        <v>2361</v>
      </c>
      <c r="C359" s="69" t="s">
        <v>3360</v>
      </c>
      <c r="D359" s="51">
        <v>4721</v>
      </c>
      <c r="E359" s="50" t="s">
        <v>3165</v>
      </c>
      <c r="G359" s="56">
        <v>39981</v>
      </c>
    </row>
    <row r="360" spans="1:7" x14ac:dyDescent="0.2">
      <c r="A360" s="126">
        <v>39974</v>
      </c>
      <c r="B360" s="127" t="s">
        <v>1924</v>
      </c>
      <c r="C360" s="128" t="s">
        <v>3356</v>
      </c>
      <c r="D360" s="129">
        <v>4723</v>
      </c>
      <c r="E360" s="130" t="s">
        <v>3486</v>
      </c>
      <c r="G360" s="56">
        <v>39987</v>
      </c>
    </row>
    <row r="361" spans="1:7" x14ac:dyDescent="0.2">
      <c r="A361" s="48">
        <v>39972</v>
      </c>
      <c r="B361" s="49" t="s">
        <v>3684</v>
      </c>
      <c r="C361" s="69" t="s">
        <v>3360</v>
      </c>
      <c r="D361" s="51">
        <v>4724</v>
      </c>
      <c r="E361" s="50" t="s">
        <v>3480</v>
      </c>
      <c r="G361" s="56">
        <v>40616</v>
      </c>
    </row>
    <row r="362" spans="1:7" x14ac:dyDescent="0.2">
      <c r="A362" s="48">
        <v>39967</v>
      </c>
      <c r="B362" s="49" t="s">
        <v>348</v>
      </c>
      <c r="C362" s="69" t="s">
        <v>3362</v>
      </c>
      <c r="D362" s="51">
        <v>4725</v>
      </c>
      <c r="E362" s="50" t="s">
        <v>3837</v>
      </c>
      <c r="G362" s="56">
        <v>40182</v>
      </c>
    </row>
    <row r="363" spans="1:7" x14ac:dyDescent="0.2">
      <c r="A363" s="48">
        <v>39958</v>
      </c>
      <c r="B363" s="49" t="s">
        <v>1171</v>
      </c>
      <c r="C363" s="69" t="s">
        <v>3362</v>
      </c>
      <c r="D363" s="51">
        <v>4726</v>
      </c>
      <c r="E363" s="50" t="s">
        <v>3032</v>
      </c>
      <c r="G363" s="56">
        <v>40014</v>
      </c>
    </row>
    <row r="364" spans="1:7" x14ac:dyDescent="0.2">
      <c r="A364" s="126">
        <v>39930</v>
      </c>
      <c r="B364" s="127" t="s">
        <v>1823</v>
      </c>
      <c r="C364" s="128" t="s">
        <v>3360</v>
      </c>
      <c r="D364" s="129">
        <v>4727</v>
      </c>
      <c r="E364" s="130" t="s">
        <v>3486</v>
      </c>
      <c r="G364" s="56">
        <v>39959</v>
      </c>
    </row>
    <row r="365" spans="1:7" x14ac:dyDescent="0.2">
      <c r="A365" s="48">
        <v>39925</v>
      </c>
      <c r="B365" s="49" t="s">
        <v>3730</v>
      </c>
      <c r="C365" s="69" t="s">
        <v>3360</v>
      </c>
      <c r="D365" s="51">
        <v>4728</v>
      </c>
      <c r="E365" s="50" t="s">
        <v>2504</v>
      </c>
      <c r="G365" s="56">
        <v>39959</v>
      </c>
    </row>
    <row r="366" spans="1:7" x14ac:dyDescent="0.2">
      <c r="A366" s="126">
        <v>39935</v>
      </c>
      <c r="B366" s="127" t="s">
        <v>374</v>
      </c>
      <c r="C366" s="128" t="s">
        <v>3360</v>
      </c>
      <c r="D366" s="129">
        <v>4729</v>
      </c>
      <c r="E366" s="130" t="s">
        <v>3479</v>
      </c>
      <c r="G366" s="56">
        <v>39960</v>
      </c>
    </row>
    <row r="367" spans="1:7" x14ac:dyDescent="0.2">
      <c r="A367" s="126">
        <v>39917</v>
      </c>
      <c r="B367" s="127" t="s">
        <v>1718</v>
      </c>
      <c r="C367" s="128" t="s">
        <v>3361</v>
      </c>
      <c r="D367" s="129">
        <v>4730</v>
      </c>
      <c r="E367" s="130" t="s">
        <v>1562</v>
      </c>
      <c r="G367" s="56">
        <v>40051</v>
      </c>
    </row>
    <row r="368" spans="1:7" x14ac:dyDescent="0.2">
      <c r="A368" s="126">
        <v>39920</v>
      </c>
      <c r="B368" s="127" t="s">
        <v>3812</v>
      </c>
      <c r="C368" s="128" t="s">
        <v>3737</v>
      </c>
      <c r="D368" s="129">
        <v>4731</v>
      </c>
      <c r="E368" s="130" t="s">
        <v>1562</v>
      </c>
      <c r="G368" s="56">
        <v>39920</v>
      </c>
    </row>
    <row r="369" spans="1:7" x14ac:dyDescent="0.2">
      <c r="A369" s="126">
        <v>39911</v>
      </c>
      <c r="B369" s="127" t="s">
        <v>767</v>
      </c>
      <c r="C369" s="128" t="s">
        <v>768</v>
      </c>
      <c r="D369" s="129">
        <v>4732</v>
      </c>
      <c r="E369" s="130" t="s">
        <v>2504</v>
      </c>
      <c r="G369" s="56">
        <v>39975</v>
      </c>
    </row>
    <row r="370" spans="1:7" x14ac:dyDescent="0.2">
      <c r="A370" s="126">
        <v>39911</v>
      </c>
      <c r="B370" s="127" t="s">
        <v>1242</v>
      </c>
      <c r="C370" s="128" t="s">
        <v>3360</v>
      </c>
      <c r="D370" s="129">
        <v>4733</v>
      </c>
      <c r="E370" s="130" t="s">
        <v>3175</v>
      </c>
      <c r="G370" s="56">
        <v>39945</v>
      </c>
    </row>
    <row r="371" spans="1:7" x14ac:dyDescent="0.2">
      <c r="A371" s="48">
        <v>39905</v>
      </c>
      <c r="B371" s="49" t="s">
        <v>1448</v>
      </c>
      <c r="C371" s="69" t="s">
        <v>2214</v>
      </c>
      <c r="D371" s="51">
        <v>4735</v>
      </c>
      <c r="E371" s="50" t="s">
        <v>3837</v>
      </c>
      <c r="G371" s="56">
        <v>39959</v>
      </c>
    </row>
    <row r="372" spans="1:7" x14ac:dyDescent="0.2">
      <c r="A372" s="48">
        <v>39904</v>
      </c>
      <c r="B372" s="49" t="s">
        <v>815</v>
      </c>
      <c r="C372" s="69" t="s">
        <v>3360</v>
      </c>
      <c r="D372" s="51">
        <v>4736</v>
      </c>
      <c r="E372" s="50" t="s">
        <v>1562</v>
      </c>
      <c r="G372" s="56">
        <v>40616</v>
      </c>
    </row>
    <row r="373" spans="1:7" x14ac:dyDescent="0.2">
      <c r="A373" s="126">
        <v>39895</v>
      </c>
      <c r="B373" s="127" t="s">
        <v>1239</v>
      </c>
      <c r="C373" s="128" t="s">
        <v>3362</v>
      </c>
      <c r="D373" s="129">
        <v>4737</v>
      </c>
      <c r="E373" s="130" t="s">
        <v>3479</v>
      </c>
      <c r="G373" s="56">
        <v>39927</v>
      </c>
    </row>
    <row r="374" spans="1:7" x14ac:dyDescent="0.2">
      <c r="A374" s="48">
        <v>39884</v>
      </c>
      <c r="B374" s="49" t="s">
        <v>3248</v>
      </c>
      <c r="C374" s="69" t="s">
        <v>650</v>
      </c>
      <c r="D374" s="51">
        <v>4744</v>
      </c>
      <c r="E374" s="50" t="s">
        <v>3162</v>
      </c>
      <c r="G374" s="56">
        <v>39884</v>
      </c>
    </row>
    <row r="375" spans="1:7" x14ac:dyDescent="0.2">
      <c r="A375" s="126">
        <v>39863</v>
      </c>
      <c r="B375" s="127" t="s">
        <v>875</v>
      </c>
      <c r="C375" s="128" t="s">
        <v>2256</v>
      </c>
      <c r="D375" s="129">
        <v>4747</v>
      </c>
      <c r="E375" s="130" t="s">
        <v>3165</v>
      </c>
      <c r="G375" s="56">
        <v>39864</v>
      </c>
    </row>
    <row r="376" spans="1:7" x14ac:dyDescent="0.2">
      <c r="A376" s="126">
        <v>39861</v>
      </c>
      <c r="B376" s="127" t="s">
        <v>1380</v>
      </c>
      <c r="C376" s="128" t="s">
        <v>2214</v>
      </c>
      <c r="D376" s="129">
        <v>4748</v>
      </c>
      <c r="E376" s="130" t="s">
        <v>3032</v>
      </c>
      <c r="G376" s="56">
        <v>39877</v>
      </c>
    </row>
    <row r="377" spans="1:7" x14ac:dyDescent="0.2">
      <c r="A377" s="48">
        <v>39854</v>
      </c>
      <c r="B377" s="49" t="s">
        <v>645</v>
      </c>
      <c r="C377" s="69" t="s">
        <v>646</v>
      </c>
      <c r="D377" s="51">
        <v>4750</v>
      </c>
      <c r="E377" s="50" t="s">
        <v>3176</v>
      </c>
      <c r="G377" s="56">
        <v>39877</v>
      </c>
    </row>
    <row r="378" spans="1:7" x14ac:dyDescent="0.2">
      <c r="A378" s="48">
        <v>39848</v>
      </c>
      <c r="B378" s="49" t="s">
        <v>3626</v>
      </c>
      <c r="C378" s="69" t="s">
        <v>3362</v>
      </c>
      <c r="D378" s="51">
        <v>4751</v>
      </c>
      <c r="E378" s="50" t="s">
        <v>3482</v>
      </c>
      <c r="G378" s="56">
        <v>40616</v>
      </c>
    </row>
    <row r="379" spans="1:7" x14ac:dyDescent="0.2">
      <c r="A379" s="48">
        <v>39854</v>
      </c>
      <c r="B379" s="49" t="s">
        <v>917</v>
      </c>
      <c r="C379" s="69" t="s">
        <v>3908</v>
      </c>
      <c r="D379" s="51">
        <v>4752</v>
      </c>
      <c r="E379" s="50" t="s">
        <v>2504</v>
      </c>
      <c r="F379" s="50" t="s">
        <v>747</v>
      </c>
      <c r="G379" s="56">
        <v>39927</v>
      </c>
    </row>
    <row r="380" spans="1:7" x14ac:dyDescent="0.2">
      <c r="A380" s="48">
        <v>39847</v>
      </c>
      <c r="B380" s="49" t="s">
        <v>1196</v>
      </c>
      <c r="C380" s="69" t="s">
        <v>3362</v>
      </c>
      <c r="D380" s="51">
        <v>4753</v>
      </c>
      <c r="E380" s="50" t="s">
        <v>1562</v>
      </c>
      <c r="G380" s="56">
        <v>39996</v>
      </c>
    </row>
    <row r="381" spans="1:7" x14ac:dyDescent="0.2">
      <c r="A381" s="48">
        <v>39841</v>
      </c>
      <c r="B381" s="49" t="s">
        <v>1081</v>
      </c>
      <c r="C381" s="69" t="s">
        <v>2214</v>
      </c>
      <c r="D381" s="51">
        <v>4754</v>
      </c>
      <c r="E381" s="50" t="s">
        <v>3175</v>
      </c>
      <c r="G381" s="56">
        <v>40616</v>
      </c>
    </row>
    <row r="382" spans="1:7" x14ac:dyDescent="0.2">
      <c r="A382" s="48">
        <v>39833</v>
      </c>
      <c r="B382" s="49" t="s">
        <v>1012</v>
      </c>
      <c r="C382" s="69" t="s">
        <v>3361</v>
      </c>
      <c r="D382" s="51">
        <v>4759</v>
      </c>
      <c r="E382" s="50" t="s">
        <v>3482</v>
      </c>
      <c r="G382" s="56">
        <v>40051</v>
      </c>
    </row>
    <row r="383" spans="1:7" x14ac:dyDescent="0.2">
      <c r="A383" s="48">
        <v>39833</v>
      </c>
      <c r="B383" s="49" t="s">
        <v>3507</v>
      </c>
      <c r="C383" s="69" t="s">
        <v>3361</v>
      </c>
      <c r="D383" s="51">
        <v>4760</v>
      </c>
      <c r="E383" s="50" t="s">
        <v>2476</v>
      </c>
      <c r="G383" s="56">
        <v>39840</v>
      </c>
    </row>
    <row r="384" spans="1:7" x14ac:dyDescent="0.2">
      <c r="A384" s="126">
        <v>39833</v>
      </c>
      <c r="B384" s="127" t="s">
        <v>1770</v>
      </c>
      <c r="C384" s="128" t="s">
        <v>3361</v>
      </c>
      <c r="D384" s="129">
        <v>4761</v>
      </c>
      <c r="E384" s="130" t="s">
        <v>1562</v>
      </c>
      <c r="G384" s="56">
        <v>39904</v>
      </c>
    </row>
    <row r="385" spans="1:7" x14ac:dyDescent="0.2">
      <c r="A385" s="48">
        <v>39856</v>
      </c>
      <c r="B385" s="49" t="s">
        <v>1569</v>
      </c>
      <c r="C385" s="69" t="s">
        <v>3361</v>
      </c>
      <c r="D385" s="51">
        <v>4766</v>
      </c>
      <c r="E385" s="50" t="s">
        <v>3175</v>
      </c>
      <c r="F385" s="50">
        <v>1</v>
      </c>
      <c r="G385" s="56">
        <v>40714</v>
      </c>
    </row>
    <row r="386" spans="1:7" x14ac:dyDescent="0.2">
      <c r="A386" s="48">
        <v>39801</v>
      </c>
      <c r="B386" s="49" t="s">
        <v>779</v>
      </c>
      <c r="C386" s="69" t="s">
        <v>3360</v>
      </c>
      <c r="D386" s="51">
        <v>4769</v>
      </c>
      <c r="E386" s="50" t="s">
        <v>3608</v>
      </c>
      <c r="G386" s="56">
        <v>39818</v>
      </c>
    </row>
    <row r="387" spans="1:7" x14ac:dyDescent="0.2">
      <c r="A387" s="48">
        <v>39856</v>
      </c>
      <c r="B387" s="49" t="s">
        <v>1337</v>
      </c>
      <c r="C387" s="69" t="s">
        <v>3361</v>
      </c>
      <c r="D387" s="51">
        <v>4770</v>
      </c>
      <c r="E387" s="50" t="s">
        <v>3175</v>
      </c>
      <c r="F387" s="50" t="s">
        <v>747</v>
      </c>
      <c r="G387" s="56">
        <v>40616</v>
      </c>
    </row>
    <row r="388" spans="1:7" x14ac:dyDescent="0.2">
      <c r="A388" s="48">
        <v>40026</v>
      </c>
      <c r="B388" s="49" t="s">
        <v>3741</v>
      </c>
      <c r="C388" s="69" t="s">
        <v>3742</v>
      </c>
      <c r="D388" s="51">
        <v>4831</v>
      </c>
      <c r="E388" s="50" t="s">
        <v>3483</v>
      </c>
      <c r="G388" s="56">
        <v>40182</v>
      </c>
    </row>
    <row r="389" spans="1:7" x14ac:dyDescent="0.2">
      <c r="A389" s="48">
        <v>39793</v>
      </c>
      <c r="B389" s="49" t="s">
        <v>2712</v>
      </c>
      <c r="C389" s="69" t="s">
        <v>2213</v>
      </c>
      <c r="D389" s="51">
        <v>4864</v>
      </c>
      <c r="E389" s="50" t="s">
        <v>3165</v>
      </c>
      <c r="G389" s="56">
        <v>39855</v>
      </c>
    </row>
    <row r="390" spans="1:7" x14ac:dyDescent="0.2">
      <c r="A390" s="48">
        <v>39989</v>
      </c>
      <c r="B390" s="49" t="s">
        <v>1723</v>
      </c>
      <c r="C390" s="69" t="s">
        <v>3362</v>
      </c>
      <c r="D390" s="51">
        <v>4865</v>
      </c>
      <c r="E390" s="50" t="s">
        <v>1724</v>
      </c>
      <c r="G390" s="56">
        <v>40051</v>
      </c>
    </row>
    <row r="391" spans="1:7" x14ac:dyDescent="0.2">
      <c r="A391" s="126">
        <v>39793</v>
      </c>
      <c r="B391" s="127" t="s">
        <v>3012</v>
      </c>
      <c r="C391" s="128" t="s">
        <v>2214</v>
      </c>
      <c r="D391" s="129">
        <v>4866</v>
      </c>
      <c r="E391" s="130" t="s">
        <v>3480</v>
      </c>
      <c r="G391" s="56">
        <v>39875</v>
      </c>
    </row>
    <row r="392" spans="1:7" x14ac:dyDescent="0.2">
      <c r="A392" s="48">
        <v>39974</v>
      </c>
      <c r="B392" s="49" t="s">
        <v>1397</v>
      </c>
      <c r="C392" s="69" t="s">
        <v>3356</v>
      </c>
      <c r="D392" s="51">
        <v>4867</v>
      </c>
      <c r="E392" s="50" t="s">
        <v>3482</v>
      </c>
      <c r="G392" s="56">
        <v>40106</v>
      </c>
    </row>
    <row r="393" spans="1:7" x14ac:dyDescent="0.2">
      <c r="A393" s="48">
        <v>39974</v>
      </c>
      <c r="B393" s="49" t="s">
        <v>2627</v>
      </c>
      <c r="C393" s="69" t="s">
        <v>2213</v>
      </c>
      <c r="D393" s="51">
        <v>4868</v>
      </c>
      <c r="E393" s="50" t="s">
        <v>3175</v>
      </c>
      <c r="G393" s="56">
        <v>40616</v>
      </c>
    </row>
    <row r="394" spans="1:7" x14ac:dyDescent="0.2">
      <c r="A394" s="48">
        <v>39974</v>
      </c>
      <c r="B394" s="49" t="s">
        <v>3055</v>
      </c>
      <c r="C394" s="69" t="s">
        <v>3357</v>
      </c>
      <c r="D394" s="51">
        <v>4869</v>
      </c>
      <c r="G394" s="56">
        <v>40616</v>
      </c>
    </row>
    <row r="395" spans="1:7" x14ac:dyDescent="0.2">
      <c r="A395" s="48">
        <v>40338</v>
      </c>
      <c r="B395" s="49" t="s">
        <v>532</v>
      </c>
      <c r="C395" s="69" t="s">
        <v>2479</v>
      </c>
      <c r="D395" s="51">
        <v>4871</v>
      </c>
      <c r="G395" s="56">
        <v>40436</v>
      </c>
    </row>
    <row r="396" spans="1:7" x14ac:dyDescent="0.2">
      <c r="A396" s="48">
        <v>40352</v>
      </c>
      <c r="B396" s="49" t="s">
        <v>2350</v>
      </c>
      <c r="C396" s="69" t="s">
        <v>2351</v>
      </c>
      <c r="D396" s="51">
        <v>4872</v>
      </c>
      <c r="G396" s="56">
        <v>40436</v>
      </c>
    </row>
    <row r="397" spans="1:7" ht="25.5" x14ac:dyDescent="0.2">
      <c r="A397" s="48">
        <v>40332</v>
      </c>
      <c r="B397" s="49" t="s">
        <v>3618</v>
      </c>
      <c r="D397" s="51">
        <v>4873</v>
      </c>
      <c r="G397" s="56">
        <v>40535</v>
      </c>
    </row>
    <row r="398" spans="1:7" x14ac:dyDescent="0.2">
      <c r="A398" s="48">
        <v>40336</v>
      </c>
      <c r="B398" s="49" t="s">
        <v>3552</v>
      </c>
      <c r="C398" s="69" t="s">
        <v>3553</v>
      </c>
      <c r="D398" s="51">
        <v>4875</v>
      </c>
      <c r="G398" s="56">
        <v>40436</v>
      </c>
    </row>
    <row r="399" spans="1:7" x14ac:dyDescent="0.2">
      <c r="A399" s="48">
        <v>40294</v>
      </c>
      <c r="B399" s="49" t="s">
        <v>2501</v>
      </c>
      <c r="C399" s="69" t="s">
        <v>2502</v>
      </c>
      <c r="D399" s="51">
        <v>4876</v>
      </c>
      <c r="E399" s="50" t="s">
        <v>328</v>
      </c>
      <c r="G399" s="56">
        <v>40334</v>
      </c>
    </row>
    <row r="400" spans="1:7" x14ac:dyDescent="0.2">
      <c r="A400" s="48">
        <v>40294</v>
      </c>
      <c r="B400" s="49" t="s">
        <v>1136</v>
      </c>
      <c r="C400" s="69" t="s">
        <v>1137</v>
      </c>
      <c r="D400" s="51">
        <v>4879</v>
      </c>
      <c r="G400" s="56">
        <v>40436</v>
      </c>
    </row>
    <row r="401" spans="1:7" x14ac:dyDescent="0.2">
      <c r="A401" s="48">
        <v>40294</v>
      </c>
      <c r="B401" s="49" t="s">
        <v>1060</v>
      </c>
      <c r="C401" s="69" t="s">
        <v>2502</v>
      </c>
      <c r="D401" s="51">
        <v>4881</v>
      </c>
      <c r="E401" s="50" t="s">
        <v>3613</v>
      </c>
      <c r="G401" s="56">
        <v>40334</v>
      </c>
    </row>
    <row r="402" spans="1:7" x14ac:dyDescent="0.2">
      <c r="A402" s="48">
        <v>40277</v>
      </c>
      <c r="B402" s="49" t="s">
        <v>1245</v>
      </c>
      <c r="C402" s="69" t="s">
        <v>2502</v>
      </c>
      <c r="D402" s="51">
        <v>4883</v>
      </c>
      <c r="E402" s="50" t="s">
        <v>3162</v>
      </c>
      <c r="G402" s="56">
        <v>40616</v>
      </c>
    </row>
    <row r="403" spans="1:7" x14ac:dyDescent="0.2">
      <c r="A403" s="48">
        <v>40268</v>
      </c>
      <c r="B403" s="49" t="s">
        <v>1128</v>
      </c>
      <c r="C403" s="69" t="s">
        <v>1129</v>
      </c>
      <c r="D403" s="51">
        <v>4885</v>
      </c>
      <c r="G403" s="56">
        <v>40436</v>
      </c>
    </row>
    <row r="404" spans="1:7" x14ac:dyDescent="0.2">
      <c r="A404" s="48">
        <v>40267</v>
      </c>
      <c r="B404" s="49" t="s">
        <v>1117</v>
      </c>
      <c r="D404" s="51">
        <v>4886</v>
      </c>
      <c r="G404" s="56">
        <v>40535</v>
      </c>
    </row>
    <row r="405" spans="1:7" x14ac:dyDescent="0.2">
      <c r="A405" s="48">
        <v>40268</v>
      </c>
      <c r="B405" s="49" t="s">
        <v>3027</v>
      </c>
      <c r="C405" s="69" t="s">
        <v>2502</v>
      </c>
      <c r="D405" s="51">
        <v>4887</v>
      </c>
      <c r="E405" s="50" t="s">
        <v>328</v>
      </c>
      <c r="G405" s="56">
        <v>40334</v>
      </c>
    </row>
    <row r="406" spans="1:7" x14ac:dyDescent="0.2">
      <c r="A406" s="48">
        <v>40253</v>
      </c>
      <c r="B406" s="49" t="s">
        <v>3800</v>
      </c>
      <c r="C406" s="69" t="s">
        <v>816</v>
      </c>
      <c r="D406" s="51">
        <v>4891</v>
      </c>
      <c r="G406" s="56">
        <v>40436</v>
      </c>
    </row>
    <row r="407" spans="1:7" x14ac:dyDescent="0.2">
      <c r="A407" s="48">
        <v>40263</v>
      </c>
      <c r="B407" s="49" t="s">
        <v>1579</v>
      </c>
      <c r="D407" s="51">
        <v>4893</v>
      </c>
      <c r="G407" s="56">
        <v>40616</v>
      </c>
    </row>
    <row r="408" spans="1:7" x14ac:dyDescent="0.2">
      <c r="A408" s="48">
        <v>40238</v>
      </c>
      <c r="B408" s="49" t="s">
        <v>1730</v>
      </c>
      <c r="D408" s="51">
        <v>4894</v>
      </c>
      <c r="G408" s="56">
        <v>40535</v>
      </c>
    </row>
    <row r="409" spans="1:7" x14ac:dyDescent="0.2">
      <c r="A409" s="48">
        <v>40232</v>
      </c>
      <c r="B409" s="49" t="s">
        <v>260</v>
      </c>
      <c r="C409" s="69" t="s">
        <v>3893</v>
      </c>
      <c r="D409" s="51">
        <v>4899</v>
      </c>
      <c r="E409" s="50" t="s">
        <v>2494</v>
      </c>
      <c r="G409" s="56">
        <v>40210</v>
      </c>
    </row>
    <row r="410" spans="1:7" ht="25.5" x14ac:dyDescent="0.2">
      <c r="A410" s="48">
        <v>39877</v>
      </c>
      <c r="B410" s="49" t="s">
        <v>2336</v>
      </c>
      <c r="C410" s="69" t="s">
        <v>2337</v>
      </c>
      <c r="D410" s="51">
        <v>4908</v>
      </c>
      <c r="E410" s="50" t="s">
        <v>3486</v>
      </c>
      <c r="G410" s="56">
        <v>40616</v>
      </c>
    </row>
    <row r="411" spans="1:7" x14ac:dyDescent="0.2">
      <c r="A411" s="48">
        <v>39940</v>
      </c>
      <c r="B411" s="49" t="s">
        <v>1528</v>
      </c>
      <c r="C411" s="69" t="s">
        <v>3361</v>
      </c>
      <c r="D411" s="51">
        <v>5026</v>
      </c>
      <c r="E411" s="50" t="s">
        <v>2069</v>
      </c>
      <c r="G411" s="56">
        <v>39944</v>
      </c>
    </row>
    <row r="412" spans="1:7" x14ac:dyDescent="0.2">
      <c r="A412" s="48">
        <v>39938</v>
      </c>
      <c r="B412" s="49" t="s">
        <v>2646</v>
      </c>
      <c r="C412" s="69" t="s">
        <v>3362</v>
      </c>
      <c r="D412" s="51">
        <v>5027</v>
      </c>
      <c r="E412" s="50" t="s">
        <v>2069</v>
      </c>
      <c r="G412" s="56">
        <v>39944</v>
      </c>
    </row>
    <row r="413" spans="1:7" x14ac:dyDescent="0.2">
      <c r="A413" s="48">
        <v>39923</v>
      </c>
      <c r="B413" s="49" t="s">
        <v>2514</v>
      </c>
      <c r="C413" s="69" t="s">
        <v>2515</v>
      </c>
      <c r="D413" s="51">
        <v>5074</v>
      </c>
      <c r="E413" s="50" t="s">
        <v>3480</v>
      </c>
      <c r="G413" s="56">
        <v>39931</v>
      </c>
    </row>
    <row r="414" spans="1:7" x14ac:dyDescent="0.2">
      <c r="A414" s="48">
        <v>40102</v>
      </c>
      <c r="B414" s="49" t="s">
        <v>1365</v>
      </c>
      <c r="C414" s="69" t="s">
        <v>3893</v>
      </c>
      <c r="D414" s="51">
        <v>5098</v>
      </c>
      <c r="E414" s="50" t="s">
        <v>3176</v>
      </c>
      <c r="G414" s="56">
        <v>40616</v>
      </c>
    </row>
    <row r="415" spans="1:7" x14ac:dyDescent="0.2">
      <c r="A415" s="48">
        <v>40028</v>
      </c>
      <c r="B415" s="49" t="s">
        <v>2749</v>
      </c>
      <c r="C415" s="69" t="s">
        <v>3360</v>
      </c>
      <c r="D415" s="51">
        <v>5255</v>
      </c>
      <c r="E415" s="50" t="s">
        <v>3837</v>
      </c>
      <c r="G415" s="56">
        <v>40182</v>
      </c>
    </row>
    <row r="416" spans="1:7" x14ac:dyDescent="0.2">
      <c r="A416" s="48">
        <v>40065</v>
      </c>
      <c r="B416" s="49" t="s">
        <v>143</v>
      </c>
      <c r="C416" s="69" t="s">
        <v>3893</v>
      </c>
      <c r="D416" s="51">
        <v>5457</v>
      </c>
      <c r="E416" s="50" t="s">
        <v>2600</v>
      </c>
      <c r="G416" s="56">
        <v>40106</v>
      </c>
    </row>
    <row r="417" spans="1:7" x14ac:dyDescent="0.2">
      <c r="A417" s="48">
        <v>40071</v>
      </c>
      <c r="B417" s="49" t="s">
        <v>2617</v>
      </c>
      <c r="C417" s="69" t="s">
        <v>2618</v>
      </c>
      <c r="D417" s="51">
        <v>5464</v>
      </c>
      <c r="E417" s="50" t="s">
        <v>2504</v>
      </c>
      <c r="G417" s="56">
        <v>40138</v>
      </c>
    </row>
    <row r="418" spans="1:7" x14ac:dyDescent="0.2">
      <c r="A418" s="48">
        <v>40074</v>
      </c>
      <c r="B418" s="49" t="s">
        <v>320</v>
      </c>
      <c r="C418" s="69" t="s">
        <v>3361</v>
      </c>
      <c r="D418" s="51">
        <v>5467</v>
      </c>
      <c r="E418" s="50" t="s">
        <v>3175</v>
      </c>
      <c r="G418" s="56">
        <v>40182</v>
      </c>
    </row>
    <row r="419" spans="1:7" x14ac:dyDescent="0.2">
      <c r="A419" s="48">
        <v>40064</v>
      </c>
      <c r="B419" s="49" t="s">
        <v>2010</v>
      </c>
      <c r="C419" s="69" t="s">
        <v>3361</v>
      </c>
      <c r="D419" s="51">
        <v>5468</v>
      </c>
      <c r="E419" s="50" t="s">
        <v>3175</v>
      </c>
      <c r="G419" s="56">
        <v>40138</v>
      </c>
    </row>
    <row r="420" spans="1:7" x14ac:dyDescent="0.2">
      <c r="A420" s="48">
        <v>40105</v>
      </c>
      <c r="B420" s="49" t="s">
        <v>1338</v>
      </c>
      <c r="C420" s="69" t="s">
        <v>2214</v>
      </c>
      <c r="D420" s="51">
        <v>5484</v>
      </c>
      <c r="E420" s="50" t="s">
        <v>2504</v>
      </c>
      <c r="G420" s="56">
        <v>40138</v>
      </c>
    </row>
    <row r="421" spans="1:7" x14ac:dyDescent="0.2">
      <c r="A421" s="48">
        <v>40239</v>
      </c>
      <c r="B421" s="49" t="s">
        <v>3279</v>
      </c>
      <c r="C421" s="69" t="s">
        <v>2479</v>
      </c>
      <c r="D421" s="51">
        <v>5756</v>
      </c>
      <c r="G421" s="56">
        <v>40436</v>
      </c>
    </row>
    <row r="422" spans="1:7" x14ac:dyDescent="0.2">
      <c r="A422" s="48">
        <v>40277</v>
      </c>
      <c r="B422" s="49" t="s">
        <v>512</v>
      </c>
      <c r="C422" s="69" t="s">
        <v>513</v>
      </c>
      <c r="D422" s="51">
        <v>5773</v>
      </c>
      <c r="G422" s="56">
        <v>40436</v>
      </c>
    </row>
    <row r="423" spans="1:7" x14ac:dyDescent="0.2">
      <c r="A423" s="48">
        <v>40296</v>
      </c>
      <c r="B423" s="49" t="s">
        <v>3155</v>
      </c>
      <c r="D423" s="51">
        <v>5776</v>
      </c>
      <c r="G423" s="56">
        <v>40616</v>
      </c>
    </row>
    <row r="424" spans="1:7" x14ac:dyDescent="0.2">
      <c r="A424" s="48">
        <v>40316</v>
      </c>
      <c r="B424" s="49" t="s">
        <v>2775</v>
      </c>
      <c r="C424" s="69" t="s">
        <v>2776</v>
      </c>
      <c r="D424" s="51">
        <v>5781</v>
      </c>
      <c r="G424" s="56">
        <v>40436</v>
      </c>
    </row>
    <row r="425" spans="1:7" x14ac:dyDescent="0.2">
      <c r="A425" s="48">
        <v>40360</v>
      </c>
      <c r="B425" s="49" t="s">
        <v>3153</v>
      </c>
      <c r="D425" s="51">
        <v>5792</v>
      </c>
      <c r="G425" s="56">
        <v>40616</v>
      </c>
    </row>
    <row r="426" spans="1:7" ht="25.5" x14ac:dyDescent="0.2">
      <c r="A426" s="48">
        <v>40057</v>
      </c>
      <c r="B426" s="49" t="s">
        <v>1367</v>
      </c>
      <c r="C426" s="69" t="s">
        <v>3361</v>
      </c>
      <c r="D426" s="51">
        <v>5805</v>
      </c>
      <c r="E426" s="50" t="s">
        <v>1562</v>
      </c>
      <c r="G426" s="56">
        <v>40138</v>
      </c>
    </row>
    <row r="427" spans="1:7" x14ac:dyDescent="0.2">
      <c r="A427" s="48">
        <v>40200</v>
      </c>
      <c r="B427" s="49" t="s">
        <v>1289</v>
      </c>
      <c r="C427" s="69" t="s">
        <v>3893</v>
      </c>
      <c r="D427" s="51">
        <v>6032</v>
      </c>
      <c r="E427" s="50" t="s">
        <v>3837</v>
      </c>
      <c r="G427" s="56">
        <v>40616</v>
      </c>
    </row>
    <row r="428" spans="1:7" x14ac:dyDescent="0.2">
      <c r="A428" s="48">
        <v>40189</v>
      </c>
      <c r="B428" s="49" t="s">
        <v>2737</v>
      </c>
      <c r="C428" s="69" t="s">
        <v>2738</v>
      </c>
      <c r="D428" s="51">
        <v>6049</v>
      </c>
      <c r="E428" s="50" t="s">
        <v>3482</v>
      </c>
      <c r="G428" s="56">
        <v>40497</v>
      </c>
    </row>
    <row r="429" spans="1:7" ht="25.5" x14ac:dyDescent="0.2">
      <c r="A429" s="48">
        <v>40129</v>
      </c>
      <c r="B429" s="49" t="s">
        <v>3489</v>
      </c>
      <c r="C429" s="69" t="s">
        <v>3893</v>
      </c>
      <c r="D429" s="51">
        <v>6089</v>
      </c>
      <c r="E429" s="50" t="s">
        <v>3837</v>
      </c>
      <c r="G429" s="56">
        <v>40616</v>
      </c>
    </row>
    <row r="430" spans="1:7" x14ac:dyDescent="0.2">
      <c r="A430" s="126">
        <v>40395</v>
      </c>
      <c r="B430" s="127" t="s">
        <v>3048</v>
      </c>
      <c r="C430" s="128"/>
      <c r="D430" s="129">
        <v>6271</v>
      </c>
      <c r="E430" s="130"/>
      <c r="G430" s="56">
        <v>40535</v>
      </c>
    </row>
    <row r="431" spans="1:7" x14ac:dyDescent="0.2">
      <c r="A431" s="48">
        <v>40331</v>
      </c>
      <c r="B431" s="49" t="s">
        <v>1678</v>
      </c>
      <c r="C431" s="69" t="s">
        <v>1679</v>
      </c>
      <c r="D431" s="51">
        <v>6375</v>
      </c>
      <c r="G431" s="56">
        <v>40436</v>
      </c>
    </row>
    <row r="432" spans="1:7" ht="25.5" x14ac:dyDescent="0.2">
      <c r="A432" s="48">
        <v>40342</v>
      </c>
      <c r="B432" s="49" t="s">
        <v>2697</v>
      </c>
      <c r="D432" s="51">
        <v>6398</v>
      </c>
      <c r="G432" s="56">
        <v>40535</v>
      </c>
    </row>
    <row r="433" spans="1:7" x14ac:dyDescent="0.2">
      <c r="A433" s="48">
        <v>40366</v>
      </c>
      <c r="B433" s="49" t="s">
        <v>94</v>
      </c>
      <c r="C433" s="69" t="s">
        <v>95</v>
      </c>
      <c r="D433" s="51">
        <v>6430</v>
      </c>
      <c r="G433" s="56">
        <v>40436</v>
      </c>
    </row>
    <row r="434" spans="1:7" x14ac:dyDescent="0.2">
      <c r="A434" s="126">
        <v>40395</v>
      </c>
      <c r="B434" s="127" t="s">
        <v>3049</v>
      </c>
      <c r="C434" s="128"/>
      <c r="D434" s="129">
        <v>6445</v>
      </c>
      <c r="E434" s="130"/>
      <c r="G434" s="56">
        <v>40535</v>
      </c>
    </row>
    <row r="435" spans="1:7" x14ac:dyDescent="0.2">
      <c r="A435" s="196">
        <v>40479</v>
      </c>
      <c r="B435" s="195" t="s">
        <v>1463</v>
      </c>
      <c r="C435" s="197" t="s">
        <v>4020</v>
      </c>
      <c r="D435" s="198">
        <v>6461</v>
      </c>
      <c r="E435" s="199" t="s">
        <v>2504</v>
      </c>
      <c r="G435" s="56">
        <v>40616</v>
      </c>
    </row>
    <row r="436" spans="1:7" x14ac:dyDescent="0.2">
      <c r="A436" s="126">
        <v>40479</v>
      </c>
      <c r="B436" s="127" t="s">
        <v>2446</v>
      </c>
      <c r="C436" s="128" t="s">
        <v>2738</v>
      </c>
      <c r="D436" s="129">
        <v>6462</v>
      </c>
      <c r="E436" s="130" t="s">
        <v>2504</v>
      </c>
      <c r="G436" s="56">
        <v>40484</v>
      </c>
    </row>
    <row r="437" spans="1:7" x14ac:dyDescent="0.2">
      <c r="A437" s="48">
        <v>40479</v>
      </c>
      <c r="B437" s="49" t="s">
        <v>1881</v>
      </c>
      <c r="C437" s="69" t="s">
        <v>2738</v>
      </c>
      <c r="D437" s="51">
        <v>6463</v>
      </c>
      <c r="E437" s="50" t="s">
        <v>328</v>
      </c>
      <c r="G437" s="56">
        <v>40497</v>
      </c>
    </row>
    <row r="438" spans="1:7" x14ac:dyDescent="0.2">
      <c r="A438" s="48">
        <v>40386</v>
      </c>
      <c r="B438" s="49" t="s">
        <v>939</v>
      </c>
      <c r="C438" s="69" t="s">
        <v>1679</v>
      </c>
      <c r="D438" s="51">
        <v>6605</v>
      </c>
      <c r="G438" s="56">
        <v>40436</v>
      </c>
    </row>
    <row r="439" spans="1:7" ht="25.5" x14ac:dyDescent="0.2">
      <c r="A439" s="48">
        <v>40393</v>
      </c>
      <c r="B439" s="49" t="s">
        <v>3619</v>
      </c>
      <c r="D439" s="51">
        <v>6608</v>
      </c>
      <c r="G439" s="56">
        <v>40535</v>
      </c>
    </row>
    <row r="440" spans="1:7" x14ac:dyDescent="0.2">
      <c r="A440" s="126">
        <v>40480</v>
      </c>
      <c r="B440" s="127" t="s">
        <v>1299</v>
      </c>
      <c r="C440" s="128" t="s">
        <v>4020</v>
      </c>
      <c r="D440" s="129">
        <v>6621</v>
      </c>
      <c r="E440" s="130" t="s">
        <v>3165</v>
      </c>
      <c r="G440" s="56">
        <v>40497</v>
      </c>
    </row>
    <row r="441" spans="1:7" x14ac:dyDescent="0.2">
      <c r="A441" s="126">
        <v>40486</v>
      </c>
      <c r="B441" s="127" t="s">
        <v>2624</v>
      </c>
      <c r="C441" s="128"/>
      <c r="D441" s="129">
        <v>6622</v>
      </c>
      <c r="E441" s="130"/>
      <c r="G441" s="56">
        <v>40513</v>
      </c>
    </row>
    <row r="442" spans="1:7" x14ac:dyDescent="0.2">
      <c r="A442" s="48">
        <v>40528</v>
      </c>
      <c r="B442" s="49" t="s">
        <v>1384</v>
      </c>
      <c r="C442" s="69" t="s">
        <v>1385</v>
      </c>
      <c r="D442" s="51">
        <v>6632</v>
      </c>
      <c r="F442" s="50">
        <v>2</v>
      </c>
      <c r="G442" s="56">
        <v>40652</v>
      </c>
    </row>
    <row r="443" spans="1:7" x14ac:dyDescent="0.2">
      <c r="A443" s="48">
        <v>40528</v>
      </c>
      <c r="B443" s="49" t="s">
        <v>1249</v>
      </c>
      <c r="C443" s="69" t="s">
        <v>1385</v>
      </c>
      <c r="D443" s="51">
        <v>6633</v>
      </c>
      <c r="E443" s="50" t="s">
        <v>3162</v>
      </c>
      <c r="G443" s="56">
        <v>40616</v>
      </c>
    </row>
    <row r="444" spans="1:7" x14ac:dyDescent="0.2">
      <c r="A444" s="48">
        <v>40549</v>
      </c>
      <c r="B444" s="49" t="s">
        <v>2603</v>
      </c>
      <c r="C444" s="69" t="s">
        <v>4020</v>
      </c>
      <c r="D444" s="51">
        <v>6634</v>
      </c>
      <c r="E444" s="50" t="s">
        <v>2504</v>
      </c>
      <c r="G444" s="56">
        <v>40616</v>
      </c>
    </row>
    <row r="445" spans="1:7" x14ac:dyDescent="0.2">
      <c r="A445" s="48">
        <v>40570</v>
      </c>
      <c r="B445" s="49" t="s">
        <v>1020</v>
      </c>
      <c r="C445" s="69" t="s">
        <v>3131</v>
      </c>
      <c r="D445" s="51">
        <v>6639</v>
      </c>
      <c r="E445" s="50" t="s">
        <v>774</v>
      </c>
      <c r="F445" s="50">
        <v>1</v>
      </c>
      <c r="G445" s="56">
        <v>40652</v>
      </c>
    </row>
    <row r="446" spans="1:7" x14ac:dyDescent="0.2">
      <c r="A446" s="48">
        <v>40569</v>
      </c>
      <c r="B446" s="49" t="s">
        <v>2908</v>
      </c>
      <c r="C446" s="69" t="s">
        <v>2909</v>
      </c>
      <c r="D446" s="51">
        <v>6650</v>
      </c>
      <c r="E446" s="50" t="s">
        <v>3162</v>
      </c>
      <c r="F446" s="50">
        <v>2</v>
      </c>
      <c r="G446" s="56">
        <v>40652</v>
      </c>
    </row>
    <row r="447" spans="1:7" x14ac:dyDescent="0.2">
      <c r="A447" s="48">
        <v>40672</v>
      </c>
      <c r="B447" s="49" t="s">
        <v>1537</v>
      </c>
      <c r="C447" s="69" t="s">
        <v>3131</v>
      </c>
      <c r="D447" s="51">
        <v>6651</v>
      </c>
      <c r="E447" s="50" t="s">
        <v>3165</v>
      </c>
      <c r="G447" s="56">
        <v>40676</v>
      </c>
    </row>
    <row r="448" spans="1:7" x14ac:dyDescent="0.2">
      <c r="A448" s="126">
        <v>40392</v>
      </c>
      <c r="B448" s="127" t="s">
        <v>2216</v>
      </c>
      <c r="C448" s="128" t="s">
        <v>2215</v>
      </c>
      <c r="D448" s="129">
        <v>6652</v>
      </c>
      <c r="E448" s="130"/>
      <c r="G448" s="56">
        <v>40436</v>
      </c>
    </row>
    <row r="449" spans="1:8" x14ac:dyDescent="0.2">
      <c r="A449" s="48">
        <v>40387</v>
      </c>
      <c r="B449" s="49" t="s">
        <v>2698</v>
      </c>
      <c r="D449" s="51">
        <v>6654</v>
      </c>
      <c r="G449" s="56">
        <v>40535</v>
      </c>
    </row>
    <row r="450" spans="1:8" x14ac:dyDescent="0.2">
      <c r="A450" s="48">
        <v>40592</v>
      </c>
      <c r="B450" s="49" t="s">
        <v>214</v>
      </c>
      <c r="C450" s="69" t="s">
        <v>215</v>
      </c>
      <c r="D450" s="51">
        <v>7055</v>
      </c>
      <c r="E450" s="50" t="s">
        <v>3837</v>
      </c>
      <c r="G450" s="56">
        <v>40631</v>
      </c>
    </row>
    <row r="451" spans="1:8" x14ac:dyDescent="0.2">
      <c r="A451" s="48">
        <v>40592</v>
      </c>
      <c r="B451" s="49" t="s">
        <v>352</v>
      </c>
      <c r="C451" s="69" t="s">
        <v>855</v>
      </c>
      <c r="D451" s="51">
        <v>7056</v>
      </c>
      <c r="E451" s="50" t="s">
        <v>353</v>
      </c>
      <c r="G451" s="56">
        <v>40631</v>
      </c>
    </row>
    <row r="452" spans="1:8" x14ac:dyDescent="0.2">
      <c r="A452" s="48">
        <v>40681</v>
      </c>
      <c r="B452" s="49" t="s">
        <v>3667</v>
      </c>
      <c r="C452" s="69" t="s">
        <v>1026</v>
      </c>
      <c r="D452" s="51">
        <v>7069</v>
      </c>
      <c r="E452" s="50" t="s">
        <v>2141</v>
      </c>
      <c r="G452" s="56" t="s">
        <v>2281</v>
      </c>
    </row>
    <row r="453" spans="1:8" x14ac:dyDescent="0.2">
      <c r="A453" s="48">
        <v>40679</v>
      </c>
      <c r="B453" s="49" t="s">
        <v>3725</v>
      </c>
      <c r="C453" s="69" t="s">
        <v>3131</v>
      </c>
      <c r="D453" s="51">
        <v>7070</v>
      </c>
      <c r="E453" s="50" t="s">
        <v>3162</v>
      </c>
      <c r="F453" s="50">
        <v>4</v>
      </c>
      <c r="G453" s="56">
        <v>40735</v>
      </c>
    </row>
    <row r="454" spans="1:8" x14ac:dyDescent="0.2">
      <c r="A454" s="48">
        <v>40676</v>
      </c>
      <c r="B454" s="49" t="s">
        <v>4009</v>
      </c>
      <c r="C454" s="69" t="s">
        <v>4010</v>
      </c>
      <c r="D454" s="51">
        <v>7071</v>
      </c>
      <c r="E454" s="50" t="s">
        <v>2371</v>
      </c>
      <c r="F454" s="50">
        <v>1</v>
      </c>
      <c r="G454" s="56">
        <v>40731</v>
      </c>
    </row>
    <row r="455" spans="1:8" x14ac:dyDescent="0.2">
      <c r="A455" s="48">
        <v>40725</v>
      </c>
      <c r="B455" s="49" t="s">
        <v>151</v>
      </c>
      <c r="C455" s="69" t="s">
        <v>2988</v>
      </c>
      <c r="D455" s="51">
        <v>7277</v>
      </c>
      <c r="E455" s="50" t="s">
        <v>3175</v>
      </c>
      <c r="F455" s="50">
        <v>3</v>
      </c>
      <c r="G455" s="56">
        <v>40813</v>
      </c>
    </row>
    <row r="456" spans="1:8" x14ac:dyDescent="0.2">
      <c r="A456" s="48">
        <v>40674</v>
      </c>
      <c r="B456" s="49" t="s">
        <v>296</v>
      </c>
      <c r="C456" s="69" t="s">
        <v>3131</v>
      </c>
      <c r="D456" s="51">
        <v>7076</v>
      </c>
      <c r="E456" s="50" t="s">
        <v>2504</v>
      </c>
      <c r="F456" s="50">
        <v>1</v>
      </c>
      <c r="G456" s="56">
        <v>40731</v>
      </c>
    </row>
    <row r="457" spans="1:8" x14ac:dyDescent="0.2">
      <c r="A457" s="48">
        <v>40595</v>
      </c>
      <c r="B457" s="49" t="s">
        <v>3675</v>
      </c>
      <c r="C457" s="69" t="s">
        <v>3676</v>
      </c>
      <c r="D457" s="51">
        <v>7151</v>
      </c>
      <c r="E457" s="50" t="s">
        <v>2789</v>
      </c>
      <c r="G457" s="56">
        <v>40616</v>
      </c>
    </row>
    <row r="458" spans="1:8" x14ac:dyDescent="0.2">
      <c r="A458" s="48">
        <v>40596</v>
      </c>
      <c r="B458" s="49" t="s">
        <v>3002</v>
      </c>
      <c r="C458" s="69" t="s">
        <v>3358</v>
      </c>
      <c r="D458" s="51">
        <v>7153</v>
      </c>
      <c r="E458" s="50" t="s">
        <v>351</v>
      </c>
      <c r="F458" s="50">
        <v>1</v>
      </c>
      <c r="G458" s="56">
        <v>40652</v>
      </c>
    </row>
    <row r="459" spans="1:8" x14ac:dyDescent="0.2">
      <c r="A459" s="48">
        <v>40598</v>
      </c>
      <c r="B459" s="49" t="s">
        <v>720</v>
      </c>
      <c r="C459" s="69" t="s">
        <v>3361</v>
      </c>
      <c r="D459" s="51">
        <v>7156</v>
      </c>
      <c r="E459" s="50" t="s">
        <v>3175</v>
      </c>
      <c r="G459" s="56">
        <v>40716</v>
      </c>
    </row>
    <row r="460" spans="1:8" x14ac:dyDescent="0.2">
      <c r="A460" s="48">
        <v>40603</v>
      </c>
      <c r="B460" s="49" t="s">
        <v>216</v>
      </c>
      <c r="C460" s="69" t="s">
        <v>217</v>
      </c>
      <c r="D460" s="51">
        <v>7157</v>
      </c>
      <c r="E460" s="50" t="s">
        <v>218</v>
      </c>
      <c r="G460" s="56">
        <v>40631</v>
      </c>
    </row>
    <row r="461" spans="1:8" ht="25.5" x14ac:dyDescent="0.2">
      <c r="A461" s="48">
        <v>40606</v>
      </c>
      <c r="B461" s="49" t="s">
        <v>3546</v>
      </c>
      <c r="C461" s="69" t="s">
        <v>3547</v>
      </c>
      <c r="D461" s="51">
        <v>7161</v>
      </c>
      <c r="E461" s="50" t="s">
        <v>2504</v>
      </c>
      <c r="G461" s="56">
        <v>40631</v>
      </c>
    </row>
    <row r="462" spans="1:8" x14ac:dyDescent="0.2">
      <c r="A462" s="48">
        <v>40504</v>
      </c>
      <c r="B462" s="49" t="s">
        <v>3130</v>
      </c>
      <c r="C462" s="69" t="s">
        <v>3131</v>
      </c>
      <c r="D462" s="51">
        <v>7165</v>
      </c>
      <c r="G462" s="56">
        <v>40547</v>
      </c>
    </row>
    <row r="463" spans="1:8" x14ac:dyDescent="0.2">
      <c r="A463" s="126">
        <v>40614</v>
      </c>
      <c r="B463" s="127" t="s">
        <v>3210</v>
      </c>
      <c r="C463" s="128" t="s">
        <v>3131</v>
      </c>
      <c r="D463" s="129">
        <v>7170</v>
      </c>
      <c r="E463" s="130" t="s">
        <v>859</v>
      </c>
      <c r="F463" s="50">
        <v>2</v>
      </c>
      <c r="G463" s="56">
        <v>40652</v>
      </c>
      <c r="H463" s="178" t="s">
        <v>611</v>
      </c>
    </row>
    <row r="464" spans="1:8" x14ac:dyDescent="0.2">
      <c r="A464" s="48">
        <v>40616</v>
      </c>
      <c r="B464" s="49" t="s">
        <v>2995</v>
      </c>
      <c r="C464" s="69" t="s">
        <v>3131</v>
      </c>
      <c r="D464" s="51">
        <v>7173</v>
      </c>
      <c r="E464" s="50" t="s">
        <v>3165</v>
      </c>
      <c r="G464" s="56">
        <v>40631</v>
      </c>
    </row>
    <row r="465" spans="1:8" x14ac:dyDescent="0.2">
      <c r="A465" s="126">
        <v>40616</v>
      </c>
      <c r="B465" s="127" t="s">
        <v>1104</v>
      </c>
      <c r="C465" s="128" t="s">
        <v>3131</v>
      </c>
      <c r="D465" s="129">
        <v>7174</v>
      </c>
      <c r="E465" s="130" t="s">
        <v>774</v>
      </c>
      <c r="G465" s="56">
        <v>40631</v>
      </c>
      <c r="H465" s="178" t="s">
        <v>611</v>
      </c>
    </row>
    <row r="466" spans="1:8" x14ac:dyDescent="0.2">
      <c r="A466" s="48">
        <v>40619</v>
      </c>
      <c r="B466" s="49" t="s">
        <v>1188</v>
      </c>
      <c r="C466" s="69" t="s">
        <v>1026</v>
      </c>
      <c r="D466" s="51">
        <v>7186</v>
      </c>
      <c r="E466" s="50" t="s">
        <v>3165</v>
      </c>
      <c r="G466" s="56">
        <v>40631</v>
      </c>
    </row>
    <row r="467" spans="1:8" x14ac:dyDescent="0.2">
      <c r="A467" s="48">
        <v>40619</v>
      </c>
      <c r="B467" s="49" t="s">
        <v>1850</v>
      </c>
      <c r="C467" s="69" t="s">
        <v>255</v>
      </c>
      <c r="D467" s="51">
        <v>7187</v>
      </c>
      <c r="E467" s="50" t="s">
        <v>2504</v>
      </c>
      <c r="F467" s="50">
        <v>1</v>
      </c>
      <c r="G467" s="56">
        <v>40731</v>
      </c>
    </row>
    <row r="468" spans="1:8" x14ac:dyDescent="0.2">
      <c r="A468" s="48">
        <v>40623</v>
      </c>
      <c r="B468" s="49" t="s">
        <v>2480</v>
      </c>
      <c r="C468" s="69" t="s">
        <v>2479</v>
      </c>
      <c r="D468" s="51">
        <v>7191</v>
      </c>
      <c r="E468" s="50" t="s">
        <v>2494</v>
      </c>
      <c r="F468" s="50">
        <v>1</v>
      </c>
      <c r="G468" s="56">
        <v>40631</v>
      </c>
    </row>
    <row r="469" spans="1:8" x14ac:dyDescent="0.2">
      <c r="A469" s="48">
        <v>40624</v>
      </c>
      <c r="B469" s="49" t="s">
        <v>1466</v>
      </c>
      <c r="C469" s="69" t="s">
        <v>3131</v>
      </c>
      <c r="D469" s="51">
        <v>7194</v>
      </c>
      <c r="E469" s="50" t="s">
        <v>1467</v>
      </c>
      <c r="F469" s="50">
        <v>1</v>
      </c>
      <c r="G469" s="56">
        <v>40631</v>
      </c>
    </row>
    <row r="470" spans="1:8" x14ac:dyDescent="0.2">
      <c r="A470" s="48">
        <v>40630</v>
      </c>
      <c r="B470" s="49" t="s">
        <v>1656</v>
      </c>
      <c r="C470" s="69" t="s">
        <v>1657</v>
      </c>
      <c r="D470" s="51">
        <v>7205</v>
      </c>
      <c r="E470" s="50" t="s">
        <v>1658</v>
      </c>
      <c r="F470" s="50">
        <v>1</v>
      </c>
      <c r="G470" s="56">
        <v>40638</v>
      </c>
    </row>
    <row r="471" spans="1:8" x14ac:dyDescent="0.2">
      <c r="A471" s="48">
        <v>40630</v>
      </c>
      <c r="B471" s="49" t="s">
        <v>1661</v>
      </c>
      <c r="C471" s="69" t="s">
        <v>1662</v>
      </c>
      <c r="D471" s="51">
        <v>7206</v>
      </c>
      <c r="E471" s="50" t="s">
        <v>2494</v>
      </c>
      <c r="F471" s="50">
        <v>1</v>
      </c>
      <c r="G471" s="56">
        <v>40652</v>
      </c>
    </row>
    <row r="472" spans="1:8" x14ac:dyDescent="0.2">
      <c r="A472" s="48">
        <v>40633</v>
      </c>
      <c r="B472" s="49" t="s">
        <v>3584</v>
      </c>
      <c r="C472" s="69" t="s">
        <v>3585</v>
      </c>
      <c r="D472" s="51">
        <v>7211</v>
      </c>
      <c r="E472" s="50" t="s">
        <v>3837</v>
      </c>
      <c r="F472" s="50">
        <v>1</v>
      </c>
      <c r="G472" s="56">
        <v>40714</v>
      </c>
    </row>
    <row r="473" spans="1:8" x14ac:dyDescent="0.2">
      <c r="A473" s="48">
        <v>40638</v>
      </c>
      <c r="B473" s="49" t="s">
        <v>2088</v>
      </c>
      <c r="C473" s="69" t="s">
        <v>95</v>
      </c>
      <c r="D473" s="51">
        <v>7214</v>
      </c>
      <c r="E473" s="50" t="s">
        <v>774</v>
      </c>
      <c r="G473" s="56">
        <v>40652</v>
      </c>
    </row>
    <row r="474" spans="1:8" x14ac:dyDescent="0.2">
      <c r="A474" s="48">
        <v>40654</v>
      </c>
      <c r="B474" s="49" t="s">
        <v>2167</v>
      </c>
      <c r="C474" s="69" t="s">
        <v>3361</v>
      </c>
      <c r="D474" s="51">
        <v>7225</v>
      </c>
      <c r="E474" s="50" t="s">
        <v>2504</v>
      </c>
      <c r="G474" s="56">
        <v>40716</v>
      </c>
    </row>
    <row r="475" spans="1:8" x14ac:dyDescent="0.2">
      <c r="A475" s="48">
        <v>40654</v>
      </c>
      <c r="B475" s="49" t="s">
        <v>2166</v>
      </c>
      <c r="C475" s="69" t="s">
        <v>1026</v>
      </c>
      <c r="D475" s="51">
        <v>7226</v>
      </c>
      <c r="E475" s="50" t="s">
        <v>2504</v>
      </c>
      <c r="F475" s="50">
        <v>3</v>
      </c>
      <c r="G475" s="56">
        <v>40724</v>
      </c>
    </row>
    <row r="476" spans="1:8" x14ac:dyDescent="0.2">
      <c r="A476" s="48">
        <v>40662</v>
      </c>
      <c r="B476" s="49" t="s">
        <v>1340</v>
      </c>
      <c r="C476" s="69" t="s">
        <v>3131</v>
      </c>
      <c r="D476" s="51">
        <v>7228</v>
      </c>
      <c r="E476" s="50" t="s">
        <v>3165</v>
      </c>
      <c r="G476" s="56">
        <v>40681</v>
      </c>
    </row>
    <row r="477" spans="1:8" x14ac:dyDescent="0.2">
      <c r="A477" s="48">
        <v>40665</v>
      </c>
      <c r="B477" s="49" t="s">
        <v>2354</v>
      </c>
      <c r="C477" s="69" t="s">
        <v>3361</v>
      </c>
      <c r="D477" s="51">
        <v>7233</v>
      </c>
      <c r="E477" s="50" t="s">
        <v>3032</v>
      </c>
      <c r="F477" s="50">
        <v>1</v>
      </c>
      <c r="G477" s="56">
        <v>40731</v>
      </c>
    </row>
    <row r="478" spans="1:8" x14ac:dyDescent="0.2">
      <c r="A478" s="48">
        <v>40665</v>
      </c>
      <c r="B478" s="49" t="s">
        <v>1090</v>
      </c>
      <c r="C478" s="69" t="s">
        <v>3361</v>
      </c>
      <c r="D478" s="51">
        <v>7234</v>
      </c>
      <c r="E478" s="50" t="s">
        <v>3032</v>
      </c>
      <c r="G478" s="56">
        <v>40716</v>
      </c>
    </row>
    <row r="479" spans="1:8" x14ac:dyDescent="0.2">
      <c r="A479" s="48">
        <v>40670</v>
      </c>
      <c r="B479" s="49" t="s">
        <v>3887</v>
      </c>
      <c r="C479" s="69" t="s">
        <v>1026</v>
      </c>
      <c r="D479" s="51">
        <v>7240</v>
      </c>
      <c r="E479" s="50" t="s">
        <v>2504</v>
      </c>
      <c r="G479" s="56">
        <v>40676</v>
      </c>
    </row>
    <row r="480" spans="1:8" x14ac:dyDescent="0.2">
      <c r="A480" s="48">
        <v>40672</v>
      </c>
      <c r="B480" s="49" t="s">
        <v>651</v>
      </c>
      <c r="C480" s="69" t="s">
        <v>3131</v>
      </c>
      <c r="D480" s="51">
        <v>7241</v>
      </c>
      <c r="E480" s="50" t="s">
        <v>3165</v>
      </c>
      <c r="G480" s="56">
        <v>40689</v>
      </c>
    </row>
    <row r="481" spans="1:7" x14ac:dyDescent="0.2">
      <c r="A481" s="48">
        <v>40721</v>
      </c>
      <c r="B481" s="49" t="s">
        <v>2086</v>
      </c>
      <c r="C481" s="69" t="s">
        <v>1707</v>
      </c>
      <c r="D481" s="51">
        <v>7270</v>
      </c>
      <c r="E481" s="50" t="s">
        <v>2494</v>
      </c>
      <c r="F481" s="50">
        <v>1</v>
      </c>
      <c r="G481" s="56">
        <v>40731</v>
      </c>
    </row>
    <row r="482" spans="1:7" x14ac:dyDescent="0.2">
      <c r="A482" s="48">
        <v>40710</v>
      </c>
      <c r="B482" s="49" t="s">
        <v>3509</v>
      </c>
      <c r="C482" s="69" t="s">
        <v>2215</v>
      </c>
      <c r="D482" s="51">
        <v>7853</v>
      </c>
      <c r="F482" s="50">
        <v>1</v>
      </c>
      <c r="G482" s="56">
        <v>40724</v>
      </c>
    </row>
    <row r="483" spans="1:7" ht="25.5" x14ac:dyDescent="0.2">
      <c r="A483" s="48">
        <v>40688</v>
      </c>
      <c r="B483" s="49" t="s">
        <v>515</v>
      </c>
      <c r="C483" s="69" t="s">
        <v>1679</v>
      </c>
      <c r="D483" s="51">
        <v>7862</v>
      </c>
      <c r="E483" s="50" t="s">
        <v>3597</v>
      </c>
      <c r="G483" s="56">
        <v>40714</v>
      </c>
    </row>
    <row r="484" spans="1:7" x14ac:dyDescent="0.2">
      <c r="A484" s="48">
        <v>40690</v>
      </c>
      <c r="B484" s="49" t="s">
        <v>2871</v>
      </c>
      <c r="C484" s="69" t="s">
        <v>3131</v>
      </c>
      <c r="D484" s="51">
        <v>7865</v>
      </c>
      <c r="E484" s="50" t="s">
        <v>3165</v>
      </c>
      <c r="G484" s="56">
        <v>40694</v>
      </c>
    </row>
    <row r="485" spans="1:7" x14ac:dyDescent="0.2">
      <c r="A485" s="48">
        <v>40689</v>
      </c>
      <c r="B485" s="49" t="s">
        <v>1459</v>
      </c>
      <c r="C485" s="69" t="s">
        <v>2479</v>
      </c>
      <c r="D485" s="51">
        <v>7866</v>
      </c>
      <c r="E485" s="50" t="s">
        <v>353</v>
      </c>
      <c r="F485" s="50">
        <v>2</v>
      </c>
      <c r="G485" s="56">
        <v>40731</v>
      </c>
    </row>
    <row r="486" spans="1:7" x14ac:dyDescent="0.2">
      <c r="A486" s="196">
        <v>40681</v>
      </c>
      <c r="B486" s="195" t="s">
        <v>2140</v>
      </c>
      <c r="C486" s="197" t="s">
        <v>2479</v>
      </c>
      <c r="D486" s="198">
        <v>7871</v>
      </c>
      <c r="E486" s="199" t="s">
        <v>2141</v>
      </c>
      <c r="G486" s="56" t="s">
        <v>2280</v>
      </c>
    </row>
    <row r="487" spans="1:7" x14ac:dyDescent="0.2">
      <c r="A487" s="48">
        <v>40686</v>
      </c>
      <c r="B487" s="49" t="s">
        <v>3350</v>
      </c>
      <c r="C487" s="69" t="s">
        <v>3893</v>
      </c>
      <c r="D487" s="51">
        <v>7872</v>
      </c>
      <c r="E487" s="50" t="s">
        <v>2504</v>
      </c>
      <c r="F487" s="50">
        <v>4</v>
      </c>
      <c r="G487" s="56">
        <v>40731</v>
      </c>
    </row>
    <row r="488" spans="1:7" x14ac:dyDescent="0.2">
      <c r="A488" s="48">
        <v>39239</v>
      </c>
      <c r="B488" s="49" t="s">
        <v>1921</v>
      </c>
      <c r="C488" s="69" t="s">
        <v>3893</v>
      </c>
      <c r="D488" s="51">
        <v>901705</v>
      </c>
      <c r="E488" s="50" t="s">
        <v>3175</v>
      </c>
      <c r="G488" s="56">
        <v>39860</v>
      </c>
    </row>
    <row r="489" spans="1:7" s="16" customFormat="1" ht="12" x14ac:dyDescent="0.2">
      <c r="A489" s="53">
        <v>39100</v>
      </c>
      <c r="B489" s="55" t="s">
        <v>2841</v>
      </c>
      <c r="C489" s="58"/>
      <c r="D489" s="71" t="s">
        <v>3145</v>
      </c>
      <c r="E489" s="61" t="s">
        <v>3481</v>
      </c>
      <c r="F489" s="61"/>
      <c r="G489" s="41"/>
    </row>
    <row r="490" spans="1:7" s="16" customFormat="1" ht="12" x14ac:dyDescent="0.2">
      <c r="A490" s="53">
        <v>39118</v>
      </c>
      <c r="B490" s="55" t="s">
        <v>3275</v>
      </c>
      <c r="C490" s="58"/>
      <c r="D490" s="60" t="s">
        <v>3145</v>
      </c>
      <c r="E490" s="61" t="s">
        <v>1562</v>
      </c>
      <c r="F490" s="61"/>
      <c r="G490" s="41"/>
    </row>
    <row r="491" spans="1:7" x14ac:dyDescent="0.2">
      <c r="A491" s="48">
        <v>39276</v>
      </c>
      <c r="B491" s="49" t="s">
        <v>1290</v>
      </c>
      <c r="D491" s="51" t="s">
        <v>3145</v>
      </c>
      <c r="E491" s="50" t="s">
        <v>425</v>
      </c>
    </row>
    <row r="492" spans="1:7" x14ac:dyDescent="0.2">
      <c r="A492" s="48">
        <v>40730</v>
      </c>
      <c r="B492" s="49" t="s">
        <v>1727</v>
      </c>
      <c r="C492" s="69" t="s">
        <v>3025</v>
      </c>
      <c r="D492" s="51">
        <v>7279</v>
      </c>
      <c r="E492" s="50" t="s">
        <v>3165</v>
      </c>
      <c r="F492" s="50">
        <v>1</v>
      </c>
      <c r="G492" s="56">
        <v>40749</v>
      </c>
    </row>
    <row r="493" spans="1:7" x14ac:dyDescent="0.2">
      <c r="A493" s="48">
        <v>40689</v>
      </c>
      <c r="B493" s="49" t="s">
        <v>1460</v>
      </c>
      <c r="C493" s="69" t="s">
        <v>1461</v>
      </c>
      <c r="D493" s="51">
        <v>7869</v>
      </c>
      <c r="E493" s="50" t="s">
        <v>3597</v>
      </c>
      <c r="F493" s="50">
        <v>1</v>
      </c>
      <c r="G493" s="56">
        <v>40749</v>
      </c>
    </row>
    <row r="494" spans="1:7" x14ac:dyDescent="0.2">
      <c r="A494" s="48">
        <v>40751</v>
      </c>
      <c r="B494" s="49" t="s">
        <v>963</v>
      </c>
      <c r="C494" s="69" t="s">
        <v>1657</v>
      </c>
      <c r="D494" s="51">
        <v>7367</v>
      </c>
      <c r="F494" s="50">
        <v>2</v>
      </c>
      <c r="G494" s="56">
        <v>40794</v>
      </c>
    </row>
    <row r="495" spans="1:7" x14ac:dyDescent="0.2">
      <c r="A495" s="48">
        <v>40617</v>
      </c>
      <c r="B495" s="49" t="s">
        <v>2447</v>
      </c>
      <c r="C495" s="69" t="s">
        <v>1026</v>
      </c>
      <c r="D495" s="51">
        <v>7175</v>
      </c>
      <c r="E495" s="50" t="s">
        <v>2494</v>
      </c>
      <c r="F495" s="50">
        <v>1</v>
      </c>
      <c r="G495" s="56">
        <v>40800</v>
      </c>
    </row>
    <row r="496" spans="1:7" x14ac:dyDescent="0.2">
      <c r="A496" s="48">
        <v>40686</v>
      </c>
      <c r="B496" s="49" t="s">
        <v>2677</v>
      </c>
      <c r="C496" s="69" t="s">
        <v>3361</v>
      </c>
      <c r="D496" s="51">
        <v>7860</v>
      </c>
      <c r="E496" s="50" t="s">
        <v>3175</v>
      </c>
      <c r="F496" s="50">
        <v>1</v>
      </c>
      <c r="G496" s="56">
        <v>40813</v>
      </c>
    </row>
    <row r="497" spans="1:7" x14ac:dyDescent="0.2">
      <c r="A497" s="126">
        <v>40681</v>
      </c>
      <c r="B497" s="127" t="s">
        <v>2666</v>
      </c>
      <c r="C497" s="128" t="s">
        <v>3361</v>
      </c>
      <c r="D497" s="129">
        <v>7873</v>
      </c>
      <c r="E497" s="130" t="s">
        <v>3482</v>
      </c>
      <c r="F497" s="50">
        <v>1</v>
      </c>
      <c r="G497" s="56">
        <v>40813</v>
      </c>
    </row>
    <row r="498" spans="1:7" x14ac:dyDescent="0.2">
      <c r="A498" s="48">
        <v>40686</v>
      </c>
      <c r="B498" s="49" t="s">
        <v>2678</v>
      </c>
      <c r="C498" s="69" t="s">
        <v>3361</v>
      </c>
      <c r="D498" s="51">
        <v>7875</v>
      </c>
      <c r="E498" s="50" t="s">
        <v>3175</v>
      </c>
      <c r="F498" s="50">
        <v>1</v>
      </c>
      <c r="G498" s="56">
        <v>40813</v>
      </c>
    </row>
    <row r="499" spans="1:7" x14ac:dyDescent="0.2">
      <c r="A499" s="48">
        <v>40749</v>
      </c>
      <c r="B499" s="49" t="s">
        <v>2884</v>
      </c>
      <c r="C499" s="69" t="s">
        <v>2988</v>
      </c>
      <c r="D499" s="51">
        <v>7351</v>
      </c>
      <c r="F499" s="50">
        <v>2</v>
      </c>
      <c r="G499" s="56">
        <v>40813</v>
      </c>
    </row>
    <row r="500" spans="1:7" x14ac:dyDescent="0.2">
      <c r="A500" s="48">
        <v>40725</v>
      </c>
      <c r="B500" s="49" t="s">
        <v>3665</v>
      </c>
      <c r="C500" s="69" t="s">
        <v>1512</v>
      </c>
      <c r="D500" s="51">
        <v>7423</v>
      </c>
      <c r="E500" s="50" t="s">
        <v>2494</v>
      </c>
      <c r="F500" s="50">
        <v>4</v>
      </c>
      <c r="G500" s="56">
        <v>40820</v>
      </c>
    </row>
    <row r="501" spans="1:7" x14ac:dyDescent="0.2">
      <c r="A501" s="48">
        <v>40618</v>
      </c>
      <c r="B501" s="49" t="s">
        <v>3543</v>
      </c>
      <c r="C501" s="69" t="s">
        <v>3131</v>
      </c>
      <c r="D501" s="51">
        <v>7184</v>
      </c>
      <c r="E501" s="50" t="s">
        <v>3162</v>
      </c>
      <c r="F501" s="50" t="s">
        <v>2398</v>
      </c>
      <c r="G501" s="56">
        <v>40827</v>
      </c>
    </row>
    <row r="502" spans="1:7" x14ac:dyDescent="0.2">
      <c r="A502" s="48">
        <v>40725</v>
      </c>
      <c r="B502" s="49" t="s">
        <v>132</v>
      </c>
      <c r="C502" s="69" t="s">
        <v>3025</v>
      </c>
      <c r="D502" s="51">
        <v>7275</v>
      </c>
      <c r="E502" s="50" t="s">
        <v>2398</v>
      </c>
      <c r="G502" s="56">
        <v>40827</v>
      </c>
    </row>
    <row r="503" spans="1:7" x14ac:dyDescent="0.2">
      <c r="A503" s="48">
        <v>40725</v>
      </c>
      <c r="B503" s="49" t="s">
        <v>2355</v>
      </c>
      <c r="C503" s="69" t="s">
        <v>2988</v>
      </c>
      <c r="D503" s="51">
        <v>7276</v>
      </c>
      <c r="E503" s="50" t="s">
        <v>3175</v>
      </c>
      <c r="F503" s="50">
        <v>1</v>
      </c>
      <c r="G503" s="56">
        <v>40827</v>
      </c>
    </row>
    <row r="504" spans="1:7" x14ac:dyDescent="0.2">
      <c r="A504" s="48">
        <v>40742</v>
      </c>
      <c r="B504" s="49" t="s">
        <v>3958</v>
      </c>
      <c r="C504" s="69" t="s">
        <v>3025</v>
      </c>
      <c r="D504" s="51">
        <v>7288</v>
      </c>
      <c r="E504" s="50" t="s">
        <v>3482</v>
      </c>
      <c r="F504" s="50">
        <v>1</v>
      </c>
      <c r="G504" s="56">
        <v>40827</v>
      </c>
    </row>
    <row r="505" spans="1:7" x14ac:dyDescent="0.2">
      <c r="A505" s="48">
        <v>40746</v>
      </c>
      <c r="B505" s="49" t="s">
        <v>3897</v>
      </c>
      <c r="C505" s="69" t="s">
        <v>3025</v>
      </c>
      <c r="D505" s="51">
        <v>7299</v>
      </c>
      <c r="F505" s="50">
        <v>2</v>
      </c>
      <c r="G505" s="56">
        <v>40827</v>
      </c>
    </row>
    <row r="506" spans="1:7" x14ac:dyDescent="0.2">
      <c r="A506" s="48">
        <v>40690</v>
      </c>
      <c r="B506" s="49" t="s">
        <v>1458</v>
      </c>
      <c r="C506" s="69" t="s">
        <v>3893</v>
      </c>
      <c r="D506" s="51">
        <v>7868</v>
      </c>
      <c r="E506" s="50" t="s">
        <v>2494</v>
      </c>
      <c r="F506" s="50">
        <v>3</v>
      </c>
      <c r="G506" s="56">
        <v>40827</v>
      </c>
    </row>
    <row r="507" spans="1:7" x14ac:dyDescent="0.2">
      <c r="A507" s="48">
        <v>40749</v>
      </c>
      <c r="B507" s="49" t="s">
        <v>1266</v>
      </c>
      <c r="C507" s="69" t="s">
        <v>3025</v>
      </c>
      <c r="D507" s="51">
        <v>7354</v>
      </c>
      <c r="F507" s="50">
        <v>1</v>
      </c>
      <c r="G507" s="56">
        <v>40827</v>
      </c>
    </row>
    <row r="508" spans="1:7" x14ac:dyDescent="0.2">
      <c r="A508" s="48">
        <v>40752</v>
      </c>
      <c r="B508" s="49" t="s">
        <v>237</v>
      </c>
      <c r="C508" s="69" t="s">
        <v>1026</v>
      </c>
      <c r="D508" s="51">
        <v>8218</v>
      </c>
      <c r="F508" s="50">
        <v>1</v>
      </c>
      <c r="G508" s="56">
        <v>40827</v>
      </c>
    </row>
    <row r="509" spans="1:7" x14ac:dyDescent="0.2">
      <c r="A509" s="48">
        <v>40756</v>
      </c>
      <c r="B509" s="49" t="s">
        <v>1403</v>
      </c>
      <c r="D509" s="51">
        <v>7370</v>
      </c>
      <c r="F509" s="50">
        <v>2</v>
      </c>
      <c r="G509" s="56">
        <v>40827</v>
      </c>
    </row>
    <row r="510" spans="1:7" x14ac:dyDescent="0.2">
      <c r="A510" s="48">
        <v>40757</v>
      </c>
      <c r="B510" s="49" t="s">
        <v>2383</v>
      </c>
      <c r="D510" s="51">
        <v>8265</v>
      </c>
      <c r="F510" s="50">
        <v>1</v>
      </c>
      <c r="G510" s="56">
        <v>40827</v>
      </c>
    </row>
    <row r="511" spans="1:7" x14ac:dyDescent="0.2">
      <c r="A511" s="48">
        <v>40757</v>
      </c>
      <c r="B511" s="49" t="s">
        <v>2384</v>
      </c>
      <c r="D511" s="51">
        <v>8284</v>
      </c>
      <c r="E511" s="50" t="s">
        <v>2494</v>
      </c>
      <c r="F511" s="50">
        <v>1</v>
      </c>
      <c r="G511" s="56">
        <v>40827</v>
      </c>
    </row>
    <row r="512" spans="1:7" x14ac:dyDescent="0.2">
      <c r="A512" s="48">
        <v>40780</v>
      </c>
      <c r="B512" s="49" t="s">
        <v>308</v>
      </c>
      <c r="C512" s="69" t="s">
        <v>2988</v>
      </c>
      <c r="D512" s="51">
        <v>8237</v>
      </c>
      <c r="F512" s="50">
        <v>2</v>
      </c>
      <c r="G512" s="56">
        <v>40827</v>
      </c>
    </row>
    <row r="513" spans="1:7" x14ac:dyDescent="0.2">
      <c r="A513" s="48">
        <v>40780</v>
      </c>
      <c r="B513" s="49" t="s">
        <v>1774</v>
      </c>
      <c r="C513" s="69" t="s">
        <v>3025</v>
      </c>
      <c r="D513" s="51">
        <v>8233</v>
      </c>
      <c r="E513" s="50" t="s">
        <v>3480</v>
      </c>
      <c r="F513" s="50">
        <v>1</v>
      </c>
      <c r="G513" s="56">
        <v>40827</v>
      </c>
    </row>
    <row r="514" spans="1:7" x14ac:dyDescent="0.2">
      <c r="A514" s="48">
        <v>40805</v>
      </c>
      <c r="B514" s="49" t="s">
        <v>2416</v>
      </c>
      <c r="C514" s="69" t="s">
        <v>1707</v>
      </c>
      <c r="D514" s="51">
        <v>8069</v>
      </c>
      <c r="F514" s="50">
        <v>1</v>
      </c>
      <c r="G514" s="56">
        <v>40827</v>
      </c>
    </row>
    <row r="515" spans="1:7" x14ac:dyDescent="0.2">
      <c r="A515" s="48">
        <v>40799</v>
      </c>
      <c r="B515" s="49" t="s">
        <v>1697</v>
      </c>
      <c r="C515" s="69" t="s">
        <v>684</v>
      </c>
      <c r="D515" s="51">
        <v>7564</v>
      </c>
      <c r="E515" s="50" t="s">
        <v>196</v>
      </c>
      <c r="F515" s="50">
        <v>1</v>
      </c>
      <c r="G515" s="56">
        <v>40854</v>
      </c>
    </row>
    <row r="516" spans="1:7" x14ac:dyDescent="0.2">
      <c r="A516" s="48">
        <v>40799</v>
      </c>
      <c r="B516" s="49" t="s">
        <v>685</v>
      </c>
      <c r="C516" s="69" t="s">
        <v>686</v>
      </c>
      <c r="D516" s="51">
        <v>7558</v>
      </c>
      <c r="E516" s="50" t="s">
        <v>196</v>
      </c>
      <c r="F516" s="50">
        <v>1</v>
      </c>
      <c r="G516" s="56">
        <v>40854</v>
      </c>
    </row>
    <row r="517" spans="1:7" x14ac:dyDescent="0.2">
      <c r="A517" s="48">
        <v>40702</v>
      </c>
      <c r="B517" s="49" t="s">
        <v>2962</v>
      </c>
      <c r="C517" s="69" t="s">
        <v>3131</v>
      </c>
      <c r="D517" s="51">
        <v>7843</v>
      </c>
      <c r="E517" s="50" t="s">
        <v>3597</v>
      </c>
      <c r="F517" s="50">
        <v>4</v>
      </c>
      <c r="G517" s="56">
        <v>40861</v>
      </c>
    </row>
    <row r="518" spans="1:7" x14ac:dyDescent="0.2">
      <c r="A518" s="48">
        <v>40752</v>
      </c>
      <c r="B518" s="49" t="s">
        <v>3461</v>
      </c>
      <c r="C518" s="69" t="s">
        <v>1026</v>
      </c>
      <c r="D518" s="51">
        <v>8226</v>
      </c>
      <c r="E518" s="50" t="s">
        <v>2504</v>
      </c>
      <c r="F518" s="50">
        <v>1</v>
      </c>
      <c r="G518" s="56">
        <v>40861</v>
      </c>
    </row>
    <row r="519" spans="1:7" x14ac:dyDescent="0.2">
      <c r="A519" s="48">
        <v>40756</v>
      </c>
      <c r="B519" s="49" t="s">
        <v>2991</v>
      </c>
      <c r="D519" s="51">
        <v>7369</v>
      </c>
      <c r="E519" s="50" t="s">
        <v>218</v>
      </c>
      <c r="F519" s="50">
        <v>2</v>
      </c>
      <c r="G519" s="56">
        <v>40861</v>
      </c>
    </row>
    <row r="520" spans="1:7" x14ac:dyDescent="0.2">
      <c r="A520" s="48">
        <v>40792</v>
      </c>
      <c r="B520" s="49" t="s">
        <v>3463</v>
      </c>
      <c r="C520" s="69" t="s">
        <v>3025</v>
      </c>
      <c r="D520" s="51">
        <v>8280</v>
      </c>
      <c r="E520" s="50" t="s">
        <v>774</v>
      </c>
      <c r="F520" s="50">
        <v>1</v>
      </c>
      <c r="G520" s="56">
        <v>40861</v>
      </c>
    </row>
    <row r="521" spans="1:7" x14ac:dyDescent="0.2">
      <c r="A521" s="48">
        <v>40792</v>
      </c>
      <c r="B521" s="49" t="s">
        <v>1688</v>
      </c>
      <c r="C521" s="69" t="s">
        <v>3025</v>
      </c>
      <c r="D521" s="51">
        <v>8283</v>
      </c>
      <c r="E521" s="50" t="s">
        <v>774</v>
      </c>
      <c r="F521" s="50">
        <v>1</v>
      </c>
      <c r="G521" s="56">
        <v>40861</v>
      </c>
    </row>
    <row r="522" spans="1:7" x14ac:dyDescent="0.2">
      <c r="A522" s="48">
        <v>40793</v>
      </c>
      <c r="B522" s="49" t="s">
        <v>3500</v>
      </c>
      <c r="D522" s="51">
        <v>8065</v>
      </c>
      <c r="E522" s="50" t="s">
        <v>2504</v>
      </c>
      <c r="F522" s="50">
        <v>1</v>
      </c>
      <c r="G522" s="56">
        <v>40861</v>
      </c>
    </row>
    <row r="523" spans="1:7" x14ac:dyDescent="0.2">
      <c r="A523" s="48">
        <v>40813</v>
      </c>
      <c r="B523" s="49" t="s">
        <v>1782</v>
      </c>
      <c r="C523" s="69" t="s">
        <v>938</v>
      </c>
      <c r="D523" s="51">
        <v>8067</v>
      </c>
      <c r="E523" s="50" t="s">
        <v>774</v>
      </c>
      <c r="F523" s="50">
        <v>1</v>
      </c>
      <c r="G523" s="56">
        <v>40861</v>
      </c>
    </row>
    <row r="524" spans="1:7" x14ac:dyDescent="0.2">
      <c r="A524" s="48">
        <v>40464</v>
      </c>
      <c r="B524" s="49" t="s">
        <v>3238</v>
      </c>
      <c r="C524" s="69" t="s">
        <v>3361</v>
      </c>
      <c r="D524" s="51">
        <v>6457</v>
      </c>
      <c r="E524" s="50" t="s">
        <v>3175</v>
      </c>
      <c r="F524" s="50">
        <v>3</v>
      </c>
      <c r="G524" s="56">
        <v>40924</v>
      </c>
    </row>
    <row r="525" spans="1:7" x14ac:dyDescent="0.2">
      <c r="A525" s="48">
        <v>40662</v>
      </c>
      <c r="B525" s="49" t="s">
        <v>1413</v>
      </c>
      <c r="C525" s="69" t="s">
        <v>3131</v>
      </c>
      <c r="D525" s="51">
        <v>7230</v>
      </c>
      <c r="E525" s="50" t="s">
        <v>3482</v>
      </c>
      <c r="F525" s="50">
        <v>2</v>
      </c>
      <c r="G525" s="56">
        <v>40924</v>
      </c>
    </row>
    <row r="526" spans="1:7" x14ac:dyDescent="0.2">
      <c r="A526" s="48">
        <v>40742</v>
      </c>
      <c r="B526" s="49" t="s">
        <v>3529</v>
      </c>
      <c r="C526" s="69" t="s">
        <v>1141</v>
      </c>
      <c r="D526" s="51">
        <v>7287</v>
      </c>
      <c r="E526" s="50" t="s">
        <v>2504</v>
      </c>
      <c r="F526" s="50">
        <v>1</v>
      </c>
      <c r="G526" s="56">
        <v>40924</v>
      </c>
    </row>
    <row r="527" spans="1:7" x14ac:dyDescent="0.2">
      <c r="A527" s="48">
        <v>40709</v>
      </c>
      <c r="B527" s="49" t="s">
        <v>1541</v>
      </c>
      <c r="C527" s="69" t="s">
        <v>1707</v>
      </c>
      <c r="D527" s="51">
        <v>7844</v>
      </c>
      <c r="E527" s="50" t="s">
        <v>218</v>
      </c>
      <c r="F527" s="50">
        <v>1</v>
      </c>
      <c r="G527" s="56">
        <v>40924</v>
      </c>
    </row>
    <row r="528" spans="1:7" x14ac:dyDescent="0.2">
      <c r="A528" s="48">
        <v>40756</v>
      </c>
      <c r="B528" s="49" t="s">
        <v>1570</v>
      </c>
      <c r="D528" s="51">
        <v>7374</v>
      </c>
      <c r="E528" s="50" t="s">
        <v>218</v>
      </c>
      <c r="F528" s="50" t="s">
        <v>2398</v>
      </c>
      <c r="G528" s="56">
        <v>40924</v>
      </c>
    </row>
    <row r="529" spans="1:7" x14ac:dyDescent="0.2">
      <c r="A529" s="48">
        <v>40792</v>
      </c>
      <c r="B529" s="49" t="s">
        <v>1273</v>
      </c>
      <c r="C529" s="69" t="s">
        <v>2479</v>
      </c>
      <c r="D529" s="51">
        <v>8286</v>
      </c>
      <c r="E529" s="50" t="s">
        <v>2504</v>
      </c>
      <c r="F529" s="50">
        <v>1</v>
      </c>
      <c r="G529" s="56">
        <v>40924</v>
      </c>
    </row>
    <row r="530" spans="1:7" x14ac:dyDescent="0.2">
      <c r="A530" s="48">
        <v>40812</v>
      </c>
      <c r="B530" s="49" t="s">
        <v>1410</v>
      </c>
      <c r="C530" s="69" t="s">
        <v>3025</v>
      </c>
      <c r="D530" s="51">
        <v>8070</v>
      </c>
      <c r="E530" s="50" t="s">
        <v>2494</v>
      </c>
      <c r="F530" s="50">
        <v>1</v>
      </c>
      <c r="G530" s="56">
        <v>40924</v>
      </c>
    </row>
    <row r="531" spans="1:7" x14ac:dyDescent="0.2">
      <c r="A531" s="48">
        <v>40623</v>
      </c>
      <c r="B531" s="49" t="s">
        <v>3029</v>
      </c>
      <c r="C531" s="69" t="s">
        <v>1707</v>
      </c>
      <c r="D531" s="51">
        <v>7189</v>
      </c>
      <c r="E531" s="50" t="s">
        <v>218</v>
      </c>
      <c r="F531" s="50">
        <v>1</v>
      </c>
      <c r="G531" s="56">
        <v>40924</v>
      </c>
    </row>
    <row r="532" spans="1:7" x14ac:dyDescent="0.2">
      <c r="A532" s="48">
        <v>40624</v>
      </c>
      <c r="B532" s="49" t="s">
        <v>1019</v>
      </c>
      <c r="C532" s="69" t="s">
        <v>3131</v>
      </c>
      <c r="D532" s="51">
        <v>7192</v>
      </c>
      <c r="E532" s="50" t="s">
        <v>3175</v>
      </c>
      <c r="F532" s="50">
        <v>1</v>
      </c>
      <c r="G532" s="56">
        <v>40924</v>
      </c>
    </row>
    <row r="533" spans="1:7" x14ac:dyDescent="0.2">
      <c r="A533" s="48">
        <v>40632</v>
      </c>
      <c r="B533" s="49" t="s">
        <v>3266</v>
      </c>
      <c r="C533" s="69" t="s">
        <v>1026</v>
      </c>
      <c r="D533" s="51">
        <v>7209</v>
      </c>
      <c r="E533" s="50" t="s">
        <v>3175</v>
      </c>
      <c r="F533" s="50">
        <v>4</v>
      </c>
      <c r="G533" s="56">
        <v>40924</v>
      </c>
    </row>
    <row r="534" spans="1:7" x14ac:dyDescent="0.2">
      <c r="A534" s="48">
        <v>40647</v>
      </c>
      <c r="B534" s="49" t="s">
        <v>2987</v>
      </c>
      <c r="C534" s="69" t="s">
        <v>2988</v>
      </c>
      <c r="D534" s="51">
        <v>7220</v>
      </c>
      <c r="E534" s="50" t="s">
        <v>3175</v>
      </c>
      <c r="F534" s="50">
        <v>1</v>
      </c>
      <c r="G534" s="56">
        <v>40924</v>
      </c>
    </row>
    <row r="535" spans="1:7" x14ac:dyDescent="0.2">
      <c r="A535" s="48">
        <v>40648</v>
      </c>
      <c r="B535" s="49" t="s">
        <v>2014</v>
      </c>
      <c r="C535" s="69" t="s">
        <v>2907</v>
      </c>
      <c r="D535" s="51">
        <v>7223</v>
      </c>
      <c r="E535" s="50" t="s">
        <v>3482</v>
      </c>
      <c r="F535" s="50" t="s">
        <v>2015</v>
      </c>
      <c r="G535" s="56">
        <v>40924</v>
      </c>
    </row>
    <row r="536" spans="1:7" x14ac:dyDescent="0.2">
      <c r="A536" s="48">
        <v>40730</v>
      </c>
      <c r="B536" s="49" t="s">
        <v>831</v>
      </c>
      <c r="C536" s="69" t="s">
        <v>1707</v>
      </c>
      <c r="D536" s="51">
        <v>7278</v>
      </c>
      <c r="E536" s="50" t="s">
        <v>2504</v>
      </c>
      <c r="F536" s="50">
        <v>2</v>
      </c>
      <c r="G536" s="56">
        <v>40924</v>
      </c>
    </row>
    <row r="537" spans="1:7" x14ac:dyDescent="0.2">
      <c r="A537" s="48">
        <v>40714</v>
      </c>
      <c r="B537" s="49" t="s">
        <v>3347</v>
      </c>
      <c r="C537" s="69" t="s">
        <v>2479</v>
      </c>
      <c r="D537" s="51">
        <v>7850</v>
      </c>
      <c r="E537" s="50" t="s">
        <v>774</v>
      </c>
      <c r="F537" s="50">
        <v>4</v>
      </c>
      <c r="G537" s="56">
        <v>40924</v>
      </c>
    </row>
    <row r="538" spans="1:7" x14ac:dyDescent="0.2">
      <c r="A538" s="48">
        <v>40688</v>
      </c>
      <c r="B538" s="49" t="s">
        <v>2268</v>
      </c>
      <c r="C538" s="69" t="s">
        <v>3088</v>
      </c>
      <c r="D538" s="51">
        <v>7858</v>
      </c>
      <c r="E538" s="50" t="s">
        <v>2115</v>
      </c>
      <c r="F538" s="50">
        <v>3</v>
      </c>
      <c r="G538" s="56">
        <v>40924</v>
      </c>
    </row>
    <row r="539" spans="1:7" x14ac:dyDescent="0.2">
      <c r="A539" s="196">
        <v>40674</v>
      </c>
      <c r="B539" s="195" t="s">
        <v>3724</v>
      </c>
      <c r="C539" s="197" t="s">
        <v>3131</v>
      </c>
      <c r="D539" s="198">
        <v>7075</v>
      </c>
      <c r="E539" s="199" t="s">
        <v>3837</v>
      </c>
      <c r="G539" s="56">
        <v>40924</v>
      </c>
    </row>
    <row r="540" spans="1:7" x14ac:dyDescent="0.2">
      <c r="A540" s="48">
        <v>40808</v>
      </c>
      <c r="B540" s="49" t="s">
        <v>3108</v>
      </c>
      <c r="C540" s="69" t="s">
        <v>3025</v>
      </c>
      <c r="D540" s="51">
        <v>8073</v>
      </c>
      <c r="E540" s="50" t="s">
        <v>3837</v>
      </c>
      <c r="F540" s="50">
        <v>1</v>
      </c>
      <c r="G540" s="56">
        <v>40924</v>
      </c>
    </row>
    <row r="541" spans="1:7" x14ac:dyDescent="0.2">
      <c r="A541" s="48">
        <v>40823</v>
      </c>
      <c r="B541" s="49" t="s">
        <v>518</v>
      </c>
      <c r="C541" s="69" t="s">
        <v>2479</v>
      </c>
      <c r="D541" s="51">
        <v>8092</v>
      </c>
      <c r="E541" s="50" t="s">
        <v>2494</v>
      </c>
      <c r="F541" s="50">
        <v>1</v>
      </c>
      <c r="G541" s="56">
        <v>40924</v>
      </c>
    </row>
    <row r="542" spans="1:7" ht="25.5" x14ac:dyDescent="0.2">
      <c r="A542" s="48">
        <v>40826</v>
      </c>
      <c r="B542" s="49" t="s">
        <v>498</v>
      </c>
      <c r="C542" s="69" t="s">
        <v>2479</v>
      </c>
      <c r="D542" s="51">
        <v>8089</v>
      </c>
      <c r="F542" s="50">
        <v>1</v>
      </c>
      <c r="G542" s="56">
        <v>40924</v>
      </c>
    </row>
    <row r="543" spans="1:7" x14ac:dyDescent="0.2">
      <c r="A543" s="48">
        <v>40857</v>
      </c>
      <c r="B543" s="49" t="s">
        <v>2718</v>
      </c>
      <c r="C543" s="69" t="s">
        <v>3131</v>
      </c>
      <c r="D543" s="51">
        <v>8142</v>
      </c>
      <c r="E543" s="50" t="s">
        <v>3162</v>
      </c>
      <c r="F543" s="50">
        <v>1</v>
      </c>
      <c r="G543" s="56">
        <v>40924</v>
      </c>
    </row>
    <row r="544" spans="1:7" x14ac:dyDescent="0.2">
      <c r="A544" s="48">
        <v>40857</v>
      </c>
      <c r="B544" s="49" t="s">
        <v>4023</v>
      </c>
      <c r="C544" s="69" t="s">
        <v>3131</v>
      </c>
      <c r="D544" s="51">
        <v>8096</v>
      </c>
      <c r="E544" s="50" t="s">
        <v>774</v>
      </c>
      <c r="F544" s="50">
        <v>1</v>
      </c>
      <c r="G544" s="56">
        <v>40924</v>
      </c>
    </row>
    <row r="545" spans="1:7" x14ac:dyDescent="0.2">
      <c r="A545" s="196">
        <v>40994</v>
      </c>
      <c r="B545" s="195" t="s">
        <v>2314</v>
      </c>
      <c r="C545" s="197"/>
      <c r="D545" s="198">
        <v>8240</v>
      </c>
      <c r="E545" s="199"/>
      <c r="G545" s="56">
        <v>41001</v>
      </c>
    </row>
    <row r="546" spans="1:7" x14ac:dyDescent="0.2">
      <c r="A546" s="48">
        <v>40791</v>
      </c>
      <c r="B546" s="49" t="s">
        <v>2538</v>
      </c>
      <c r="C546" s="69" t="s">
        <v>3025</v>
      </c>
      <c r="D546" s="51">
        <v>8279</v>
      </c>
      <c r="E546" s="50" t="s">
        <v>3597</v>
      </c>
      <c r="F546" s="50">
        <v>1</v>
      </c>
      <c r="G546" s="56">
        <v>41003</v>
      </c>
    </row>
    <row r="547" spans="1:7" x14ac:dyDescent="0.2">
      <c r="A547" s="48">
        <v>40730</v>
      </c>
      <c r="B547" s="49" t="s">
        <v>593</v>
      </c>
      <c r="D547" s="51">
        <v>7427</v>
      </c>
      <c r="E547" s="50" t="s">
        <v>794</v>
      </c>
      <c r="F547" s="50">
        <v>1</v>
      </c>
      <c r="G547" s="56">
        <v>41003</v>
      </c>
    </row>
    <row r="548" spans="1:7" x14ac:dyDescent="0.2">
      <c r="A548" s="196">
        <v>40746</v>
      </c>
      <c r="B548" s="195" t="s">
        <v>914</v>
      </c>
      <c r="C548" s="197" t="s">
        <v>492</v>
      </c>
      <c r="D548" s="198">
        <v>7352</v>
      </c>
      <c r="E548" s="199" t="s">
        <v>794</v>
      </c>
      <c r="F548" s="50">
        <v>3</v>
      </c>
      <c r="G548" s="56">
        <v>41003</v>
      </c>
    </row>
    <row r="549" spans="1:7" x14ac:dyDescent="0.2">
      <c r="A549" s="48">
        <v>40919</v>
      </c>
      <c r="B549" s="49" t="s">
        <v>3469</v>
      </c>
      <c r="D549" s="51">
        <v>8107</v>
      </c>
      <c r="G549" s="56">
        <v>41010</v>
      </c>
    </row>
    <row r="550" spans="1:7" x14ac:dyDescent="0.2">
      <c r="A550" s="48">
        <v>40711</v>
      </c>
      <c r="B550" s="49" t="s">
        <v>749</v>
      </c>
      <c r="C550" s="69" t="s">
        <v>938</v>
      </c>
      <c r="D550" s="51">
        <v>7851</v>
      </c>
      <c r="E550" s="50" t="s">
        <v>3165</v>
      </c>
      <c r="F550" s="50">
        <v>2</v>
      </c>
      <c r="G550" s="56">
        <v>41010</v>
      </c>
    </row>
    <row r="551" spans="1:7" x14ac:dyDescent="0.2">
      <c r="A551" s="48">
        <v>40751</v>
      </c>
      <c r="B551" s="49" t="s">
        <v>1830</v>
      </c>
      <c r="C551" s="69" t="s">
        <v>3025</v>
      </c>
      <c r="D551" s="51">
        <v>7363</v>
      </c>
      <c r="E551" s="50" t="s">
        <v>3597</v>
      </c>
      <c r="F551" s="50">
        <v>2</v>
      </c>
      <c r="G551" s="56">
        <v>41010</v>
      </c>
    </row>
    <row r="552" spans="1:7" x14ac:dyDescent="0.2">
      <c r="A552" s="48">
        <v>40731</v>
      </c>
      <c r="B552" s="49" t="s">
        <v>3563</v>
      </c>
      <c r="D552" s="51">
        <v>7281</v>
      </c>
      <c r="E552" s="50" t="s">
        <v>2504</v>
      </c>
      <c r="F552" s="50">
        <v>2</v>
      </c>
      <c r="G552" s="56">
        <v>41011</v>
      </c>
    </row>
    <row r="553" spans="1:7" x14ac:dyDescent="0.2">
      <c r="A553" s="196">
        <v>41010</v>
      </c>
      <c r="B553" s="195" t="s">
        <v>360</v>
      </c>
      <c r="C553" s="197"/>
      <c r="D553" s="198">
        <v>8247</v>
      </c>
      <c r="E553" s="199"/>
      <c r="G553" s="56">
        <v>41012</v>
      </c>
    </row>
    <row r="554" spans="1:7" x14ac:dyDescent="0.2">
      <c r="A554" s="48">
        <v>40981</v>
      </c>
      <c r="B554" s="49" t="s">
        <v>797</v>
      </c>
      <c r="D554" s="51">
        <v>8264</v>
      </c>
      <c r="G554" s="56">
        <v>41012</v>
      </c>
    </row>
    <row r="555" spans="1:7" x14ac:dyDescent="0.2">
      <c r="A555" s="48">
        <v>40959</v>
      </c>
      <c r="B555" s="49" t="s">
        <v>125</v>
      </c>
      <c r="C555" s="69" t="s">
        <v>3025</v>
      </c>
      <c r="D555" s="51">
        <v>8259</v>
      </c>
      <c r="G555" s="56">
        <v>41012</v>
      </c>
    </row>
    <row r="556" spans="1:7" ht="25.5" x14ac:dyDescent="0.2">
      <c r="A556" s="48">
        <v>40955</v>
      </c>
      <c r="B556" s="49" t="s">
        <v>2477</v>
      </c>
      <c r="C556" s="69" t="s">
        <v>3025</v>
      </c>
      <c r="D556" s="51">
        <v>8251</v>
      </c>
      <c r="F556" s="50">
        <v>1</v>
      </c>
      <c r="G556" s="56">
        <v>41012</v>
      </c>
    </row>
    <row r="557" spans="1:7" ht="25.5" x14ac:dyDescent="0.2">
      <c r="A557" s="48">
        <v>40862</v>
      </c>
      <c r="B557" s="49" t="s">
        <v>782</v>
      </c>
      <c r="C557" s="69" t="s">
        <v>3025</v>
      </c>
      <c r="D557" s="51">
        <v>8126</v>
      </c>
      <c r="E557" s="50" t="s">
        <v>2504</v>
      </c>
      <c r="F557" s="50">
        <v>1</v>
      </c>
      <c r="G557" s="56">
        <v>41012</v>
      </c>
    </row>
    <row r="558" spans="1:7" x14ac:dyDescent="0.2">
      <c r="A558" s="48">
        <v>40959</v>
      </c>
      <c r="B558" s="49" t="s">
        <v>1950</v>
      </c>
      <c r="C558" s="69" t="s">
        <v>3025</v>
      </c>
      <c r="D558" s="51">
        <v>8262</v>
      </c>
      <c r="G558" s="56">
        <v>41012</v>
      </c>
    </row>
    <row r="559" spans="1:7" x14ac:dyDescent="0.2">
      <c r="A559" s="48">
        <v>41001</v>
      </c>
      <c r="B559" s="49" t="s">
        <v>1637</v>
      </c>
      <c r="C559" s="69" t="s">
        <v>3025</v>
      </c>
      <c r="D559" s="51">
        <v>8239</v>
      </c>
      <c r="G559" s="56">
        <v>41012</v>
      </c>
    </row>
    <row r="560" spans="1:7" ht="25.5" x14ac:dyDescent="0.2">
      <c r="A560" s="48">
        <v>40933</v>
      </c>
      <c r="B560" s="49" t="s">
        <v>234</v>
      </c>
      <c r="D560" s="51">
        <v>7520</v>
      </c>
      <c r="F560" s="50">
        <v>1</v>
      </c>
      <c r="G560" s="56">
        <v>41012</v>
      </c>
    </row>
    <row r="561" spans="1:7" x14ac:dyDescent="0.2">
      <c r="A561" s="48">
        <v>40780</v>
      </c>
      <c r="B561" s="49" t="s">
        <v>309</v>
      </c>
      <c r="C561" s="69" t="s">
        <v>3025</v>
      </c>
      <c r="D561" s="51">
        <v>8227</v>
      </c>
      <c r="E561" s="50" t="s">
        <v>3162</v>
      </c>
      <c r="F561" s="50">
        <v>1</v>
      </c>
      <c r="G561" s="56">
        <v>41012</v>
      </c>
    </row>
    <row r="562" spans="1:7" x14ac:dyDescent="0.2">
      <c r="A562" s="48">
        <v>40987</v>
      </c>
      <c r="B562" s="49" t="s">
        <v>2925</v>
      </c>
      <c r="C562" s="69" t="s">
        <v>2988</v>
      </c>
      <c r="D562" s="51">
        <v>8232</v>
      </c>
      <c r="G562" s="56">
        <v>41015</v>
      </c>
    </row>
    <row r="563" spans="1:7" x14ac:dyDescent="0.2">
      <c r="A563" s="48">
        <v>40934</v>
      </c>
      <c r="B563" s="49" t="s">
        <v>2043</v>
      </c>
      <c r="C563" s="69" t="s">
        <v>2479</v>
      </c>
      <c r="D563" s="51">
        <v>7524</v>
      </c>
      <c r="F563" s="50">
        <v>1</v>
      </c>
      <c r="G563" s="56">
        <v>41015</v>
      </c>
    </row>
    <row r="564" spans="1:7" x14ac:dyDescent="0.2">
      <c r="A564" s="48">
        <v>40840</v>
      </c>
      <c r="B564" s="49" t="s">
        <v>3098</v>
      </c>
      <c r="C564" s="69" t="s">
        <v>2479</v>
      </c>
      <c r="D564" s="51">
        <v>8143</v>
      </c>
      <c r="E564" s="50" t="s">
        <v>3162</v>
      </c>
      <c r="F564" s="50">
        <v>2</v>
      </c>
      <c r="G564" s="56">
        <v>41015</v>
      </c>
    </row>
    <row r="565" spans="1:7" x14ac:dyDescent="0.2">
      <c r="A565" s="48">
        <v>40919</v>
      </c>
      <c r="B565" s="49" t="s">
        <v>1759</v>
      </c>
      <c r="D565" s="51">
        <v>8106</v>
      </c>
      <c r="F565" s="50">
        <v>1</v>
      </c>
      <c r="G565" s="56">
        <v>41015</v>
      </c>
    </row>
    <row r="566" spans="1:7" ht="25.5" x14ac:dyDescent="0.2">
      <c r="A566" s="196">
        <v>40959</v>
      </c>
      <c r="B566" s="195" t="s">
        <v>827</v>
      </c>
      <c r="C566" s="197" t="s">
        <v>1707</v>
      </c>
      <c r="D566" s="198">
        <v>8253</v>
      </c>
      <c r="E566" s="199"/>
      <c r="G566" s="56">
        <v>41015</v>
      </c>
    </row>
    <row r="567" spans="1:7" x14ac:dyDescent="0.2">
      <c r="A567" s="48">
        <v>40927</v>
      </c>
      <c r="B567" s="49" t="s">
        <v>2189</v>
      </c>
      <c r="C567" s="69" t="s">
        <v>2988</v>
      </c>
      <c r="D567" s="51">
        <v>8110</v>
      </c>
      <c r="F567" s="50">
        <v>1</v>
      </c>
      <c r="G567" s="56">
        <v>41015</v>
      </c>
    </row>
    <row r="568" spans="1:7" x14ac:dyDescent="0.2">
      <c r="A568" s="48">
        <v>40959</v>
      </c>
      <c r="B568" s="49" t="s">
        <v>814</v>
      </c>
      <c r="C568" s="69" t="s">
        <v>3025</v>
      </c>
      <c r="D568" s="51">
        <v>8256</v>
      </c>
      <c r="G568" s="56">
        <v>41016</v>
      </c>
    </row>
    <row r="569" spans="1:7" ht="25.5" x14ac:dyDescent="0.2">
      <c r="A569" s="48">
        <v>40823</v>
      </c>
      <c r="B569" s="49" t="s">
        <v>3090</v>
      </c>
      <c r="C569" s="69" t="s">
        <v>2479</v>
      </c>
      <c r="D569" s="51">
        <v>8074</v>
      </c>
      <c r="E569" s="50" t="s">
        <v>3837</v>
      </c>
      <c r="F569" s="50">
        <v>2</v>
      </c>
      <c r="G569" s="56">
        <v>41016</v>
      </c>
    </row>
    <row r="570" spans="1:7" x14ac:dyDescent="0.2">
      <c r="A570" s="48">
        <v>40988</v>
      </c>
      <c r="B570" s="49" t="s">
        <v>670</v>
      </c>
      <c r="D570" s="51">
        <v>8249</v>
      </c>
      <c r="G570" s="56">
        <v>41016</v>
      </c>
    </row>
    <row r="571" spans="1:7" x14ac:dyDescent="0.2">
      <c r="A571" s="48">
        <v>40891</v>
      </c>
      <c r="B571" s="49" t="s">
        <v>3898</v>
      </c>
      <c r="C571" s="69" t="s">
        <v>2988</v>
      </c>
      <c r="D571" s="51">
        <v>8115</v>
      </c>
      <c r="G571" s="56">
        <v>41017</v>
      </c>
    </row>
    <row r="572" spans="1:7" x14ac:dyDescent="0.2">
      <c r="A572" s="196">
        <v>40823</v>
      </c>
      <c r="B572" s="195" t="s">
        <v>199</v>
      </c>
      <c r="C572" s="197" t="s">
        <v>2198</v>
      </c>
      <c r="D572" s="198">
        <v>8086</v>
      </c>
      <c r="E572" s="199" t="s">
        <v>3837</v>
      </c>
      <c r="F572" s="50">
        <v>1</v>
      </c>
      <c r="G572" s="56">
        <v>41019</v>
      </c>
    </row>
    <row r="573" spans="1:7" x14ac:dyDescent="0.2">
      <c r="A573" s="196">
        <v>40988</v>
      </c>
      <c r="B573" s="195" t="s">
        <v>1701</v>
      </c>
      <c r="C573" s="197"/>
      <c r="D573" s="198">
        <v>8246</v>
      </c>
      <c r="E573" s="199"/>
      <c r="F573" s="50">
        <v>1</v>
      </c>
      <c r="G573" s="56">
        <v>41019</v>
      </c>
    </row>
    <row r="574" spans="1:7" x14ac:dyDescent="0.2">
      <c r="A574" s="48">
        <v>40912</v>
      </c>
      <c r="B574" s="49" t="s">
        <v>2467</v>
      </c>
      <c r="C574" s="69" t="s">
        <v>1707</v>
      </c>
      <c r="D574" s="51">
        <v>8121</v>
      </c>
      <c r="F574" s="50">
        <v>1</v>
      </c>
      <c r="G574" s="56">
        <v>41019</v>
      </c>
    </row>
    <row r="575" spans="1:7" x14ac:dyDescent="0.2">
      <c r="A575" s="48">
        <v>40955</v>
      </c>
      <c r="B575" s="49" t="s">
        <v>1374</v>
      </c>
      <c r="C575" s="69" t="s">
        <v>1375</v>
      </c>
      <c r="D575" s="51">
        <v>8257</v>
      </c>
      <c r="F575" s="50">
        <v>1</v>
      </c>
      <c r="G575" s="56">
        <v>41019</v>
      </c>
    </row>
    <row r="576" spans="1:7" x14ac:dyDescent="0.2">
      <c r="A576" s="48">
        <v>40740</v>
      </c>
      <c r="B576" s="49" t="s">
        <v>2329</v>
      </c>
      <c r="C576" s="69" t="s">
        <v>3361</v>
      </c>
      <c r="D576" s="51">
        <v>7285</v>
      </c>
      <c r="E576" s="50" t="s">
        <v>2494</v>
      </c>
      <c r="F576" s="50">
        <v>1</v>
      </c>
      <c r="G576" s="56">
        <v>41019</v>
      </c>
    </row>
    <row r="577" spans="1:7" x14ac:dyDescent="0.2">
      <c r="A577" s="48">
        <v>40973</v>
      </c>
      <c r="B577" s="49" t="s">
        <v>2313</v>
      </c>
      <c r="C577" s="69" t="s">
        <v>3025</v>
      </c>
      <c r="D577" s="51">
        <v>8263</v>
      </c>
      <c r="F577" s="50">
        <v>1</v>
      </c>
      <c r="G577" s="56">
        <v>41019</v>
      </c>
    </row>
    <row r="578" spans="1:7" x14ac:dyDescent="0.2">
      <c r="A578" s="48">
        <v>40987</v>
      </c>
      <c r="B578" s="49" t="s">
        <v>3464</v>
      </c>
      <c r="C578" s="69" t="s">
        <v>3361</v>
      </c>
      <c r="D578" s="51">
        <v>8229</v>
      </c>
      <c r="G578" s="56">
        <v>41020</v>
      </c>
    </row>
    <row r="579" spans="1:7" x14ac:dyDescent="0.2">
      <c r="A579" s="48">
        <v>40987</v>
      </c>
      <c r="B579" s="49" t="s">
        <v>3168</v>
      </c>
      <c r="C579" s="69" t="s">
        <v>2988</v>
      </c>
      <c r="D579" s="51">
        <v>8274</v>
      </c>
      <c r="G579" s="56">
        <v>41020</v>
      </c>
    </row>
    <row r="580" spans="1:7" x14ac:dyDescent="0.2">
      <c r="A580" s="48">
        <v>40991</v>
      </c>
      <c r="B580" s="49" t="s">
        <v>2327</v>
      </c>
      <c r="C580" s="69" t="s">
        <v>2328</v>
      </c>
      <c r="D580" s="51">
        <v>8150</v>
      </c>
      <c r="F580" s="50">
        <v>1</v>
      </c>
      <c r="G580" s="56">
        <v>41022</v>
      </c>
    </row>
    <row r="581" spans="1:7" x14ac:dyDescent="0.2">
      <c r="A581" s="48">
        <v>40671</v>
      </c>
      <c r="B581" s="49" t="s">
        <v>3669</v>
      </c>
      <c r="C581" s="69" t="s">
        <v>2215</v>
      </c>
      <c r="D581" s="51">
        <v>7841</v>
      </c>
      <c r="E581" s="50" t="s">
        <v>3162</v>
      </c>
      <c r="F581" s="50">
        <v>2</v>
      </c>
      <c r="G581" s="56">
        <v>41022</v>
      </c>
    </row>
    <row r="582" spans="1:7" x14ac:dyDescent="0.2">
      <c r="A582" s="48">
        <v>40787</v>
      </c>
      <c r="B582" s="49" t="s">
        <v>3321</v>
      </c>
      <c r="C582" s="69" t="s">
        <v>1707</v>
      </c>
      <c r="D582" s="51">
        <v>8231</v>
      </c>
      <c r="E582" s="50" t="s">
        <v>3482</v>
      </c>
      <c r="F582" s="50">
        <v>1</v>
      </c>
      <c r="G582" s="56">
        <v>41022</v>
      </c>
    </row>
    <row r="583" spans="1:7" x14ac:dyDescent="0.2">
      <c r="A583" s="48">
        <v>40780</v>
      </c>
      <c r="B583" s="49" t="s">
        <v>310</v>
      </c>
      <c r="C583" s="69" t="s">
        <v>3025</v>
      </c>
      <c r="D583" s="51">
        <v>8230</v>
      </c>
      <c r="E583" s="50" t="s">
        <v>774</v>
      </c>
      <c r="F583" s="50">
        <v>1</v>
      </c>
      <c r="G583" s="56">
        <v>41022</v>
      </c>
    </row>
    <row r="584" spans="1:7" x14ac:dyDescent="0.2">
      <c r="A584" s="48">
        <v>40809</v>
      </c>
      <c r="B584" s="49" t="s">
        <v>33</v>
      </c>
      <c r="C584" s="69" t="s">
        <v>3025</v>
      </c>
      <c r="D584" s="51">
        <v>8151</v>
      </c>
      <c r="E584" s="50" t="s">
        <v>3162</v>
      </c>
      <c r="F584" s="50">
        <v>1</v>
      </c>
      <c r="G584" s="56">
        <v>41022</v>
      </c>
    </row>
    <row r="585" spans="1:7" x14ac:dyDescent="0.2">
      <c r="A585" s="48">
        <v>40596</v>
      </c>
      <c r="B585" s="49" t="s">
        <v>3024</v>
      </c>
      <c r="C585" s="69" t="s">
        <v>3025</v>
      </c>
      <c r="D585" s="51">
        <v>7154</v>
      </c>
      <c r="E585" s="50" t="s">
        <v>2494</v>
      </c>
      <c r="F585" s="50">
        <v>2</v>
      </c>
      <c r="G585" s="56">
        <v>41022</v>
      </c>
    </row>
    <row r="586" spans="1:7" x14ac:dyDescent="0.2">
      <c r="A586" s="48">
        <v>40665</v>
      </c>
      <c r="B586" s="49" t="s">
        <v>876</v>
      </c>
      <c r="C586" s="69" t="s">
        <v>3131</v>
      </c>
      <c r="D586" s="51">
        <v>7232</v>
      </c>
      <c r="E586" s="50" t="s">
        <v>3165</v>
      </c>
      <c r="F586" s="50" t="s">
        <v>2398</v>
      </c>
      <c r="G586" s="56">
        <v>41022</v>
      </c>
    </row>
    <row r="587" spans="1:7" ht="25.5" x14ac:dyDescent="0.2">
      <c r="A587" s="48">
        <v>40744</v>
      </c>
      <c r="B587" s="49" t="s">
        <v>2413</v>
      </c>
      <c r="C587" s="69" t="s">
        <v>2479</v>
      </c>
      <c r="D587" s="51">
        <v>7294</v>
      </c>
      <c r="E587" s="50" t="s">
        <v>218</v>
      </c>
      <c r="F587" s="50">
        <v>2</v>
      </c>
      <c r="G587" s="56">
        <v>41022</v>
      </c>
    </row>
    <row r="588" spans="1:7" x14ac:dyDescent="0.2">
      <c r="A588" s="48">
        <v>40819</v>
      </c>
      <c r="B588" s="49" t="s">
        <v>1822</v>
      </c>
      <c r="D588" s="51">
        <v>8081</v>
      </c>
      <c r="F588" s="50">
        <v>1</v>
      </c>
      <c r="G588" s="56">
        <v>41022</v>
      </c>
    </row>
    <row r="589" spans="1:7" x14ac:dyDescent="0.2">
      <c r="A589" s="48">
        <v>40828</v>
      </c>
      <c r="B589" s="49" t="s">
        <v>3984</v>
      </c>
      <c r="C589" s="69" t="s">
        <v>3025</v>
      </c>
      <c r="D589" s="51">
        <v>8094</v>
      </c>
      <c r="E589" s="50" t="s">
        <v>2494</v>
      </c>
      <c r="F589" s="50">
        <v>1</v>
      </c>
      <c r="G589" s="56">
        <v>41022</v>
      </c>
    </row>
    <row r="590" spans="1:7" x14ac:dyDescent="0.2">
      <c r="A590" s="196">
        <v>40843</v>
      </c>
      <c r="B590" s="195" t="s">
        <v>3549</v>
      </c>
      <c r="C590" s="197" t="s">
        <v>3025</v>
      </c>
      <c r="D590" s="198">
        <v>8135</v>
      </c>
      <c r="E590" s="199"/>
      <c r="F590" s="50">
        <v>2</v>
      </c>
      <c r="G590" s="56">
        <v>41022</v>
      </c>
    </row>
    <row r="591" spans="1:7" x14ac:dyDescent="0.2">
      <c r="A591" s="48">
        <v>40994</v>
      </c>
      <c r="B591" s="49" t="s">
        <v>164</v>
      </c>
      <c r="C591" s="69" t="s">
        <v>3025</v>
      </c>
      <c r="D591" s="51">
        <v>8245</v>
      </c>
      <c r="G591" s="56">
        <v>41022</v>
      </c>
    </row>
    <row r="592" spans="1:7" x14ac:dyDescent="0.2">
      <c r="A592" s="48">
        <v>41001</v>
      </c>
      <c r="B592" s="49" t="s">
        <v>2992</v>
      </c>
      <c r="C592" s="69" t="s">
        <v>3025</v>
      </c>
      <c r="D592" s="51">
        <v>8250</v>
      </c>
      <c r="G592" s="56">
        <v>41022</v>
      </c>
    </row>
    <row r="593" spans="1:7" x14ac:dyDescent="0.2">
      <c r="A593" s="48">
        <v>40891</v>
      </c>
      <c r="B593" s="49" t="s">
        <v>3899</v>
      </c>
      <c r="C593" s="69" t="s">
        <v>2988</v>
      </c>
      <c r="D593" s="51">
        <v>8118</v>
      </c>
      <c r="F593" s="50">
        <v>2</v>
      </c>
      <c r="G593" s="56">
        <v>41022</v>
      </c>
    </row>
    <row r="594" spans="1:7" x14ac:dyDescent="0.2">
      <c r="A594" s="48">
        <v>40470</v>
      </c>
      <c r="B594" s="49" t="s">
        <v>2582</v>
      </c>
      <c r="D594" s="51">
        <v>6459</v>
      </c>
      <c r="E594" s="50" t="s">
        <v>2789</v>
      </c>
      <c r="F594" s="50">
        <v>1</v>
      </c>
      <c r="G594" s="56">
        <v>41022</v>
      </c>
    </row>
    <row r="595" spans="1:7" x14ac:dyDescent="0.2">
      <c r="A595" s="48">
        <v>40598</v>
      </c>
      <c r="B595" s="49" t="s">
        <v>213</v>
      </c>
      <c r="C595" s="69" t="s">
        <v>3361</v>
      </c>
      <c r="D595" s="51">
        <v>7155</v>
      </c>
      <c r="E595" s="50" t="s">
        <v>3175</v>
      </c>
      <c r="F595" s="50">
        <v>1</v>
      </c>
      <c r="G595" s="56">
        <v>41022</v>
      </c>
    </row>
    <row r="596" spans="1:7" x14ac:dyDescent="0.2">
      <c r="A596" s="48">
        <v>40646</v>
      </c>
      <c r="B596" s="49" t="s">
        <v>2170</v>
      </c>
      <c r="C596" s="69" t="s">
        <v>3025</v>
      </c>
      <c r="D596" s="51">
        <v>7217</v>
      </c>
      <c r="E596" s="50" t="s">
        <v>2171</v>
      </c>
      <c r="F596" s="50">
        <v>5</v>
      </c>
      <c r="G596" s="56">
        <v>41022</v>
      </c>
    </row>
    <row r="597" spans="1:7" ht="25.5" x14ac:dyDescent="0.2">
      <c r="A597" s="48">
        <v>40662</v>
      </c>
      <c r="B597" s="49" t="s">
        <v>364</v>
      </c>
      <c r="C597" s="69" t="s">
        <v>3131</v>
      </c>
      <c r="D597" s="51">
        <v>7229</v>
      </c>
      <c r="E597" s="50" t="s">
        <v>774</v>
      </c>
      <c r="F597" s="50">
        <v>2</v>
      </c>
      <c r="G597" s="56">
        <v>41022</v>
      </c>
    </row>
    <row r="598" spans="1:7" x14ac:dyDescent="0.2">
      <c r="A598" s="48">
        <v>40721</v>
      </c>
      <c r="B598" s="49" t="s">
        <v>70</v>
      </c>
      <c r="C598" s="69" t="s">
        <v>3025</v>
      </c>
      <c r="D598" s="51">
        <v>7273</v>
      </c>
      <c r="E598" s="50" t="s">
        <v>2504</v>
      </c>
      <c r="F598" s="50" t="s">
        <v>2398</v>
      </c>
      <c r="G598" s="56">
        <v>41022</v>
      </c>
    </row>
    <row r="599" spans="1:7" x14ac:dyDescent="0.2">
      <c r="A599" s="48">
        <v>40961</v>
      </c>
      <c r="B599" s="49" t="s">
        <v>2332</v>
      </c>
      <c r="D599" s="51">
        <v>8269</v>
      </c>
      <c r="F599" s="50">
        <v>1</v>
      </c>
      <c r="G599" s="56">
        <v>41023</v>
      </c>
    </row>
    <row r="600" spans="1:7" ht="25.5" x14ac:dyDescent="0.2">
      <c r="A600" s="48">
        <v>40869</v>
      </c>
      <c r="B600" s="49" t="s">
        <v>2299</v>
      </c>
      <c r="C600" s="69" t="s">
        <v>2988</v>
      </c>
      <c r="D600" s="51">
        <v>8132</v>
      </c>
      <c r="E600" s="50" t="s">
        <v>3482</v>
      </c>
      <c r="F600" s="50">
        <v>1</v>
      </c>
      <c r="G600" s="56">
        <v>41031</v>
      </c>
    </row>
    <row r="601" spans="1:7" x14ac:dyDescent="0.2">
      <c r="A601" s="48">
        <v>40654</v>
      </c>
      <c r="B601" s="49" t="s">
        <v>3043</v>
      </c>
      <c r="C601" s="69" t="s">
        <v>1026</v>
      </c>
      <c r="D601" s="51">
        <v>7227</v>
      </c>
      <c r="E601" s="50" t="s">
        <v>2494</v>
      </c>
      <c r="F601" s="50">
        <v>1</v>
      </c>
      <c r="G601" s="56">
        <v>41031</v>
      </c>
    </row>
    <row r="602" spans="1:7" x14ac:dyDescent="0.2">
      <c r="A602" s="196">
        <v>40988</v>
      </c>
      <c r="B602" s="195" t="s">
        <v>1702</v>
      </c>
      <c r="C602" s="197"/>
      <c r="D602" s="198">
        <v>8243</v>
      </c>
      <c r="E602" s="199"/>
      <c r="F602" s="50">
        <v>1</v>
      </c>
      <c r="G602" s="56">
        <v>41038</v>
      </c>
    </row>
    <row r="603" spans="1:7" x14ac:dyDescent="0.2">
      <c r="A603" s="48">
        <v>40740</v>
      </c>
      <c r="B603" s="49" t="s">
        <v>2138</v>
      </c>
      <c r="C603" s="69" t="s">
        <v>3361</v>
      </c>
      <c r="D603" s="51">
        <v>6469</v>
      </c>
      <c r="E603" s="50" t="s">
        <v>3613</v>
      </c>
      <c r="F603" s="50">
        <v>2</v>
      </c>
      <c r="G603" s="56">
        <v>41038</v>
      </c>
    </row>
    <row r="604" spans="1:7" x14ac:dyDescent="0.2">
      <c r="A604" s="48">
        <v>41015</v>
      </c>
      <c r="B604" s="49" t="s">
        <v>622</v>
      </c>
      <c r="C604" s="69" t="s">
        <v>1707</v>
      </c>
      <c r="D604" s="51">
        <v>8252</v>
      </c>
      <c r="F604" s="50">
        <v>1</v>
      </c>
      <c r="G604" s="56">
        <v>41039</v>
      </c>
    </row>
    <row r="605" spans="1:7" x14ac:dyDescent="0.2">
      <c r="A605" s="196">
        <v>40961</v>
      </c>
      <c r="B605" s="195" t="s">
        <v>2331</v>
      </c>
      <c r="C605" s="197"/>
      <c r="D605" s="198">
        <v>8272</v>
      </c>
      <c r="E605" s="199"/>
      <c r="F605" s="50">
        <v>1</v>
      </c>
      <c r="G605" s="56">
        <v>41039</v>
      </c>
    </row>
    <row r="606" spans="1:7" x14ac:dyDescent="0.2">
      <c r="A606" s="48">
        <v>40882</v>
      </c>
      <c r="B606" s="49" t="s">
        <v>3086</v>
      </c>
      <c r="C606" s="69" t="s">
        <v>492</v>
      </c>
      <c r="D606" s="51">
        <v>8122</v>
      </c>
      <c r="F606" s="50">
        <v>1</v>
      </c>
      <c r="G606" s="56">
        <v>41039</v>
      </c>
    </row>
    <row r="607" spans="1:7" x14ac:dyDescent="0.2">
      <c r="A607" s="48">
        <v>40869</v>
      </c>
      <c r="B607" s="49" t="s">
        <v>2283</v>
      </c>
      <c r="D607" s="51">
        <v>8125</v>
      </c>
      <c r="E607" s="50" t="s">
        <v>794</v>
      </c>
      <c r="F607" s="50">
        <v>1</v>
      </c>
      <c r="G607" s="56">
        <v>41039</v>
      </c>
    </row>
    <row r="608" spans="1:7" x14ac:dyDescent="0.2">
      <c r="A608" s="48">
        <v>40857</v>
      </c>
      <c r="B608" s="49" t="s">
        <v>1301</v>
      </c>
      <c r="C608" s="69" t="s">
        <v>3131</v>
      </c>
      <c r="D608" s="51">
        <v>8127</v>
      </c>
      <c r="E608" s="50" t="s">
        <v>2504</v>
      </c>
      <c r="F608" s="50">
        <v>1</v>
      </c>
      <c r="G608" s="56">
        <v>41039</v>
      </c>
    </row>
    <row r="609" spans="1:7" x14ac:dyDescent="0.2">
      <c r="A609" s="48">
        <v>40854</v>
      </c>
      <c r="B609" s="49" t="s">
        <v>3711</v>
      </c>
      <c r="D609" s="51">
        <v>8136</v>
      </c>
      <c r="F609" s="50">
        <v>1</v>
      </c>
      <c r="G609" s="56">
        <v>41039</v>
      </c>
    </row>
    <row r="610" spans="1:7" x14ac:dyDescent="0.2">
      <c r="A610" s="48">
        <v>40829</v>
      </c>
      <c r="B610" s="49" t="s">
        <v>187</v>
      </c>
      <c r="C610" s="69" t="s">
        <v>3025</v>
      </c>
      <c r="D610" s="51">
        <v>8091</v>
      </c>
      <c r="E610" s="50" t="s">
        <v>3613</v>
      </c>
      <c r="F610" s="50">
        <v>2</v>
      </c>
      <c r="G610" s="56">
        <v>41039</v>
      </c>
    </row>
    <row r="611" spans="1:7" x14ac:dyDescent="0.2">
      <c r="A611" s="48">
        <v>40870</v>
      </c>
      <c r="B611" s="49" t="s">
        <v>1303</v>
      </c>
      <c r="C611" s="69" t="s">
        <v>2479</v>
      </c>
      <c r="D611" s="51">
        <v>8114</v>
      </c>
      <c r="E611" s="50" t="s">
        <v>2494</v>
      </c>
      <c r="F611" s="50">
        <v>1</v>
      </c>
      <c r="G611" s="56">
        <v>41039</v>
      </c>
    </row>
    <row r="612" spans="1:7" x14ac:dyDescent="0.2">
      <c r="A612" s="48">
        <v>40829</v>
      </c>
      <c r="B612" s="49" t="s">
        <v>1053</v>
      </c>
      <c r="C612" s="69" t="s">
        <v>3025</v>
      </c>
      <c r="D612" s="51">
        <v>8088</v>
      </c>
      <c r="E612" s="50" t="s">
        <v>2494</v>
      </c>
      <c r="F612" s="50">
        <v>1</v>
      </c>
      <c r="G612" s="56">
        <v>41039</v>
      </c>
    </row>
    <row r="613" spans="1:7" x14ac:dyDescent="0.2">
      <c r="A613" s="48">
        <v>40828</v>
      </c>
      <c r="B613" s="49" t="s">
        <v>2212</v>
      </c>
      <c r="C613" s="69" t="s">
        <v>2988</v>
      </c>
      <c r="D613" s="51">
        <v>8087</v>
      </c>
      <c r="F613" s="50">
        <v>2</v>
      </c>
      <c r="G613" s="56">
        <v>41039</v>
      </c>
    </row>
    <row r="614" spans="1:7" x14ac:dyDescent="0.2">
      <c r="A614" s="48">
        <v>40827</v>
      </c>
      <c r="B614" s="49" t="s">
        <v>261</v>
      </c>
      <c r="C614" s="69" t="s">
        <v>2988</v>
      </c>
      <c r="D614" s="51">
        <v>8093</v>
      </c>
      <c r="F614" s="50">
        <v>1</v>
      </c>
      <c r="G614" s="56">
        <v>41039</v>
      </c>
    </row>
    <row r="615" spans="1:7" ht="25.5" x14ac:dyDescent="0.2">
      <c r="A615" s="48">
        <v>40584</v>
      </c>
      <c r="B615" s="49" t="s">
        <v>2906</v>
      </c>
      <c r="C615" s="69" t="s">
        <v>2907</v>
      </c>
      <c r="D615" s="51">
        <v>6643</v>
      </c>
      <c r="E615" s="50" t="s">
        <v>2494</v>
      </c>
      <c r="F615" s="50">
        <v>3</v>
      </c>
      <c r="G615" s="56">
        <v>41039</v>
      </c>
    </row>
    <row r="616" spans="1:7" x14ac:dyDescent="0.2">
      <c r="A616" s="48">
        <v>40759</v>
      </c>
      <c r="B616" s="49" t="s">
        <v>447</v>
      </c>
      <c r="D616" s="51">
        <v>7512</v>
      </c>
      <c r="E616" s="50" t="s">
        <v>3597</v>
      </c>
      <c r="F616" s="50">
        <v>1</v>
      </c>
      <c r="G616" s="56">
        <v>41039</v>
      </c>
    </row>
    <row r="617" spans="1:7" x14ac:dyDescent="0.2">
      <c r="A617" s="48">
        <v>40674</v>
      </c>
      <c r="B617" s="49" t="s">
        <v>3426</v>
      </c>
      <c r="C617" s="69" t="s">
        <v>3893</v>
      </c>
      <c r="D617" s="51">
        <v>7077</v>
      </c>
      <c r="E617" s="50" t="s">
        <v>794</v>
      </c>
      <c r="F617" s="50">
        <v>5</v>
      </c>
      <c r="G617" s="56">
        <v>41039</v>
      </c>
    </row>
    <row r="618" spans="1:7" x14ac:dyDescent="0.2">
      <c r="A618" s="48">
        <v>40632</v>
      </c>
      <c r="B618" s="49" t="s">
        <v>3511</v>
      </c>
      <c r="C618" s="69" t="s">
        <v>3265</v>
      </c>
      <c r="D618" s="51">
        <v>7207</v>
      </c>
      <c r="E618" s="50" t="s">
        <v>3032</v>
      </c>
      <c r="F618" s="50">
        <v>4</v>
      </c>
      <c r="G618" s="56">
        <v>41039</v>
      </c>
    </row>
    <row r="619" spans="1:7" ht="38.25" x14ac:dyDescent="0.2">
      <c r="A619" s="48">
        <v>40744</v>
      </c>
      <c r="B619" s="49" t="s">
        <v>3865</v>
      </c>
      <c r="C619" s="69" t="s">
        <v>2479</v>
      </c>
      <c r="D619" s="51">
        <v>7295</v>
      </c>
      <c r="E619" s="50" t="s">
        <v>2789</v>
      </c>
      <c r="F619" s="50">
        <v>1</v>
      </c>
      <c r="G619" s="56">
        <v>41044</v>
      </c>
    </row>
    <row r="620" spans="1:7" x14ac:dyDescent="0.2">
      <c r="A620" s="196">
        <v>40725</v>
      </c>
      <c r="B620" s="195" t="s">
        <v>1836</v>
      </c>
      <c r="C620" s="197"/>
      <c r="D620" s="198">
        <v>7426</v>
      </c>
      <c r="E620" s="199" t="s">
        <v>3873</v>
      </c>
      <c r="F620" s="50">
        <v>2</v>
      </c>
      <c r="G620" s="56">
        <v>41044</v>
      </c>
    </row>
    <row r="621" spans="1:7" x14ac:dyDescent="0.2">
      <c r="A621" s="48">
        <v>40648</v>
      </c>
      <c r="B621" s="49" t="s">
        <v>4021</v>
      </c>
      <c r="C621" s="69" t="s">
        <v>4022</v>
      </c>
      <c r="D621" s="51">
        <v>7222</v>
      </c>
      <c r="E621" s="50" t="s">
        <v>794</v>
      </c>
      <c r="F621" s="50">
        <v>1</v>
      </c>
      <c r="G621" s="56">
        <v>41044</v>
      </c>
    </row>
    <row r="622" spans="1:7" x14ac:dyDescent="0.2">
      <c r="A622" s="196">
        <v>41050</v>
      </c>
      <c r="B622" s="195" t="s">
        <v>3102</v>
      </c>
      <c r="C622" s="197" t="s">
        <v>3025</v>
      </c>
      <c r="D622" s="198">
        <v>8605</v>
      </c>
      <c r="E622" s="199"/>
      <c r="F622" s="50">
        <v>1</v>
      </c>
      <c r="G622" s="56">
        <v>41052</v>
      </c>
    </row>
    <row r="623" spans="1:7" x14ac:dyDescent="0.2">
      <c r="A623" s="48">
        <v>41022</v>
      </c>
      <c r="B623" s="49" t="s">
        <v>2753</v>
      </c>
      <c r="D623" s="51">
        <v>8622</v>
      </c>
      <c r="G623" s="56">
        <v>41052</v>
      </c>
    </row>
    <row r="624" spans="1:7" x14ac:dyDescent="0.2">
      <c r="A624" s="48">
        <v>41034</v>
      </c>
      <c r="B624" s="49" t="s">
        <v>2969</v>
      </c>
      <c r="C624" s="69" t="s">
        <v>2215</v>
      </c>
      <c r="D624" s="51">
        <v>8619</v>
      </c>
      <c r="G624" s="56">
        <v>41058</v>
      </c>
    </row>
    <row r="625" spans="1:7" x14ac:dyDescent="0.2">
      <c r="A625" s="48">
        <v>41050</v>
      </c>
      <c r="B625" s="49" t="s">
        <v>1091</v>
      </c>
      <c r="C625" s="69" t="s">
        <v>3025</v>
      </c>
      <c r="D625" s="51">
        <v>8602</v>
      </c>
      <c r="F625" s="50">
        <v>1</v>
      </c>
      <c r="G625" s="56">
        <v>41058</v>
      </c>
    </row>
    <row r="626" spans="1:7" x14ac:dyDescent="0.2">
      <c r="A626" s="48">
        <v>41052</v>
      </c>
      <c r="B626" s="49" t="s">
        <v>3314</v>
      </c>
      <c r="C626" s="69" t="s">
        <v>2215</v>
      </c>
      <c r="D626" s="51">
        <v>8592</v>
      </c>
      <c r="F626" s="50">
        <v>1</v>
      </c>
      <c r="G626" s="56">
        <v>41058</v>
      </c>
    </row>
    <row r="627" spans="1:7" x14ac:dyDescent="0.2">
      <c r="A627" s="196">
        <v>41051</v>
      </c>
      <c r="B627" s="195" t="s">
        <v>717</v>
      </c>
      <c r="C627" s="197"/>
      <c r="D627" s="198">
        <v>8611</v>
      </c>
      <c r="E627" s="199"/>
      <c r="G627" s="56">
        <v>41058</v>
      </c>
    </row>
    <row r="628" spans="1:7" x14ac:dyDescent="0.2">
      <c r="A628" s="196">
        <v>41050</v>
      </c>
      <c r="B628" s="195" t="s">
        <v>3436</v>
      </c>
      <c r="C628" s="197" t="s">
        <v>3025</v>
      </c>
      <c r="D628" s="198">
        <v>8606</v>
      </c>
      <c r="E628" s="199"/>
      <c r="G628" s="56">
        <v>41059</v>
      </c>
    </row>
    <row r="629" spans="1:7" x14ac:dyDescent="0.2">
      <c r="A629" s="48">
        <v>40862</v>
      </c>
      <c r="B629" s="49" t="s">
        <v>3983</v>
      </c>
      <c r="C629" s="69" t="s">
        <v>2479</v>
      </c>
      <c r="D629" s="51">
        <v>8123</v>
      </c>
      <c r="E629" s="50" t="s">
        <v>3709</v>
      </c>
      <c r="F629" s="50">
        <v>1</v>
      </c>
      <c r="G629" s="56">
        <v>41060</v>
      </c>
    </row>
    <row r="630" spans="1:7" x14ac:dyDescent="0.2">
      <c r="A630" s="48">
        <v>41038</v>
      </c>
      <c r="B630" s="49" t="s">
        <v>562</v>
      </c>
      <c r="C630" s="69" t="s">
        <v>2479</v>
      </c>
      <c r="D630" s="51">
        <v>8618</v>
      </c>
      <c r="G630" s="56">
        <v>41061</v>
      </c>
    </row>
    <row r="631" spans="1:7" x14ac:dyDescent="0.2">
      <c r="A631" s="48">
        <v>41036</v>
      </c>
      <c r="B631" s="49" t="s">
        <v>851</v>
      </c>
      <c r="C631" s="69" t="s">
        <v>3025</v>
      </c>
      <c r="D631" s="51">
        <v>8616</v>
      </c>
      <c r="G631" s="56">
        <v>41065</v>
      </c>
    </row>
    <row r="632" spans="1:7" x14ac:dyDescent="0.2">
      <c r="A632" s="48">
        <v>41013</v>
      </c>
      <c r="B632" s="49" t="s">
        <v>2085</v>
      </c>
      <c r="C632" s="69" t="s">
        <v>2988</v>
      </c>
      <c r="D632" s="51">
        <v>8261</v>
      </c>
      <c r="F632" s="50">
        <v>1</v>
      </c>
      <c r="G632" s="56">
        <v>41065</v>
      </c>
    </row>
    <row r="633" spans="1:7" x14ac:dyDescent="0.2">
      <c r="A633" s="48">
        <v>40843</v>
      </c>
      <c r="B633" s="49" t="s">
        <v>2986</v>
      </c>
      <c r="C633" s="69" t="s">
        <v>2479</v>
      </c>
      <c r="D633" s="51">
        <v>8097</v>
      </c>
      <c r="F633" s="50">
        <v>1</v>
      </c>
      <c r="G633" s="56">
        <v>41065</v>
      </c>
    </row>
    <row r="634" spans="1:7" x14ac:dyDescent="0.2">
      <c r="A634" s="48">
        <v>40877</v>
      </c>
      <c r="B634" s="49" t="s">
        <v>3070</v>
      </c>
      <c r="C634" s="69" t="s">
        <v>2479</v>
      </c>
      <c r="D634" s="51">
        <v>8119</v>
      </c>
      <c r="F634" s="50">
        <v>2</v>
      </c>
      <c r="G634" s="56">
        <v>41065</v>
      </c>
    </row>
    <row r="635" spans="1:7" x14ac:dyDescent="0.2">
      <c r="A635" s="48">
        <v>40869</v>
      </c>
      <c r="B635" s="49" t="s">
        <v>2284</v>
      </c>
      <c r="D635" s="51">
        <v>8120</v>
      </c>
      <c r="E635" s="50" t="s">
        <v>794</v>
      </c>
      <c r="F635" s="50">
        <v>1</v>
      </c>
      <c r="G635" s="56">
        <v>41065</v>
      </c>
    </row>
    <row r="636" spans="1:7" ht="25.5" x14ac:dyDescent="0.2">
      <c r="A636" s="48">
        <v>40856</v>
      </c>
      <c r="B636" s="49" t="s">
        <v>3623</v>
      </c>
      <c r="C636" s="69" t="s">
        <v>938</v>
      </c>
      <c r="D636" s="51">
        <v>8139</v>
      </c>
      <c r="E636" s="50" t="s">
        <v>3482</v>
      </c>
      <c r="F636" s="50">
        <v>1</v>
      </c>
      <c r="G636" s="56">
        <v>41065</v>
      </c>
    </row>
    <row r="637" spans="1:7" x14ac:dyDescent="0.2">
      <c r="A637" s="48">
        <v>40617</v>
      </c>
      <c r="B637" s="49" t="s">
        <v>1103</v>
      </c>
      <c r="C637" s="69" t="s">
        <v>1026</v>
      </c>
      <c r="D637" s="51">
        <v>7176</v>
      </c>
      <c r="E637" s="50" t="s">
        <v>3597</v>
      </c>
      <c r="F637" s="50">
        <v>3</v>
      </c>
      <c r="G637" s="56">
        <v>41065</v>
      </c>
    </row>
    <row r="638" spans="1:7" x14ac:dyDescent="0.2">
      <c r="A638" s="48">
        <v>40632</v>
      </c>
      <c r="B638" s="49" t="s">
        <v>1230</v>
      </c>
      <c r="C638" s="69" t="s">
        <v>3131</v>
      </c>
      <c r="D638" s="51">
        <v>7208</v>
      </c>
      <c r="E638" s="50" t="s">
        <v>952</v>
      </c>
      <c r="F638" s="50">
        <v>2</v>
      </c>
      <c r="G638" s="56">
        <v>41065</v>
      </c>
    </row>
    <row r="639" spans="1:7" x14ac:dyDescent="0.2">
      <c r="A639" s="48">
        <v>40665</v>
      </c>
      <c r="B639" s="49" t="s">
        <v>2154</v>
      </c>
      <c r="C639" s="69" t="s">
        <v>1026</v>
      </c>
      <c r="D639" s="51">
        <v>7235</v>
      </c>
      <c r="E639" s="50" t="s">
        <v>3165</v>
      </c>
      <c r="F639" s="50">
        <v>1</v>
      </c>
      <c r="G639" s="56">
        <v>41065</v>
      </c>
    </row>
    <row r="640" spans="1:7" x14ac:dyDescent="0.2">
      <c r="A640" s="48">
        <v>40724</v>
      </c>
      <c r="B640" s="49" t="s">
        <v>2107</v>
      </c>
      <c r="C640" s="69" t="s">
        <v>3361</v>
      </c>
      <c r="D640" s="51">
        <v>7421</v>
      </c>
      <c r="E640" s="50" t="s">
        <v>952</v>
      </c>
      <c r="F640" s="50">
        <v>1</v>
      </c>
      <c r="G640" s="56">
        <v>41065</v>
      </c>
    </row>
    <row r="641" spans="1:7" x14ac:dyDescent="0.2">
      <c r="A641" s="48">
        <v>40701</v>
      </c>
      <c r="B641" s="49" t="s">
        <v>2322</v>
      </c>
      <c r="C641" s="69" t="s">
        <v>3893</v>
      </c>
      <c r="D641" s="51">
        <v>7845</v>
      </c>
      <c r="E641" s="50" t="s">
        <v>3597</v>
      </c>
      <c r="F641" s="50">
        <v>2</v>
      </c>
      <c r="G641" s="56">
        <v>41065</v>
      </c>
    </row>
    <row r="642" spans="1:7" x14ac:dyDescent="0.2">
      <c r="A642" s="48">
        <v>40711</v>
      </c>
      <c r="B642" s="49" t="s">
        <v>1005</v>
      </c>
      <c r="C642" s="69" t="s">
        <v>2988</v>
      </c>
      <c r="D642" s="51">
        <v>7855</v>
      </c>
      <c r="E642" s="50" t="s">
        <v>3482</v>
      </c>
      <c r="F642" s="50">
        <v>3</v>
      </c>
      <c r="G642" s="56">
        <v>41065</v>
      </c>
    </row>
    <row r="643" spans="1:7" x14ac:dyDescent="0.2">
      <c r="A643" s="48">
        <v>40819</v>
      </c>
      <c r="B643" s="49" t="s">
        <v>3957</v>
      </c>
      <c r="D643" s="51">
        <v>8078</v>
      </c>
      <c r="E643" s="50" t="s">
        <v>3162</v>
      </c>
      <c r="F643" s="50">
        <v>1</v>
      </c>
      <c r="G643" s="56">
        <v>41065</v>
      </c>
    </row>
    <row r="644" spans="1:7" x14ac:dyDescent="0.2">
      <c r="A644" s="48">
        <v>41013</v>
      </c>
      <c r="B644" s="49" t="s">
        <v>2729</v>
      </c>
      <c r="C644" s="69" t="s">
        <v>2988</v>
      </c>
      <c r="D644" s="51">
        <v>8255</v>
      </c>
      <c r="F644" s="50">
        <v>1</v>
      </c>
      <c r="G644" s="56">
        <v>41071</v>
      </c>
    </row>
    <row r="645" spans="1:7" x14ac:dyDescent="0.2">
      <c r="A645" s="48">
        <v>40973</v>
      </c>
      <c r="B645" s="49" t="s">
        <v>2312</v>
      </c>
      <c r="C645" s="69" t="s">
        <v>3025</v>
      </c>
      <c r="D645" s="51">
        <v>8266</v>
      </c>
      <c r="F645" s="50">
        <v>2</v>
      </c>
      <c r="G645" s="56">
        <v>41071</v>
      </c>
    </row>
    <row r="646" spans="1:7" x14ac:dyDescent="0.2">
      <c r="A646" s="48">
        <v>41050</v>
      </c>
      <c r="B646" s="49" t="s">
        <v>3437</v>
      </c>
      <c r="C646" s="69" t="s">
        <v>3025</v>
      </c>
      <c r="D646" s="51">
        <v>8603</v>
      </c>
      <c r="F646" s="50">
        <v>1</v>
      </c>
      <c r="G646" s="56">
        <v>41071</v>
      </c>
    </row>
    <row r="647" spans="1:7" x14ac:dyDescent="0.2">
      <c r="A647" s="48">
        <v>40974</v>
      </c>
      <c r="B647" s="49" t="s">
        <v>2310</v>
      </c>
      <c r="C647" s="69" t="s">
        <v>2479</v>
      </c>
      <c r="D647" s="51">
        <v>8270</v>
      </c>
      <c r="G647" s="56">
        <v>41071</v>
      </c>
    </row>
    <row r="648" spans="1:7" x14ac:dyDescent="0.2">
      <c r="A648" s="48">
        <v>41052</v>
      </c>
      <c r="B648" s="49" t="s">
        <v>3313</v>
      </c>
      <c r="C648" s="69" t="s">
        <v>2988</v>
      </c>
      <c r="D648" s="51">
        <v>8613</v>
      </c>
      <c r="G648" s="56">
        <v>41071</v>
      </c>
    </row>
    <row r="649" spans="1:7" x14ac:dyDescent="0.2">
      <c r="A649" s="196">
        <v>41068</v>
      </c>
      <c r="B649" s="195" t="s">
        <v>2285</v>
      </c>
      <c r="C649" s="197"/>
      <c r="D649" s="198">
        <v>8323</v>
      </c>
      <c r="E649" s="199"/>
      <c r="F649" s="50">
        <v>1</v>
      </c>
      <c r="G649" s="56">
        <v>41071</v>
      </c>
    </row>
    <row r="650" spans="1:7" x14ac:dyDescent="0.2">
      <c r="A650" s="48">
        <v>40822</v>
      </c>
      <c r="B650" s="49" t="s">
        <v>3672</v>
      </c>
      <c r="C650" s="69" t="s">
        <v>2988</v>
      </c>
      <c r="D650" s="51">
        <v>8083</v>
      </c>
      <c r="F650" s="50">
        <v>2</v>
      </c>
      <c r="G650" s="56">
        <v>41072</v>
      </c>
    </row>
    <row r="651" spans="1:7" x14ac:dyDescent="0.2">
      <c r="A651" s="48">
        <v>41071</v>
      </c>
      <c r="B651" s="49" t="s">
        <v>2056</v>
      </c>
      <c r="C651" s="69" t="s">
        <v>3025</v>
      </c>
      <c r="D651" s="51">
        <v>8326</v>
      </c>
      <c r="G651" s="56">
        <v>41079</v>
      </c>
    </row>
    <row r="652" spans="1:7" x14ac:dyDescent="0.2">
      <c r="A652" s="48">
        <v>41086</v>
      </c>
      <c r="B652" s="49" t="s">
        <v>1125</v>
      </c>
      <c r="D652" s="51">
        <v>8329</v>
      </c>
      <c r="F652" s="50">
        <v>1</v>
      </c>
      <c r="G652" s="56">
        <v>41087</v>
      </c>
    </row>
    <row r="653" spans="1:7" x14ac:dyDescent="0.2">
      <c r="A653" s="48">
        <v>40753</v>
      </c>
      <c r="B653" s="49" t="s">
        <v>3694</v>
      </c>
      <c r="C653" s="69" t="s">
        <v>3025</v>
      </c>
      <c r="D653" s="51">
        <v>7368</v>
      </c>
      <c r="E653" s="50" t="s">
        <v>1046</v>
      </c>
      <c r="F653" s="50">
        <v>2</v>
      </c>
      <c r="G653" s="56">
        <v>41089</v>
      </c>
    </row>
    <row r="654" spans="1:7" x14ac:dyDescent="0.2">
      <c r="A654" s="48">
        <v>41052</v>
      </c>
      <c r="B654" s="49" t="s">
        <v>3312</v>
      </c>
      <c r="C654" s="69" t="s">
        <v>2988</v>
      </c>
      <c r="D654" s="51">
        <v>8610</v>
      </c>
      <c r="F654" s="50">
        <v>2</v>
      </c>
      <c r="G654" s="56">
        <v>41089</v>
      </c>
    </row>
    <row r="655" spans="1:7" x14ac:dyDescent="0.2">
      <c r="A655" s="48">
        <v>40740</v>
      </c>
      <c r="B655" s="49" t="s">
        <v>1511</v>
      </c>
      <c r="D655" s="51">
        <v>7284</v>
      </c>
      <c r="E655" s="50" t="s">
        <v>952</v>
      </c>
      <c r="F655" s="50">
        <v>2</v>
      </c>
      <c r="G655" s="56">
        <v>41089</v>
      </c>
    </row>
    <row r="656" spans="1:7" x14ac:dyDescent="0.2">
      <c r="A656" s="48">
        <v>41013</v>
      </c>
      <c r="B656" s="49" t="s">
        <v>2442</v>
      </c>
      <c r="C656" s="69" t="s">
        <v>2988</v>
      </c>
      <c r="D656" s="51">
        <v>8258</v>
      </c>
      <c r="F656" s="50">
        <v>1</v>
      </c>
      <c r="G656" s="56">
        <v>41100</v>
      </c>
    </row>
    <row r="657" spans="1:7" x14ac:dyDescent="0.2">
      <c r="A657" s="48">
        <v>41038</v>
      </c>
      <c r="B657" s="49" t="s">
        <v>561</v>
      </c>
      <c r="C657" s="69" t="s">
        <v>2988</v>
      </c>
      <c r="D657" s="51">
        <v>8615</v>
      </c>
      <c r="G657" s="56">
        <v>41100</v>
      </c>
    </row>
    <row r="658" spans="1:7" x14ac:dyDescent="0.2">
      <c r="A658" s="196">
        <v>40900</v>
      </c>
      <c r="B658" s="195" t="s">
        <v>2592</v>
      </c>
      <c r="C658" s="197" t="s">
        <v>2593</v>
      </c>
      <c r="D658" s="198">
        <v>8102</v>
      </c>
      <c r="E658" s="199"/>
      <c r="F658" s="50">
        <v>4</v>
      </c>
      <c r="G658" s="56">
        <v>41101</v>
      </c>
    </row>
    <row r="659" spans="1:7" x14ac:dyDescent="0.2">
      <c r="A659" s="196">
        <v>40746</v>
      </c>
      <c r="B659" s="195" t="s">
        <v>172</v>
      </c>
      <c r="C659" s="197" t="s">
        <v>1141</v>
      </c>
      <c r="D659" s="198">
        <v>7296</v>
      </c>
      <c r="E659" s="199" t="s">
        <v>2504</v>
      </c>
      <c r="F659" s="50">
        <v>2</v>
      </c>
      <c r="G659" s="56">
        <v>41106</v>
      </c>
    </row>
    <row r="660" spans="1:7" x14ac:dyDescent="0.2">
      <c r="A660" s="48">
        <v>40760</v>
      </c>
      <c r="B660" s="49" t="s">
        <v>1728</v>
      </c>
      <c r="D660" s="51">
        <v>7521</v>
      </c>
      <c r="E660" s="50" t="s">
        <v>3162</v>
      </c>
      <c r="F660" s="50">
        <v>2</v>
      </c>
      <c r="G660" s="56">
        <v>41107</v>
      </c>
    </row>
    <row r="661" spans="1:7" x14ac:dyDescent="0.2">
      <c r="A661" s="48">
        <v>41072</v>
      </c>
      <c r="B661" s="49" t="s">
        <v>589</v>
      </c>
      <c r="C661" s="69" t="s">
        <v>2479</v>
      </c>
      <c r="D661" s="51">
        <v>1001</v>
      </c>
      <c r="G661" s="56">
        <v>41107</v>
      </c>
    </row>
    <row r="662" spans="1:7" x14ac:dyDescent="0.2">
      <c r="A662" s="196">
        <v>40589</v>
      </c>
      <c r="B662" s="195" t="s">
        <v>3674</v>
      </c>
      <c r="C662" s="197" t="s">
        <v>2479</v>
      </c>
      <c r="D662" s="198">
        <v>6645</v>
      </c>
      <c r="E662" s="199" t="s">
        <v>2494</v>
      </c>
      <c r="F662" s="50">
        <v>2</v>
      </c>
      <c r="G662" s="56">
        <v>41108</v>
      </c>
    </row>
    <row r="663" spans="1:7" x14ac:dyDescent="0.2">
      <c r="A663" s="196">
        <v>39368</v>
      </c>
      <c r="B663" s="195" t="s">
        <v>2093</v>
      </c>
      <c r="C663" s="197" t="s">
        <v>3362</v>
      </c>
      <c r="D663" s="198">
        <v>2215</v>
      </c>
      <c r="E663" s="199" t="s">
        <v>3176</v>
      </c>
      <c r="F663" s="50">
        <v>5</v>
      </c>
      <c r="G663" s="56">
        <v>41108</v>
      </c>
    </row>
    <row r="664" spans="1:7" x14ac:dyDescent="0.2">
      <c r="A664" s="196">
        <v>40681</v>
      </c>
      <c r="B664" s="195" t="s">
        <v>2964</v>
      </c>
      <c r="C664" s="197" t="s">
        <v>3131</v>
      </c>
      <c r="D664" s="198">
        <v>7068</v>
      </c>
      <c r="E664" s="199" t="s">
        <v>2504</v>
      </c>
      <c r="F664" s="50">
        <v>1</v>
      </c>
      <c r="G664" s="56">
        <v>41108</v>
      </c>
    </row>
    <row r="665" spans="1:7" x14ac:dyDescent="0.2">
      <c r="A665" s="48">
        <v>40690</v>
      </c>
      <c r="B665" s="49" t="s">
        <v>3668</v>
      </c>
      <c r="C665" s="69" t="s">
        <v>3131</v>
      </c>
      <c r="D665" s="51">
        <v>7864</v>
      </c>
      <c r="E665" s="50" t="s">
        <v>3162</v>
      </c>
      <c r="F665" s="50">
        <v>5</v>
      </c>
      <c r="G665" s="56">
        <v>41108</v>
      </c>
    </row>
    <row r="666" spans="1:7" x14ac:dyDescent="0.2">
      <c r="A666" s="196">
        <v>41064</v>
      </c>
      <c r="B666" s="195" t="s">
        <v>231</v>
      </c>
      <c r="C666" s="197" t="s">
        <v>3361</v>
      </c>
      <c r="D666" s="198">
        <v>8596</v>
      </c>
      <c r="E666" s="199"/>
      <c r="G666" s="56">
        <v>41110</v>
      </c>
    </row>
    <row r="667" spans="1:7" x14ac:dyDescent="0.2">
      <c r="A667" s="48">
        <v>40868</v>
      </c>
      <c r="B667" s="49" t="s">
        <v>3187</v>
      </c>
      <c r="C667" s="69" t="s">
        <v>2479</v>
      </c>
      <c r="D667" s="51">
        <v>8117</v>
      </c>
      <c r="E667" s="50" t="s">
        <v>3162</v>
      </c>
      <c r="F667" s="50">
        <v>1</v>
      </c>
      <c r="G667" s="56">
        <v>41115</v>
      </c>
    </row>
    <row r="668" spans="1:7" x14ac:dyDescent="0.2">
      <c r="A668" s="48">
        <v>40757</v>
      </c>
      <c r="B668" s="49" t="s">
        <v>618</v>
      </c>
      <c r="D668" s="51">
        <v>7361</v>
      </c>
      <c r="E668" s="50" t="s">
        <v>3162</v>
      </c>
      <c r="F668" s="50">
        <v>2</v>
      </c>
      <c r="G668" s="56">
        <v>41115</v>
      </c>
    </row>
    <row r="669" spans="1:7" x14ac:dyDescent="0.2">
      <c r="A669" s="196">
        <v>41043</v>
      </c>
      <c r="B669" s="195" t="s">
        <v>3896</v>
      </c>
      <c r="C669" s="197"/>
      <c r="D669" s="198">
        <v>8617</v>
      </c>
      <c r="E669" s="199"/>
      <c r="G669" s="56">
        <v>41115</v>
      </c>
    </row>
    <row r="670" spans="1:7" x14ac:dyDescent="0.2">
      <c r="A670" s="48">
        <v>41043</v>
      </c>
      <c r="B670" s="49" t="s">
        <v>3895</v>
      </c>
      <c r="D670" s="51">
        <v>8612</v>
      </c>
      <c r="G670" s="56">
        <v>41115</v>
      </c>
    </row>
    <row r="671" spans="1:7" x14ac:dyDescent="0.2">
      <c r="A671" s="48">
        <v>41099</v>
      </c>
      <c r="B671" s="49" t="s">
        <v>3061</v>
      </c>
      <c r="C671" s="69" t="s">
        <v>2479</v>
      </c>
      <c r="D671" s="51">
        <v>8332</v>
      </c>
      <c r="G671" s="56">
        <v>41115</v>
      </c>
    </row>
    <row r="672" spans="1:7" x14ac:dyDescent="0.2">
      <c r="A672" s="48">
        <v>41099</v>
      </c>
      <c r="B672" s="49" t="s">
        <v>2885</v>
      </c>
      <c r="C672" s="69" t="s">
        <v>2988</v>
      </c>
      <c r="D672" s="51">
        <v>8327</v>
      </c>
      <c r="F672" s="50">
        <v>1</v>
      </c>
      <c r="G672" s="56">
        <v>41115</v>
      </c>
    </row>
    <row r="673" spans="1:8" ht="25.5" x14ac:dyDescent="0.2">
      <c r="A673" s="48">
        <v>41102</v>
      </c>
      <c r="B673" s="49" t="s">
        <v>2157</v>
      </c>
      <c r="C673" s="69" t="s">
        <v>3025</v>
      </c>
      <c r="D673" s="51">
        <v>8330</v>
      </c>
      <c r="E673" s="50" t="s">
        <v>1168</v>
      </c>
      <c r="F673" s="50">
        <v>1</v>
      </c>
      <c r="G673" s="56">
        <v>41115</v>
      </c>
    </row>
    <row r="674" spans="1:8" x14ac:dyDescent="0.2">
      <c r="A674" s="48">
        <v>41113</v>
      </c>
      <c r="B674" s="49" t="s">
        <v>3539</v>
      </c>
      <c r="C674" s="69" t="s">
        <v>3025</v>
      </c>
      <c r="D674" s="51">
        <v>8325</v>
      </c>
      <c r="E674" s="50" t="s">
        <v>1223</v>
      </c>
      <c r="F674" s="50">
        <v>2</v>
      </c>
      <c r="G674" s="56">
        <v>41115</v>
      </c>
      <c r="H674" t="s">
        <v>2507</v>
      </c>
    </row>
    <row r="675" spans="1:8" x14ac:dyDescent="0.2">
      <c r="A675" s="196">
        <v>41053</v>
      </c>
      <c r="B675" s="195" t="s">
        <v>892</v>
      </c>
      <c r="C675" s="197" t="s">
        <v>2479</v>
      </c>
      <c r="D675" s="198">
        <v>8989</v>
      </c>
      <c r="E675" s="199" t="s">
        <v>2356</v>
      </c>
      <c r="F675" s="50">
        <v>3</v>
      </c>
      <c r="G675" s="56">
        <v>41135</v>
      </c>
    </row>
    <row r="676" spans="1:8" x14ac:dyDescent="0.2">
      <c r="A676" s="48">
        <v>40294</v>
      </c>
      <c r="B676" s="49" t="s">
        <v>3154</v>
      </c>
      <c r="D676" s="51">
        <v>4877</v>
      </c>
      <c r="E676" s="50" t="s">
        <v>2504</v>
      </c>
      <c r="F676" s="50">
        <v>5</v>
      </c>
      <c r="G676" s="56">
        <v>41135</v>
      </c>
    </row>
    <row r="677" spans="1:8" x14ac:dyDescent="0.2">
      <c r="A677" s="48">
        <v>40751</v>
      </c>
      <c r="B677" s="49" t="s">
        <v>964</v>
      </c>
      <c r="C677" s="69" t="s">
        <v>492</v>
      </c>
      <c r="D677" s="51">
        <v>7366</v>
      </c>
      <c r="E677" s="50" t="s">
        <v>3597</v>
      </c>
      <c r="F677" s="50" t="s">
        <v>2398</v>
      </c>
      <c r="G677" s="56">
        <v>41138</v>
      </c>
    </row>
    <row r="678" spans="1:8" x14ac:dyDescent="0.2">
      <c r="A678" s="48">
        <v>40480</v>
      </c>
      <c r="B678" s="49" t="s">
        <v>3281</v>
      </c>
      <c r="D678" s="51">
        <v>6620</v>
      </c>
      <c r="E678" s="50" t="s">
        <v>2494</v>
      </c>
      <c r="F678" s="50" t="s">
        <v>2398</v>
      </c>
      <c r="G678" s="56">
        <v>41141</v>
      </c>
    </row>
    <row r="679" spans="1:8" x14ac:dyDescent="0.2">
      <c r="A679" s="48">
        <v>40672</v>
      </c>
      <c r="B679" s="49" t="s">
        <v>652</v>
      </c>
      <c r="C679" s="69" t="s">
        <v>3131</v>
      </c>
      <c r="D679" s="51">
        <v>7242</v>
      </c>
      <c r="E679" s="50" t="s">
        <v>3165</v>
      </c>
      <c r="F679" s="50">
        <v>3</v>
      </c>
      <c r="G679" s="56">
        <v>41150</v>
      </c>
    </row>
    <row r="680" spans="1:8" x14ac:dyDescent="0.2">
      <c r="A680" s="48">
        <v>41117</v>
      </c>
      <c r="B680" s="49" t="s">
        <v>3568</v>
      </c>
      <c r="C680" s="69" t="s">
        <v>3025</v>
      </c>
      <c r="D680" s="51">
        <v>8604</v>
      </c>
      <c r="E680" s="50" t="s">
        <v>1168</v>
      </c>
      <c r="F680" s="50">
        <v>2</v>
      </c>
      <c r="G680" s="56">
        <v>41150</v>
      </c>
    </row>
    <row r="681" spans="1:8" x14ac:dyDescent="0.2">
      <c r="A681" s="196">
        <v>40872</v>
      </c>
      <c r="B681" s="195" t="s">
        <v>3685</v>
      </c>
      <c r="C681" s="197"/>
      <c r="D681" s="198">
        <v>8128</v>
      </c>
      <c r="E681" s="199"/>
      <c r="F681" s="50">
        <v>1</v>
      </c>
      <c r="G681" s="56">
        <v>41151</v>
      </c>
    </row>
    <row r="682" spans="1:8" x14ac:dyDescent="0.2">
      <c r="A682" s="48">
        <v>40955</v>
      </c>
      <c r="B682" s="49" t="s">
        <v>2727</v>
      </c>
      <c r="C682" s="69" t="s">
        <v>2988</v>
      </c>
      <c r="D682" s="51">
        <v>8254</v>
      </c>
      <c r="E682" s="50" t="s">
        <v>2055</v>
      </c>
      <c r="F682" s="50">
        <v>1</v>
      </c>
      <c r="G682" s="56">
        <v>41158</v>
      </c>
    </row>
    <row r="683" spans="1:8" x14ac:dyDescent="0.2">
      <c r="A683" s="48">
        <v>41060</v>
      </c>
      <c r="B683" s="49" t="s">
        <v>874</v>
      </c>
      <c r="C683" s="69" t="s">
        <v>3025</v>
      </c>
      <c r="D683" s="51">
        <v>8600</v>
      </c>
      <c r="G683" s="56">
        <v>41158</v>
      </c>
    </row>
    <row r="684" spans="1:8" ht="25.5" x14ac:dyDescent="0.2">
      <c r="A684" s="48">
        <v>41060</v>
      </c>
      <c r="B684" s="49" t="s">
        <v>2233</v>
      </c>
      <c r="C684" s="69" t="s">
        <v>3025</v>
      </c>
      <c r="D684" s="51">
        <v>8598</v>
      </c>
      <c r="G684" s="56">
        <v>41158</v>
      </c>
    </row>
    <row r="685" spans="1:8" x14ac:dyDescent="0.2">
      <c r="A685" s="48">
        <v>41060</v>
      </c>
      <c r="B685" s="49" t="s">
        <v>2234</v>
      </c>
      <c r="C685" s="69" t="s">
        <v>3025</v>
      </c>
      <c r="D685" s="51">
        <v>7523</v>
      </c>
      <c r="G685" s="56">
        <v>41158</v>
      </c>
    </row>
    <row r="686" spans="1:8" x14ac:dyDescent="0.2">
      <c r="A686" s="48">
        <v>41117</v>
      </c>
      <c r="B686" s="49" t="s">
        <v>2232</v>
      </c>
      <c r="C686" s="69" t="s">
        <v>3025</v>
      </c>
      <c r="D686" s="51">
        <v>9148</v>
      </c>
      <c r="E686" s="50" t="s">
        <v>2357</v>
      </c>
      <c r="F686" s="50">
        <v>2</v>
      </c>
      <c r="G686" s="56">
        <v>41158</v>
      </c>
    </row>
    <row r="687" spans="1:8" x14ac:dyDescent="0.2">
      <c r="A687" s="48">
        <v>41064</v>
      </c>
      <c r="B687" s="49" t="s">
        <v>230</v>
      </c>
      <c r="C687" s="69" t="s">
        <v>938</v>
      </c>
      <c r="D687" s="51">
        <v>8599</v>
      </c>
      <c r="F687" s="50">
        <v>2</v>
      </c>
      <c r="G687" s="56">
        <v>41158</v>
      </c>
    </row>
    <row r="688" spans="1:8" x14ac:dyDescent="0.2">
      <c r="A688" s="48">
        <v>41115</v>
      </c>
      <c r="B688" s="49" t="s">
        <v>1863</v>
      </c>
      <c r="D688" s="51">
        <v>8328</v>
      </c>
      <c r="F688" s="50">
        <v>2</v>
      </c>
      <c r="G688" s="56">
        <v>41158</v>
      </c>
    </row>
    <row r="689" spans="1:7" x14ac:dyDescent="0.2">
      <c r="A689" s="48">
        <v>41149</v>
      </c>
      <c r="B689" s="49" t="s">
        <v>2358</v>
      </c>
      <c r="D689" s="51">
        <v>9145</v>
      </c>
      <c r="G689" s="56">
        <v>41158</v>
      </c>
    </row>
    <row r="690" spans="1:7" x14ac:dyDescent="0.2">
      <c r="A690" s="196">
        <v>40791</v>
      </c>
      <c r="B690" s="195" t="s">
        <v>1054</v>
      </c>
      <c r="C690" s="197" t="s">
        <v>938</v>
      </c>
      <c r="D690" s="198">
        <v>8276</v>
      </c>
      <c r="E690" s="199" t="s">
        <v>3597</v>
      </c>
      <c r="F690" s="50">
        <v>1</v>
      </c>
      <c r="G690" s="56">
        <v>41159</v>
      </c>
    </row>
    <row r="691" spans="1:7" x14ac:dyDescent="0.2">
      <c r="A691" s="196" t="s">
        <v>975</v>
      </c>
      <c r="B691" s="195" t="s">
        <v>976</v>
      </c>
      <c r="C691" s="197" t="s">
        <v>977</v>
      </c>
      <c r="D691" s="198">
        <v>9139</v>
      </c>
      <c r="E691" s="199"/>
      <c r="F691" s="50">
        <v>1</v>
      </c>
      <c r="G691" s="56">
        <v>41164</v>
      </c>
    </row>
    <row r="692" spans="1:7" x14ac:dyDescent="0.2">
      <c r="A692" s="196">
        <v>41163</v>
      </c>
      <c r="B692" s="195" t="s">
        <v>189</v>
      </c>
      <c r="C692" s="197"/>
      <c r="D692" s="198">
        <v>9131</v>
      </c>
      <c r="E692" s="199"/>
      <c r="G692" s="56">
        <v>41169</v>
      </c>
    </row>
    <row r="693" spans="1:7" x14ac:dyDescent="0.2">
      <c r="A693" s="48">
        <v>40793</v>
      </c>
      <c r="B693" s="49" t="s">
        <v>2396</v>
      </c>
      <c r="D693" s="51">
        <v>8287</v>
      </c>
      <c r="E693" s="50" t="s">
        <v>3430</v>
      </c>
      <c r="F693" s="50">
        <v>1</v>
      </c>
      <c r="G693" s="56">
        <v>41173</v>
      </c>
    </row>
    <row r="694" spans="1:7" x14ac:dyDescent="0.2">
      <c r="A694" s="48">
        <v>40722</v>
      </c>
      <c r="B694" s="49" t="s">
        <v>18</v>
      </c>
      <c r="C694" s="69" t="s">
        <v>19</v>
      </c>
      <c r="D694" s="51">
        <v>7272</v>
      </c>
      <c r="E694" s="50" t="s">
        <v>2494</v>
      </c>
      <c r="F694" s="50">
        <v>1</v>
      </c>
      <c r="G694" s="56">
        <v>41173</v>
      </c>
    </row>
    <row r="695" spans="1:7" x14ac:dyDescent="0.2">
      <c r="A695" s="48">
        <v>41176</v>
      </c>
      <c r="B695" s="49" t="s">
        <v>3026</v>
      </c>
      <c r="C695" s="69" t="s">
        <v>3025</v>
      </c>
      <c r="D695" s="51">
        <v>9124</v>
      </c>
      <c r="G695" s="56">
        <v>41178</v>
      </c>
    </row>
    <row r="696" spans="1:7" x14ac:dyDescent="0.2">
      <c r="A696" s="48">
        <v>41156</v>
      </c>
      <c r="B696" s="49" t="s">
        <v>978</v>
      </c>
      <c r="C696" s="69" t="s">
        <v>2479</v>
      </c>
      <c r="D696" s="51">
        <v>9140</v>
      </c>
      <c r="G696" s="56">
        <v>41178</v>
      </c>
    </row>
    <row r="697" spans="1:7" x14ac:dyDescent="0.2">
      <c r="A697" s="48">
        <v>40674</v>
      </c>
      <c r="B697" s="49" t="s">
        <v>3427</v>
      </c>
      <c r="C697" s="69" t="s">
        <v>3131</v>
      </c>
      <c r="D697" s="51">
        <v>7149</v>
      </c>
      <c r="E697" s="50" t="s">
        <v>3162</v>
      </c>
      <c r="F697" s="50">
        <v>3</v>
      </c>
      <c r="G697" s="56">
        <v>41178</v>
      </c>
    </row>
    <row r="698" spans="1:7" x14ac:dyDescent="0.2">
      <c r="A698" s="48">
        <v>40857</v>
      </c>
      <c r="B698" s="49" t="s">
        <v>2717</v>
      </c>
      <c r="C698" s="69" t="s">
        <v>1026</v>
      </c>
      <c r="D698" s="51">
        <v>8124</v>
      </c>
      <c r="E698" s="50" t="s">
        <v>2504</v>
      </c>
      <c r="F698" s="50">
        <v>1</v>
      </c>
      <c r="G698" s="56">
        <v>41178</v>
      </c>
    </row>
    <row r="699" spans="1:7" x14ac:dyDescent="0.2">
      <c r="A699" s="48">
        <v>40595</v>
      </c>
      <c r="B699" s="49" t="s">
        <v>1176</v>
      </c>
      <c r="C699" s="69" t="s">
        <v>1177</v>
      </c>
      <c r="D699" s="51">
        <v>7152</v>
      </c>
      <c r="E699" s="50" t="s">
        <v>3162</v>
      </c>
      <c r="F699" s="50">
        <v>2</v>
      </c>
      <c r="G699" s="56">
        <v>41178</v>
      </c>
    </row>
    <row r="700" spans="1:7" x14ac:dyDescent="0.2">
      <c r="A700" s="48">
        <v>40788</v>
      </c>
      <c r="B700" s="49" t="s">
        <v>2024</v>
      </c>
      <c r="C700" s="69" t="s">
        <v>1707</v>
      </c>
      <c r="D700" s="51">
        <v>8228</v>
      </c>
      <c r="E700" s="50" t="s">
        <v>2789</v>
      </c>
      <c r="F700" s="50">
        <v>2</v>
      </c>
      <c r="G700" s="56">
        <v>41186</v>
      </c>
    </row>
    <row r="701" spans="1:7" x14ac:dyDescent="0.2">
      <c r="A701" s="48">
        <v>41185</v>
      </c>
      <c r="B701" s="49" t="s">
        <v>1099</v>
      </c>
      <c r="D701" s="51">
        <v>9119</v>
      </c>
      <c r="G701" s="56">
        <v>41204</v>
      </c>
    </row>
    <row r="702" spans="1:7" x14ac:dyDescent="0.2">
      <c r="A702" s="48">
        <v>41180</v>
      </c>
      <c r="B702" s="49" t="s">
        <v>3097</v>
      </c>
      <c r="D702" s="51">
        <v>9118</v>
      </c>
      <c r="E702" s="50" t="s">
        <v>1168</v>
      </c>
      <c r="F702" s="50">
        <v>2</v>
      </c>
      <c r="G702" s="56">
        <v>41204</v>
      </c>
    </row>
    <row r="703" spans="1:7" x14ac:dyDescent="0.2">
      <c r="A703" s="48">
        <v>41200</v>
      </c>
      <c r="B703" s="49" t="s">
        <v>288</v>
      </c>
      <c r="C703" s="69" t="s">
        <v>2988</v>
      </c>
      <c r="D703" s="51">
        <v>8428</v>
      </c>
      <c r="G703" s="56">
        <v>41204</v>
      </c>
    </row>
    <row r="704" spans="1:7" x14ac:dyDescent="0.2">
      <c r="A704" s="48">
        <v>41197</v>
      </c>
      <c r="B704" s="49" t="s">
        <v>116</v>
      </c>
      <c r="C704" s="69" t="s">
        <v>2988</v>
      </c>
      <c r="D704" s="51">
        <v>8427</v>
      </c>
      <c r="G704" s="56">
        <v>41206</v>
      </c>
    </row>
    <row r="705" spans="1:7" ht="25.5" x14ac:dyDescent="0.2">
      <c r="A705" s="48">
        <v>41173</v>
      </c>
      <c r="B705" s="49" t="s">
        <v>2391</v>
      </c>
      <c r="C705" s="69" t="s">
        <v>3025</v>
      </c>
      <c r="D705" s="51">
        <v>9128</v>
      </c>
      <c r="G705" s="56">
        <v>41207</v>
      </c>
    </row>
    <row r="706" spans="1:7" x14ac:dyDescent="0.2">
      <c r="A706" s="48">
        <v>41170</v>
      </c>
      <c r="B706" s="49" t="s">
        <v>2550</v>
      </c>
      <c r="C706" s="69" t="s">
        <v>1707</v>
      </c>
      <c r="D706" s="51">
        <v>9115</v>
      </c>
      <c r="G706" s="56">
        <v>41212</v>
      </c>
    </row>
    <row r="707" spans="1:7" x14ac:dyDescent="0.2">
      <c r="A707" s="48">
        <v>41186</v>
      </c>
      <c r="B707" s="49" t="s">
        <v>2716</v>
      </c>
      <c r="D707" s="51">
        <v>10000</v>
      </c>
      <c r="G707" s="56">
        <v>41213</v>
      </c>
    </row>
    <row r="708" spans="1:7" x14ac:dyDescent="0.2">
      <c r="A708" s="48">
        <v>41129</v>
      </c>
      <c r="B708" s="49" t="s">
        <v>3961</v>
      </c>
      <c r="C708" s="69" t="s">
        <v>2988</v>
      </c>
      <c r="D708" s="51">
        <v>9146</v>
      </c>
      <c r="G708" s="56">
        <v>41213</v>
      </c>
    </row>
    <row r="709" spans="1:7" x14ac:dyDescent="0.2">
      <c r="A709" s="196">
        <v>41211</v>
      </c>
      <c r="B709" s="195" t="s">
        <v>3847</v>
      </c>
      <c r="C709" s="197" t="s">
        <v>2479</v>
      </c>
      <c r="D709" s="198">
        <v>8420</v>
      </c>
      <c r="E709" s="199"/>
      <c r="F709" s="50">
        <v>1</v>
      </c>
      <c r="G709" s="56">
        <v>41227</v>
      </c>
    </row>
    <row r="710" spans="1:7" x14ac:dyDescent="0.2">
      <c r="A710" s="196">
        <v>41205</v>
      </c>
      <c r="B710" s="195" t="s">
        <v>2997</v>
      </c>
      <c r="C710" s="197" t="s">
        <v>474</v>
      </c>
      <c r="D710" s="198">
        <v>8434</v>
      </c>
      <c r="E710" s="199"/>
      <c r="G710" s="56">
        <v>41227</v>
      </c>
    </row>
    <row r="711" spans="1:7" x14ac:dyDescent="0.2">
      <c r="A711" s="48">
        <v>41052</v>
      </c>
      <c r="B711" s="49" t="s">
        <v>3315</v>
      </c>
      <c r="C711" s="69" t="s">
        <v>2988</v>
      </c>
      <c r="D711" s="51">
        <v>8609</v>
      </c>
      <c r="F711" s="50">
        <v>3</v>
      </c>
      <c r="G711" s="56">
        <v>41227</v>
      </c>
    </row>
    <row r="712" spans="1:7" x14ac:dyDescent="0.2">
      <c r="A712" s="48">
        <v>40719</v>
      </c>
      <c r="B712" s="49" t="s">
        <v>3497</v>
      </c>
      <c r="C712" s="69" t="s">
        <v>2215</v>
      </c>
      <c r="D712" s="51">
        <v>7267</v>
      </c>
      <c r="E712" s="50" t="s">
        <v>2494</v>
      </c>
      <c r="F712" s="50">
        <v>1</v>
      </c>
      <c r="G712" s="56">
        <v>41227</v>
      </c>
    </row>
    <row r="713" spans="1:7" x14ac:dyDescent="0.2">
      <c r="A713" s="48">
        <v>41191</v>
      </c>
      <c r="B713" s="49" t="s">
        <v>3576</v>
      </c>
      <c r="C713" s="69" t="s">
        <v>2479</v>
      </c>
      <c r="D713" s="51">
        <v>8424</v>
      </c>
      <c r="G713" s="56">
        <v>41227</v>
      </c>
    </row>
    <row r="714" spans="1:7" x14ac:dyDescent="0.2">
      <c r="A714" s="48">
        <v>41079</v>
      </c>
      <c r="B714" s="49" t="s">
        <v>3756</v>
      </c>
      <c r="C714" s="69" t="s">
        <v>2479</v>
      </c>
      <c r="D714" s="51">
        <v>8235</v>
      </c>
      <c r="F714" s="50">
        <v>2</v>
      </c>
      <c r="G714" s="56">
        <v>41227</v>
      </c>
    </row>
    <row r="715" spans="1:7" x14ac:dyDescent="0.2">
      <c r="A715" s="48">
        <v>41099</v>
      </c>
      <c r="B715" s="49" t="s">
        <v>3822</v>
      </c>
      <c r="C715" s="69" t="s">
        <v>2479</v>
      </c>
      <c r="D715" s="51">
        <v>8324</v>
      </c>
      <c r="F715" s="50">
        <v>3</v>
      </c>
      <c r="G715" s="56">
        <v>41227</v>
      </c>
    </row>
    <row r="716" spans="1:7" x14ac:dyDescent="0.2">
      <c r="A716" s="48">
        <v>41187</v>
      </c>
      <c r="B716" s="49" t="s">
        <v>109</v>
      </c>
      <c r="C716" s="69" t="s">
        <v>2479</v>
      </c>
      <c r="D716" s="51">
        <v>8406</v>
      </c>
      <c r="G716" s="56">
        <v>41227</v>
      </c>
    </row>
    <row r="717" spans="1:7" x14ac:dyDescent="0.2">
      <c r="A717" s="48">
        <v>40570</v>
      </c>
      <c r="B717" s="49" t="s">
        <v>2194</v>
      </c>
      <c r="C717" s="69" t="s">
        <v>1026</v>
      </c>
      <c r="D717" s="51">
        <v>6636</v>
      </c>
      <c r="E717" s="50" t="s">
        <v>2504</v>
      </c>
      <c r="F717" s="50">
        <v>5</v>
      </c>
      <c r="G717" s="56">
        <v>41227</v>
      </c>
    </row>
    <row r="718" spans="1:7" x14ac:dyDescent="0.2">
      <c r="A718" s="48">
        <v>39337</v>
      </c>
      <c r="B718" s="49" t="s">
        <v>409</v>
      </c>
      <c r="C718" s="69" t="s">
        <v>3361</v>
      </c>
      <c r="D718" s="51">
        <v>2164</v>
      </c>
      <c r="E718" s="50" t="s">
        <v>3175</v>
      </c>
      <c r="F718" s="50">
        <v>5</v>
      </c>
      <c r="G718" s="56">
        <v>41227</v>
      </c>
    </row>
    <row r="719" spans="1:7" ht="25.5" x14ac:dyDescent="0.2">
      <c r="A719" s="48">
        <v>41102</v>
      </c>
      <c r="B719" s="49" t="s">
        <v>2158</v>
      </c>
      <c r="C719" s="69" t="s">
        <v>3025</v>
      </c>
      <c r="D719" s="51">
        <v>8333</v>
      </c>
      <c r="G719" s="56">
        <v>41227</v>
      </c>
    </row>
    <row r="720" spans="1:7" x14ac:dyDescent="0.2">
      <c r="A720" s="48">
        <v>40822</v>
      </c>
      <c r="B720" s="49" t="s">
        <v>2638</v>
      </c>
      <c r="C720" s="69" t="s">
        <v>2988</v>
      </c>
      <c r="D720" s="51">
        <v>8075</v>
      </c>
      <c r="E720" s="50" t="s">
        <v>3162</v>
      </c>
      <c r="F720" s="50">
        <v>2</v>
      </c>
      <c r="G720" s="56">
        <v>41230</v>
      </c>
    </row>
    <row r="721" spans="1:7" x14ac:dyDescent="0.2">
      <c r="A721" s="48">
        <v>40722</v>
      </c>
      <c r="B721" s="49" t="s">
        <v>390</v>
      </c>
      <c r="C721" s="69" t="s">
        <v>2988</v>
      </c>
      <c r="D721" s="51">
        <v>7271</v>
      </c>
      <c r="E721" s="50" t="s">
        <v>3482</v>
      </c>
      <c r="F721" s="50">
        <v>3</v>
      </c>
      <c r="G721" s="56">
        <v>41230</v>
      </c>
    </row>
    <row r="722" spans="1:7" x14ac:dyDescent="0.2">
      <c r="A722" s="48">
        <v>41184</v>
      </c>
      <c r="B722" s="49" t="s">
        <v>1853</v>
      </c>
      <c r="C722" s="69" t="s">
        <v>3025</v>
      </c>
      <c r="D722" s="51">
        <v>9117</v>
      </c>
      <c r="G722" s="56">
        <v>41232</v>
      </c>
    </row>
    <row r="723" spans="1:7" x14ac:dyDescent="0.2">
      <c r="A723" s="48">
        <v>41232</v>
      </c>
      <c r="B723" s="49" t="s">
        <v>178</v>
      </c>
      <c r="C723" s="69" t="s">
        <v>3025</v>
      </c>
      <c r="D723" s="51">
        <v>8441</v>
      </c>
      <c r="E723" s="50" t="s">
        <v>1168</v>
      </c>
      <c r="F723" s="50">
        <v>1</v>
      </c>
      <c r="G723" s="56">
        <v>41241</v>
      </c>
    </row>
    <row r="724" spans="1:7" x14ac:dyDescent="0.2">
      <c r="A724" s="48">
        <v>40570</v>
      </c>
      <c r="B724" s="49" t="s">
        <v>719</v>
      </c>
      <c r="C724" s="69" t="s">
        <v>1026</v>
      </c>
      <c r="D724" s="51">
        <v>6640</v>
      </c>
      <c r="E724" s="50" t="s">
        <v>3597</v>
      </c>
      <c r="F724" s="50">
        <v>1</v>
      </c>
      <c r="G724" s="56">
        <v>41241</v>
      </c>
    </row>
    <row r="725" spans="1:7" x14ac:dyDescent="0.2">
      <c r="A725" s="48">
        <v>41186</v>
      </c>
      <c r="B725" s="49" t="s">
        <v>2366</v>
      </c>
      <c r="D725" s="51">
        <v>8405</v>
      </c>
      <c r="G725" s="56">
        <v>41241</v>
      </c>
    </row>
    <row r="726" spans="1:7" x14ac:dyDescent="0.2">
      <c r="A726" s="48">
        <v>41173</v>
      </c>
      <c r="B726" s="49" t="s">
        <v>2392</v>
      </c>
      <c r="C726" s="69" t="s">
        <v>3025</v>
      </c>
      <c r="D726" s="51">
        <v>9127</v>
      </c>
      <c r="F726" s="50">
        <v>2</v>
      </c>
      <c r="G726" s="56">
        <v>41241</v>
      </c>
    </row>
    <row r="727" spans="1:7" x14ac:dyDescent="0.2">
      <c r="A727" s="48">
        <v>41211</v>
      </c>
      <c r="B727" s="49" t="s">
        <v>3845</v>
      </c>
      <c r="C727" s="69" t="s">
        <v>2988</v>
      </c>
      <c r="D727" s="51">
        <v>8437</v>
      </c>
      <c r="G727" s="56">
        <v>41243</v>
      </c>
    </row>
    <row r="728" spans="1:7" x14ac:dyDescent="0.2">
      <c r="A728" s="48">
        <v>41239</v>
      </c>
      <c r="B728" s="49" t="s">
        <v>1343</v>
      </c>
      <c r="C728" s="69" t="s">
        <v>2479</v>
      </c>
      <c r="D728" s="51">
        <v>8813</v>
      </c>
      <c r="E728" s="50" t="s">
        <v>2357</v>
      </c>
      <c r="F728" s="50">
        <v>1</v>
      </c>
      <c r="G728" s="56">
        <v>41243</v>
      </c>
    </row>
    <row r="729" spans="1:7" x14ac:dyDescent="0.2">
      <c r="A729" s="196">
        <v>41232</v>
      </c>
      <c r="B729" s="195" t="s">
        <v>179</v>
      </c>
      <c r="C729" s="197"/>
      <c r="D729" s="198">
        <v>8426</v>
      </c>
      <c r="E729" s="199" t="s">
        <v>711</v>
      </c>
      <c r="F729" s="50">
        <v>2</v>
      </c>
      <c r="G729" s="56">
        <v>41254</v>
      </c>
    </row>
    <row r="730" spans="1:7" x14ac:dyDescent="0.2">
      <c r="A730" s="48">
        <v>41232</v>
      </c>
      <c r="B730" s="49" t="s">
        <v>177</v>
      </c>
      <c r="C730" s="69" t="s">
        <v>3025</v>
      </c>
      <c r="D730" s="51">
        <v>8440</v>
      </c>
      <c r="E730" s="50" t="s">
        <v>1168</v>
      </c>
      <c r="F730" s="50">
        <v>1</v>
      </c>
      <c r="G730" s="56">
        <v>41254</v>
      </c>
    </row>
    <row r="731" spans="1:7" x14ac:dyDescent="0.2">
      <c r="A731" s="48">
        <v>41242</v>
      </c>
      <c r="B731" s="49" t="s">
        <v>2919</v>
      </c>
      <c r="D731" s="51">
        <v>8812</v>
      </c>
      <c r="G731" s="56">
        <v>41257</v>
      </c>
    </row>
    <row r="732" spans="1:7" x14ac:dyDescent="0.2">
      <c r="A732" s="48">
        <v>40700</v>
      </c>
      <c r="B732" s="49" t="s">
        <v>1123</v>
      </c>
      <c r="C732" s="69" t="s">
        <v>1124</v>
      </c>
      <c r="D732" s="51">
        <v>7842</v>
      </c>
      <c r="E732" s="50" t="s">
        <v>3597</v>
      </c>
      <c r="F732" s="50">
        <v>1</v>
      </c>
      <c r="G732" s="56">
        <v>41272</v>
      </c>
    </row>
    <row r="733" spans="1:7" x14ac:dyDescent="0.2">
      <c r="A733" s="48">
        <v>40819</v>
      </c>
      <c r="B733" s="49" t="s">
        <v>2172</v>
      </c>
      <c r="C733" s="69" t="s">
        <v>2988</v>
      </c>
      <c r="D733" s="51">
        <v>8084</v>
      </c>
      <c r="F733" s="50">
        <v>1</v>
      </c>
      <c r="G733" s="56">
        <v>41272</v>
      </c>
    </row>
    <row r="734" spans="1:7" x14ac:dyDescent="0.2">
      <c r="A734" s="48">
        <v>41060</v>
      </c>
      <c r="B734" s="49" t="s">
        <v>873</v>
      </c>
      <c r="C734" s="69" t="s">
        <v>3025</v>
      </c>
      <c r="D734" s="51">
        <v>8597</v>
      </c>
      <c r="G734" s="56">
        <v>41272</v>
      </c>
    </row>
    <row r="735" spans="1:7" x14ac:dyDescent="0.2">
      <c r="A735" s="248">
        <v>41211</v>
      </c>
      <c r="B735" s="249" t="s">
        <v>3848</v>
      </c>
      <c r="C735" s="250" t="s">
        <v>2479</v>
      </c>
      <c r="D735" s="251">
        <v>8419</v>
      </c>
      <c r="E735" s="252"/>
      <c r="G735" s="56">
        <v>41272</v>
      </c>
    </row>
    <row r="736" spans="1:7" x14ac:dyDescent="0.2">
      <c r="A736" s="48">
        <v>41255</v>
      </c>
      <c r="B736" s="49" t="s">
        <v>671</v>
      </c>
      <c r="C736" s="69" t="s">
        <v>672</v>
      </c>
      <c r="D736" s="51">
        <v>8806</v>
      </c>
      <c r="E736" s="50" t="s">
        <v>711</v>
      </c>
      <c r="G736" s="56">
        <v>41272</v>
      </c>
    </row>
    <row r="737" spans="1:7" x14ac:dyDescent="0.2">
      <c r="A737" s="48">
        <v>41255</v>
      </c>
      <c r="B737" s="49" t="s">
        <v>673</v>
      </c>
      <c r="C737" s="69" t="s">
        <v>938</v>
      </c>
      <c r="D737" s="51">
        <v>8807</v>
      </c>
      <c r="E737" s="50" t="s">
        <v>1168</v>
      </c>
      <c r="G737" s="56">
        <v>41292</v>
      </c>
    </row>
    <row r="738" spans="1:7" ht="25.5" x14ac:dyDescent="0.2">
      <c r="A738" s="48">
        <v>41255</v>
      </c>
      <c r="B738" s="49" t="s">
        <v>674</v>
      </c>
      <c r="C738" s="69" t="s">
        <v>938</v>
      </c>
      <c r="D738" s="51">
        <v>2222</v>
      </c>
      <c r="E738" s="50" t="s">
        <v>711</v>
      </c>
      <c r="G738" s="56">
        <v>41292</v>
      </c>
    </row>
    <row r="739" spans="1:7" x14ac:dyDescent="0.2">
      <c r="A739" s="48">
        <v>40829</v>
      </c>
      <c r="B739" s="49" t="s">
        <v>1052</v>
      </c>
      <c r="C739" s="69" t="s">
        <v>2988</v>
      </c>
      <c r="D739" s="51">
        <v>8137</v>
      </c>
      <c r="E739" s="50" t="s">
        <v>3162</v>
      </c>
      <c r="F739" s="50">
        <v>2</v>
      </c>
      <c r="G739" s="56">
        <v>41292</v>
      </c>
    </row>
    <row r="740" spans="1:7" x14ac:dyDescent="0.2">
      <c r="A740" s="196">
        <v>41184</v>
      </c>
      <c r="B740" s="195" t="s">
        <v>1854</v>
      </c>
      <c r="C740" s="197" t="s">
        <v>3025</v>
      </c>
      <c r="D740" s="198">
        <v>9116</v>
      </c>
      <c r="E740" s="199"/>
      <c r="G740" s="56">
        <v>41292</v>
      </c>
    </row>
    <row r="741" spans="1:7" x14ac:dyDescent="0.2">
      <c r="A741" s="196">
        <v>41278</v>
      </c>
      <c r="B741" s="195" t="s">
        <v>577</v>
      </c>
      <c r="C741" s="197"/>
      <c r="D741" s="198">
        <v>8804</v>
      </c>
      <c r="E741" s="199"/>
      <c r="F741" s="50">
        <v>2</v>
      </c>
      <c r="G741" s="56">
        <v>41297</v>
      </c>
    </row>
    <row r="742" spans="1:7" x14ac:dyDescent="0.2">
      <c r="A742" s="48">
        <v>41283</v>
      </c>
      <c r="B742" s="49" t="s">
        <v>2536</v>
      </c>
      <c r="C742" s="69" t="s">
        <v>3893</v>
      </c>
      <c r="D742" s="51">
        <v>8800</v>
      </c>
      <c r="E742" s="50" t="s">
        <v>1168</v>
      </c>
      <c r="F742" s="50">
        <v>1</v>
      </c>
      <c r="G742" s="56">
        <v>41297</v>
      </c>
    </row>
    <row r="743" spans="1:7" x14ac:dyDescent="0.2">
      <c r="A743" s="48">
        <v>41201</v>
      </c>
      <c r="B743" s="49" t="s">
        <v>1173</v>
      </c>
      <c r="D743" s="51">
        <v>8429</v>
      </c>
      <c r="G743" s="56">
        <v>41297</v>
      </c>
    </row>
    <row r="744" spans="1:7" x14ac:dyDescent="0.2">
      <c r="A744" s="48">
        <v>41261</v>
      </c>
      <c r="B744" s="49" t="s">
        <v>3199</v>
      </c>
      <c r="D744" s="51">
        <v>8803</v>
      </c>
      <c r="G744" s="56">
        <v>41297</v>
      </c>
    </row>
    <row r="745" spans="1:7" x14ac:dyDescent="0.2">
      <c r="A745" s="196">
        <v>41288</v>
      </c>
      <c r="B745" s="195" t="s">
        <v>1987</v>
      </c>
      <c r="C745" s="197"/>
      <c r="D745" s="198">
        <v>8802</v>
      </c>
      <c r="E745" s="199"/>
      <c r="G745" s="56">
        <v>41297</v>
      </c>
    </row>
    <row r="746" spans="1:7" x14ac:dyDescent="0.2">
      <c r="A746" s="48">
        <v>40725</v>
      </c>
      <c r="B746" s="49" t="s">
        <v>941</v>
      </c>
      <c r="C746" s="69" t="s">
        <v>3025</v>
      </c>
      <c r="D746" s="51">
        <v>7424</v>
      </c>
      <c r="E746" s="50" t="s">
        <v>218</v>
      </c>
      <c r="F746" s="50">
        <v>2</v>
      </c>
      <c r="G746" s="56">
        <v>41304</v>
      </c>
    </row>
    <row r="747" spans="1:7" x14ac:dyDescent="0.2">
      <c r="A747" s="48">
        <v>41190</v>
      </c>
      <c r="B747" s="49" t="s">
        <v>381</v>
      </c>
      <c r="D747" s="51">
        <v>8422</v>
      </c>
      <c r="G747" s="56">
        <v>41304</v>
      </c>
    </row>
    <row r="748" spans="1:7" x14ac:dyDescent="0.2">
      <c r="A748" s="196">
        <v>41296</v>
      </c>
      <c r="B748" s="195" t="s">
        <v>2947</v>
      </c>
      <c r="C748" s="197" t="s">
        <v>3025</v>
      </c>
      <c r="D748" s="198">
        <v>8799</v>
      </c>
      <c r="E748" s="199"/>
      <c r="G748" s="56">
        <v>41304</v>
      </c>
    </row>
    <row r="749" spans="1:7" x14ac:dyDescent="0.2">
      <c r="A749" s="48">
        <v>41285</v>
      </c>
      <c r="B749" s="49" t="s">
        <v>1590</v>
      </c>
      <c r="D749" s="51">
        <v>8797</v>
      </c>
      <c r="G749" s="56">
        <v>41305</v>
      </c>
    </row>
    <row r="750" spans="1:7" x14ac:dyDescent="0.2">
      <c r="A750" s="48">
        <v>40687</v>
      </c>
      <c r="B750" s="49" t="s">
        <v>3297</v>
      </c>
      <c r="C750" s="69" t="s">
        <v>2479</v>
      </c>
      <c r="D750" s="51">
        <v>7863</v>
      </c>
      <c r="E750" s="50" t="s">
        <v>218</v>
      </c>
      <c r="F750" s="50">
        <v>3</v>
      </c>
      <c r="G750" s="56">
        <v>41306</v>
      </c>
    </row>
    <row r="751" spans="1:7" x14ac:dyDescent="0.2">
      <c r="A751" s="48">
        <v>40955</v>
      </c>
      <c r="B751" s="49" t="s">
        <v>2335</v>
      </c>
      <c r="D751" s="51">
        <v>8260</v>
      </c>
      <c r="F751" s="50">
        <v>2</v>
      </c>
      <c r="G751" s="56">
        <v>41306</v>
      </c>
    </row>
    <row r="752" spans="1:7" ht="25.5" x14ac:dyDescent="0.2">
      <c r="A752" s="248">
        <v>41009</v>
      </c>
      <c r="B752" s="249" t="s">
        <v>1797</v>
      </c>
      <c r="C752" s="250" t="s">
        <v>3025</v>
      </c>
      <c r="D752" s="251">
        <v>8244</v>
      </c>
      <c r="E752" s="252"/>
      <c r="F752" s="50">
        <v>1</v>
      </c>
      <c r="G752" s="56">
        <v>41306</v>
      </c>
    </row>
    <row r="753" spans="1:7" x14ac:dyDescent="0.2">
      <c r="A753" s="48">
        <v>41310</v>
      </c>
      <c r="B753" s="49" t="s">
        <v>2358</v>
      </c>
      <c r="C753" s="69" t="s">
        <v>2785</v>
      </c>
      <c r="D753" s="51">
        <v>8789</v>
      </c>
      <c r="E753" s="50" t="s">
        <v>1168</v>
      </c>
      <c r="F753" s="50">
        <v>2</v>
      </c>
      <c r="G753" s="56">
        <v>41318</v>
      </c>
    </row>
    <row r="754" spans="1:7" x14ac:dyDescent="0.2">
      <c r="A754" s="48">
        <v>41310</v>
      </c>
      <c r="B754" s="49" t="s">
        <v>3400</v>
      </c>
      <c r="C754" s="69" t="s">
        <v>3025</v>
      </c>
      <c r="D754" s="51">
        <v>8792</v>
      </c>
      <c r="G754" s="56">
        <v>41318</v>
      </c>
    </row>
    <row r="755" spans="1:7" x14ac:dyDescent="0.2">
      <c r="A755" s="48">
        <v>41116</v>
      </c>
      <c r="B755" s="49" t="s">
        <v>1224</v>
      </c>
      <c r="C755" s="69" t="s">
        <v>2988</v>
      </c>
      <c r="D755" s="51">
        <v>8331</v>
      </c>
      <c r="G755" s="56">
        <v>41326</v>
      </c>
    </row>
    <row r="756" spans="1:7" x14ac:dyDescent="0.2">
      <c r="A756" s="48">
        <v>41261</v>
      </c>
      <c r="B756" s="49" t="s">
        <v>3200</v>
      </c>
      <c r="C756" s="69" t="s">
        <v>2988</v>
      </c>
      <c r="D756" s="51">
        <v>8811</v>
      </c>
      <c r="G756" s="56">
        <v>41326</v>
      </c>
    </row>
    <row r="757" spans="1:7" x14ac:dyDescent="0.2">
      <c r="A757" s="48">
        <v>41211</v>
      </c>
      <c r="B757" s="49" t="s">
        <v>487</v>
      </c>
      <c r="C757" s="69" t="s">
        <v>2988</v>
      </c>
      <c r="D757" s="51">
        <v>8438</v>
      </c>
      <c r="F757" s="50">
        <v>2</v>
      </c>
      <c r="G757" s="56">
        <v>41332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3" r:id="rId1"/>
  <headerFooter alignWithMargins="0">
    <oddHeader>&amp;Lsuivi des travaux de maintenance&amp;C&amp;"Arial,Gras"&amp;12&amp;Etrieur
fait&amp;R&amp;D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 enableFormatConditionsCalculation="0">
    <tabColor indexed="22"/>
  </sheetPr>
  <dimension ref="A1:K5"/>
  <sheetViews>
    <sheetView zoomScale="75" workbookViewId="0">
      <pane ySplit="1" topLeftCell="A2" activePane="bottomLeft" state="frozen"/>
      <selection activeCell="H78" sqref="H78"/>
      <selection pane="bottomLeft" activeCell="B4" sqref="B4"/>
    </sheetView>
  </sheetViews>
  <sheetFormatPr baseColWidth="10" defaultRowHeight="15" customHeight="1" x14ac:dyDescent="0.2"/>
  <cols>
    <col min="1" max="1" width="11.28515625" style="30" customWidth="1"/>
    <col min="2" max="2" width="89.5703125" style="32" customWidth="1"/>
    <col min="3" max="3" width="14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7" width="13.42578125" style="168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  <col min="12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1" ht="15" customHeight="1" x14ac:dyDescent="0.2">
      <c r="A2" s="30">
        <v>40141</v>
      </c>
      <c r="B2" s="32" t="s">
        <v>3317</v>
      </c>
      <c r="C2" s="34" t="s">
        <v>2123</v>
      </c>
      <c r="D2" s="36">
        <v>5092</v>
      </c>
      <c r="E2" s="34" t="s">
        <v>3480</v>
      </c>
      <c r="F2" s="34">
        <v>1</v>
      </c>
      <c r="G2" s="168" t="s">
        <v>3406</v>
      </c>
    </row>
    <row r="3" spans="1:11" ht="15" customHeight="1" x14ac:dyDescent="0.2">
      <c r="A3" s="30">
        <v>40464</v>
      </c>
      <c r="B3" s="32" t="s">
        <v>3302</v>
      </c>
      <c r="D3" s="36">
        <v>5120</v>
      </c>
      <c r="F3" s="34">
        <v>1</v>
      </c>
      <c r="G3" s="168" t="s">
        <v>3406</v>
      </c>
      <c r="H3" s="168" t="s">
        <v>3364</v>
      </c>
    </row>
    <row r="4" spans="1:11" ht="15" customHeight="1" x14ac:dyDescent="0.2">
      <c r="A4" s="30">
        <v>40371</v>
      </c>
      <c r="B4" s="32" t="s">
        <v>1451</v>
      </c>
      <c r="D4" s="36">
        <v>6441</v>
      </c>
      <c r="F4" s="34">
        <v>1</v>
      </c>
      <c r="G4" s="168" t="s">
        <v>3406</v>
      </c>
      <c r="H4" s="168" t="s">
        <v>1165</v>
      </c>
    </row>
    <row r="5" spans="1:11" ht="15" customHeight="1" x14ac:dyDescent="0.2">
      <c r="A5" s="30">
        <v>40760</v>
      </c>
      <c r="B5" s="32" t="s">
        <v>2932</v>
      </c>
      <c r="C5" s="34" t="s">
        <v>2549</v>
      </c>
      <c r="D5" s="36">
        <v>7505</v>
      </c>
      <c r="E5" s="34" t="s">
        <v>3837</v>
      </c>
      <c r="F5" s="34">
        <v>2</v>
      </c>
      <c r="G5" s="168" t="s">
        <v>3406</v>
      </c>
      <c r="H5" s="168" t="s">
        <v>2547</v>
      </c>
    </row>
  </sheetData>
  <phoneticPr fontId="0" type="noConversion"/>
  <conditionalFormatting sqref="F1:F1048576">
    <cfRule type="cellIs" dxfId="11" priority="1" stopIfTrue="1" operator="equal">
      <formula>1</formula>
    </cfRule>
    <cfRule type="cellIs" dxfId="10" priority="2" stopIfTrue="1" operator="equal">
      <formula>2</formula>
    </cfRule>
    <cfRule type="cellIs" dxfId="9" priority="3" stopIfTrue="1" operator="equal">
      <formula>3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>
    <oddHeader>&amp;LSUIVI DES TRAVAUX DE MAINTENANCE &amp;CEXPEDITION&amp;R&amp;D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enableFormatConditionsCalculation="0">
    <tabColor indexed="22"/>
  </sheetPr>
  <dimension ref="A1:G70"/>
  <sheetViews>
    <sheetView workbookViewId="0">
      <pane ySplit="1" topLeftCell="A55" activePane="bottomLeft" state="frozen"/>
      <selection pane="bottomLeft" activeCell="F1" sqref="F1:F65536"/>
    </sheetView>
  </sheetViews>
  <sheetFormatPr baseColWidth="10" defaultRowHeight="15" customHeight="1" x14ac:dyDescent="0.2"/>
  <cols>
    <col min="1" max="1" width="10.28515625" style="48" customWidth="1"/>
    <col min="2" max="2" width="89.85546875" style="49" customWidth="1"/>
    <col min="3" max="3" width="9" style="50" customWidth="1"/>
    <col min="4" max="4" width="7.7109375" style="51" customWidth="1"/>
    <col min="5" max="5" width="8.7109375" style="50" customWidth="1"/>
    <col min="6" max="6" width="7.140625" style="50" customWidth="1"/>
    <col min="7" max="7" width="15.28515625" style="41" bestFit="1" customWidth="1"/>
  </cols>
  <sheetData>
    <row r="1" spans="1:7" ht="15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s="1" customFormat="1" ht="15" customHeight="1" x14ac:dyDescent="0.2">
      <c r="A2" s="78">
        <v>39104</v>
      </c>
      <c r="B2" s="79" t="s">
        <v>1274</v>
      </c>
      <c r="C2" s="80"/>
      <c r="D2" s="81">
        <v>1391</v>
      </c>
      <c r="E2" s="80" t="s">
        <v>3486</v>
      </c>
      <c r="F2" s="80"/>
      <c r="G2" s="116"/>
    </row>
    <row r="3" spans="1:7" s="1" customFormat="1" ht="15" customHeight="1" x14ac:dyDescent="0.2">
      <c r="A3" s="39">
        <v>39044</v>
      </c>
      <c r="B3" s="40" t="s">
        <v>1647</v>
      </c>
      <c r="C3" s="41"/>
      <c r="D3" s="43">
        <v>1111</v>
      </c>
      <c r="E3" s="41" t="s">
        <v>3032</v>
      </c>
      <c r="F3" s="41"/>
      <c r="G3" s="41"/>
    </row>
    <row r="4" spans="1:7" s="1" customFormat="1" ht="15" customHeight="1" x14ac:dyDescent="0.2">
      <c r="A4" s="39">
        <v>39104</v>
      </c>
      <c r="B4" s="40" t="s">
        <v>3909</v>
      </c>
      <c r="C4" s="41"/>
      <c r="D4" s="43">
        <v>1394</v>
      </c>
      <c r="E4" s="41" t="s">
        <v>3482</v>
      </c>
      <c r="F4" s="41"/>
      <c r="G4" s="41"/>
    </row>
    <row r="5" spans="1:7" s="1" customFormat="1" ht="15" customHeight="1" x14ac:dyDescent="0.2">
      <c r="A5" s="39">
        <v>38866</v>
      </c>
      <c r="B5" s="40" t="s">
        <v>2651</v>
      </c>
      <c r="C5" s="41"/>
      <c r="D5" s="43">
        <v>75</v>
      </c>
      <c r="E5" s="41" t="s">
        <v>1562</v>
      </c>
      <c r="F5" s="41"/>
      <c r="G5" s="41"/>
    </row>
    <row r="6" spans="1:7" s="1" customFormat="1" ht="15" customHeight="1" x14ac:dyDescent="0.2">
      <c r="A6" s="39">
        <v>38938</v>
      </c>
      <c r="B6" s="40" t="s">
        <v>3616</v>
      </c>
      <c r="C6" s="41"/>
      <c r="D6" s="43">
        <v>759</v>
      </c>
      <c r="E6" s="41" t="s">
        <v>3617</v>
      </c>
      <c r="F6" s="41"/>
      <c r="G6" s="41"/>
    </row>
    <row r="7" spans="1:7" s="1" customFormat="1" ht="15" customHeight="1" x14ac:dyDescent="0.2">
      <c r="A7" s="39">
        <v>39129</v>
      </c>
      <c r="B7" s="40" t="s">
        <v>3396</v>
      </c>
      <c r="C7" s="41"/>
      <c r="D7" s="43">
        <v>767</v>
      </c>
      <c r="E7" s="41" t="s">
        <v>2789</v>
      </c>
      <c r="F7" s="41"/>
      <c r="G7" s="41"/>
    </row>
    <row r="8" spans="1:7" s="1" customFormat="1" ht="15" customHeight="1" x14ac:dyDescent="0.2">
      <c r="A8" s="39">
        <v>39104</v>
      </c>
      <c r="B8" s="40" t="s">
        <v>3910</v>
      </c>
      <c r="C8" s="41"/>
      <c r="D8" s="43">
        <v>1390</v>
      </c>
      <c r="E8" s="41" t="s">
        <v>3486</v>
      </c>
      <c r="F8" s="41"/>
      <c r="G8" s="41"/>
    </row>
    <row r="9" spans="1:7" s="1" customFormat="1" ht="15" customHeight="1" x14ac:dyDescent="0.2">
      <c r="A9" s="39">
        <v>39104</v>
      </c>
      <c r="B9" s="40" t="s">
        <v>3965</v>
      </c>
      <c r="C9" s="41"/>
      <c r="D9" s="43">
        <v>1389</v>
      </c>
      <c r="E9" s="41" t="s">
        <v>1562</v>
      </c>
      <c r="F9" s="41"/>
      <c r="G9" s="41"/>
    </row>
    <row r="10" spans="1:7" s="1" customFormat="1" ht="15" customHeight="1" x14ac:dyDescent="0.2">
      <c r="A10" s="39">
        <v>39217</v>
      </c>
      <c r="B10" s="40" t="s">
        <v>3573</v>
      </c>
      <c r="C10" s="41"/>
      <c r="D10" s="43">
        <v>1726</v>
      </c>
      <c r="E10" s="41" t="s">
        <v>3176</v>
      </c>
      <c r="F10" s="41"/>
      <c r="G10" s="41"/>
    </row>
    <row r="11" spans="1:7" s="1" customFormat="1" ht="15" customHeight="1" x14ac:dyDescent="0.2">
      <c r="A11" s="39">
        <v>39240</v>
      </c>
      <c r="B11" s="40" t="s">
        <v>2952</v>
      </c>
      <c r="C11" s="41"/>
      <c r="D11" s="43">
        <v>773</v>
      </c>
      <c r="E11" s="41" t="s">
        <v>2504</v>
      </c>
      <c r="F11" s="41"/>
      <c r="G11" s="41"/>
    </row>
    <row r="12" spans="1:7" s="1" customFormat="1" ht="15" customHeight="1" x14ac:dyDescent="0.2">
      <c r="A12" s="39">
        <v>39240</v>
      </c>
      <c r="B12" s="40" t="s">
        <v>499</v>
      </c>
      <c r="C12" s="41"/>
      <c r="D12" s="43">
        <v>773</v>
      </c>
      <c r="E12" s="41" t="s">
        <v>2504</v>
      </c>
      <c r="F12" s="41"/>
      <c r="G12" s="41"/>
    </row>
    <row r="13" spans="1:7" s="1" customFormat="1" ht="15" customHeight="1" x14ac:dyDescent="0.2">
      <c r="A13" s="39">
        <v>39240</v>
      </c>
      <c r="B13" s="40" t="s">
        <v>500</v>
      </c>
      <c r="C13" s="41"/>
      <c r="D13" s="43">
        <v>773</v>
      </c>
      <c r="E13" s="41" t="s">
        <v>2504</v>
      </c>
      <c r="F13" s="41"/>
      <c r="G13" s="41"/>
    </row>
    <row r="14" spans="1:7" s="1" customFormat="1" ht="15" customHeight="1" x14ac:dyDescent="0.2">
      <c r="A14" s="39">
        <v>39044</v>
      </c>
      <c r="B14" s="40" t="s">
        <v>1648</v>
      </c>
      <c r="C14" s="41"/>
      <c r="D14" s="43">
        <v>1138</v>
      </c>
      <c r="E14" s="41" t="s">
        <v>2504</v>
      </c>
      <c r="F14" s="41"/>
      <c r="G14" s="41"/>
    </row>
    <row r="15" spans="1:7" s="1" customFormat="1" ht="15" customHeight="1" x14ac:dyDescent="0.2">
      <c r="A15" s="39">
        <v>38874</v>
      </c>
      <c r="B15" s="40" t="s">
        <v>3159</v>
      </c>
      <c r="C15" s="41"/>
      <c r="D15" s="43">
        <v>71</v>
      </c>
      <c r="E15" s="41" t="s">
        <v>3160</v>
      </c>
      <c r="F15" s="41"/>
      <c r="G15" s="41"/>
    </row>
    <row r="16" spans="1:7" s="1" customFormat="1" ht="15" customHeight="1" x14ac:dyDescent="0.2">
      <c r="A16" s="39">
        <v>39251</v>
      </c>
      <c r="B16" s="40" t="s">
        <v>455</v>
      </c>
      <c r="C16" s="41"/>
      <c r="D16" s="43">
        <v>1667</v>
      </c>
      <c r="E16" s="41" t="s">
        <v>3484</v>
      </c>
      <c r="F16" s="41"/>
      <c r="G16" s="41"/>
    </row>
    <row r="17" spans="1:7" s="1" customFormat="1" ht="15" customHeight="1" x14ac:dyDescent="0.2">
      <c r="A17" s="39">
        <v>39056</v>
      </c>
      <c r="B17" s="40" t="s">
        <v>445</v>
      </c>
      <c r="C17" s="41"/>
      <c r="D17" s="43">
        <v>113</v>
      </c>
      <c r="E17" s="41" t="s">
        <v>3176</v>
      </c>
      <c r="F17" s="41"/>
      <c r="G17" s="41"/>
    </row>
    <row r="18" spans="1:7" s="1" customFormat="1" ht="15" customHeight="1" x14ac:dyDescent="0.2">
      <c r="A18" s="39">
        <v>38958</v>
      </c>
      <c r="B18" s="40" t="s">
        <v>3863</v>
      </c>
      <c r="C18" s="41"/>
      <c r="D18" s="43">
        <v>908</v>
      </c>
      <c r="E18" s="41" t="s">
        <v>433</v>
      </c>
      <c r="F18" s="41"/>
      <c r="G18" s="41"/>
    </row>
    <row r="19" spans="1:7" s="1" customFormat="1" ht="15" customHeight="1" x14ac:dyDescent="0.2">
      <c r="A19" s="39">
        <v>39245</v>
      </c>
      <c r="B19" s="40" t="s">
        <v>990</v>
      </c>
      <c r="C19" s="41"/>
      <c r="D19" s="43">
        <v>774</v>
      </c>
      <c r="E19" s="41" t="s">
        <v>1420</v>
      </c>
      <c r="F19" s="41"/>
      <c r="G19" s="41"/>
    </row>
    <row r="20" spans="1:7" s="1" customFormat="1" ht="15" customHeight="1" x14ac:dyDescent="0.2">
      <c r="A20" s="39">
        <v>39164</v>
      </c>
      <c r="B20" s="40" t="s">
        <v>2325</v>
      </c>
      <c r="C20" s="41"/>
      <c r="D20" s="43">
        <v>768</v>
      </c>
      <c r="E20" s="41" t="s">
        <v>3486</v>
      </c>
      <c r="F20" s="41"/>
      <c r="G20" s="41"/>
    </row>
    <row r="21" spans="1:7" s="1" customFormat="1" ht="15" customHeight="1" x14ac:dyDescent="0.2">
      <c r="A21" s="39">
        <v>39365</v>
      </c>
      <c r="B21" s="40" t="s">
        <v>2870</v>
      </c>
      <c r="C21" s="41"/>
      <c r="D21" s="43">
        <v>780</v>
      </c>
      <c r="E21" s="41" t="s">
        <v>3176</v>
      </c>
      <c r="F21" s="41"/>
      <c r="G21" s="41"/>
    </row>
    <row r="22" spans="1:7" ht="15" customHeight="1" x14ac:dyDescent="0.2">
      <c r="A22" s="48">
        <v>39349</v>
      </c>
      <c r="B22" s="49" t="s">
        <v>525</v>
      </c>
      <c r="D22" s="51">
        <v>778</v>
      </c>
      <c r="E22" s="50" t="s">
        <v>2789</v>
      </c>
    </row>
    <row r="23" spans="1:7" ht="15" customHeight="1" x14ac:dyDescent="0.2">
      <c r="A23" s="48">
        <v>39346</v>
      </c>
      <c r="B23" s="49" t="s">
        <v>3598</v>
      </c>
      <c r="D23" s="51">
        <v>777</v>
      </c>
      <c r="E23" s="50" t="s">
        <v>1086</v>
      </c>
    </row>
    <row r="24" spans="1:7" ht="15" customHeight="1" x14ac:dyDescent="0.2">
      <c r="A24" s="48">
        <v>39337</v>
      </c>
      <c r="B24" s="49" t="s">
        <v>879</v>
      </c>
      <c r="D24" s="51">
        <v>2166</v>
      </c>
      <c r="E24" s="50" t="s">
        <v>880</v>
      </c>
    </row>
    <row r="25" spans="1:7" ht="15" customHeight="1" x14ac:dyDescent="0.2">
      <c r="A25" s="48">
        <v>39370</v>
      </c>
      <c r="B25" s="49" t="s">
        <v>3531</v>
      </c>
      <c r="D25" s="51">
        <v>781</v>
      </c>
    </row>
    <row r="26" spans="1:7" ht="15" customHeight="1" x14ac:dyDescent="0.2">
      <c r="A26" s="48">
        <v>39356</v>
      </c>
      <c r="B26" s="49" t="s">
        <v>4017</v>
      </c>
      <c r="D26" s="51">
        <v>779</v>
      </c>
      <c r="E26" s="50" t="s">
        <v>3478</v>
      </c>
    </row>
    <row r="27" spans="1:7" ht="15" customHeight="1" x14ac:dyDescent="0.2">
      <c r="A27" s="48">
        <v>39399</v>
      </c>
      <c r="B27" s="49" t="s">
        <v>3967</v>
      </c>
      <c r="D27" s="51">
        <v>785</v>
      </c>
      <c r="E27" s="50" t="s">
        <v>3486</v>
      </c>
    </row>
    <row r="28" spans="1:7" ht="15" customHeight="1" x14ac:dyDescent="0.2">
      <c r="A28" s="126">
        <v>39413</v>
      </c>
      <c r="B28" s="127" t="s">
        <v>780</v>
      </c>
      <c r="C28" s="130"/>
      <c r="D28" s="129">
        <v>786</v>
      </c>
      <c r="E28" s="130" t="s">
        <v>3482</v>
      </c>
      <c r="G28" s="56">
        <v>39595</v>
      </c>
    </row>
    <row r="29" spans="1:7" ht="15" customHeight="1" x14ac:dyDescent="0.2">
      <c r="A29" s="48">
        <v>39539</v>
      </c>
      <c r="B29" s="49" t="s">
        <v>1539</v>
      </c>
      <c r="D29" s="51">
        <v>3225</v>
      </c>
      <c r="E29" s="50" t="s">
        <v>3175</v>
      </c>
      <c r="G29" s="56">
        <v>39604</v>
      </c>
    </row>
    <row r="30" spans="1:7" ht="15" customHeight="1" x14ac:dyDescent="0.2">
      <c r="A30" s="126">
        <v>39611</v>
      </c>
      <c r="B30" s="127" t="s">
        <v>439</v>
      </c>
      <c r="C30" s="130" t="s">
        <v>3987</v>
      </c>
      <c r="D30" s="129">
        <v>790</v>
      </c>
      <c r="E30" s="130" t="s">
        <v>2789</v>
      </c>
      <c r="G30" s="56">
        <v>39748</v>
      </c>
    </row>
    <row r="31" spans="1:7" ht="15" customHeight="1" x14ac:dyDescent="0.2">
      <c r="A31" s="48">
        <v>39155</v>
      </c>
      <c r="B31" s="49" t="s">
        <v>609</v>
      </c>
      <c r="D31" s="51">
        <v>76</v>
      </c>
      <c r="E31" s="50" t="s">
        <v>3485</v>
      </c>
      <c r="G31" s="56">
        <v>39769</v>
      </c>
    </row>
    <row r="32" spans="1:7" ht="15" customHeight="1" x14ac:dyDescent="0.2">
      <c r="A32" s="48">
        <v>39185</v>
      </c>
      <c r="B32" s="49" t="s">
        <v>22</v>
      </c>
      <c r="D32" s="51">
        <v>770</v>
      </c>
      <c r="E32" s="50" t="s">
        <v>3032</v>
      </c>
      <c r="G32" s="56">
        <v>39828</v>
      </c>
    </row>
    <row r="33" spans="1:7" ht="15" customHeight="1" x14ac:dyDescent="0.2">
      <c r="A33" s="48">
        <v>39429</v>
      </c>
      <c r="B33" s="49" t="s">
        <v>1203</v>
      </c>
      <c r="D33" s="51">
        <v>2863</v>
      </c>
      <c r="E33" s="50" t="s">
        <v>3482</v>
      </c>
      <c r="G33" s="56">
        <v>39828</v>
      </c>
    </row>
    <row r="34" spans="1:7" ht="15" customHeight="1" x14ac:dyDescent="0.2">
      <c r="A34" s="48">
        <v>39253</v>
      </c>
      <c r="B34" s="49" t="s">
        <v>1331</v>
      </c>
      <c r="D34" s="51">
        <v>775</v>
      </c>
      <c r="E34" s="50" t="s">
        <v>3523</v>
      </c>
      <c r="G34" s="56">
        <v>39860</v>
      </c>
    </row>
    <row r="35" spans="1:7" ht="15" customHeight="1" x14ac:dyDescent="0.2">
      <c r="A35" s="126">
        <v>39470</v>
      </c>
      <c r="B35" s="127" t="s">
        <v>579</v>
      </c>
      <c r="C35" s="130"/>
      <c r="D35" s="129">
        <v>788</v>
      </c>
      <c r="E35" s="130" t="s">
        <v>2789</v>
      </c>
      <c r="G35" s="56">
        <v>39860</v>
      </c>
    </row>
    <row r="36" spans="1:7" ht="15" customHeight="1" x14ac:dyDescent="0.2">
      <c r="A36" s="126">
        <v>39860</v>
      </c>
      <c r="B36" s="127" t="s">
        <v>1595</v>
      </c>
      <c r="C36" s="130" t="s">
        <v>3987</v>
      </c>
      <c r="D36" s="129">
        <v>4780</v>
      </c>
      <c r="E36" s="130" t="s">
        <v>3482</v>
      </c>
      <c r="G36" s="56">
        <v>39875</v>
      </c>
    </row>
    <row r="37" spans="1:7" ht="15" customHeight="1" x14ac:dyDescent="0.2">
      <c r="A37" s="48">
        <v>39567</v>
      </c>
      <c r="B37" s="49" t="s">
        <v>3508</v>
      </c>
      <c r="D37" s="51">
        <v>789</v>
      </c>
      <c r="E37" s="50" t="s">
        <v>3175</v>
      </c>
      <c r="G37" s="56">
        <v>39877</v>
      </c>
    </row>
    <row r="38" spans="1:7" ht="15" customHeight="1" x14ac:dyDescent="0.2">
      <c r="A38" s="48">
        <v>39896</v>
      </c>
      <c r="B38" s="49" t="s">
        <v>1895</v>
      </c>
      <c r="C38" s="50" t="s">
        <v>2549</v>
      </c>
      <c r="D38" s="51">
        <v>797</v>
      </c>
      <c r="E38" s="50" t="s">
        <v>3796</v>
      </c>
      <c r="G38" s="56">
        <v>39897</v>
      </c>
    </row>
    <row r="39" spans="1:7" ht="15" customHeight="1" x14ac:dyDescent="0.2">
      <c r="A39" s="48">
        <v>39962</v>
      </c>
      <c r="B39" s="49" t="s">
        <v>3726</v>
      </c>
      <c r="C39" s="50" t="s">
        <v>2492</v>
      </c>
      <c r="D39" s="51">
        <v>5082</v>
      </c>
      <c r="E39" s="50" t="s">
        <v>3486</v>
      </c>
      <c r="G39" s="56">
        <v>39987</v>
      </c>
    </row>
    <row r="40" spans="1:7" ht="15" customHeight="1" x14ac:dyDescent="0.2">
      <c r="A40" s="48">
        <v>39706</v>
      </c>
      <c r="B40" s="49" t="s">
        <v>1864</v>
      </c>
      <c r="C40" s="50" t="s">
        <v>2123</v>
      </c>
      <c r="D40" s="51">
        <v>792</v>
      </c>
      <c r="E40" s="50" t="s">
        <v>1562</v>
      </c>
      <c r="G40" s="56">
        <v>39996</v>
      </c>
    </row>
    <row r="41" spans="1:7" ht="15" customHeight="1" x14ac:dyDescent="0.2">
      <c r="A41" s="48">
        <v>39104</v>
      </c>
      <c r="B41" s="49" t="s">
        <v>1871</v>
      </c>
      <c r="D41" s="51">
        <v>1392</v>
      </c>
      <c r="E41" s="50" t="s">
        <v>3486</v>
      </c>
      <c r="G41" s="56">
        <v>40158</v>
      </c>
    </row>
    <row r="42" spans="1:7" ht="15" customHeight="1" x14ac:dyDescent="0.2">
      <c r="A42" s="126">
        <v>39295</v>
      </c>
      <c r="B42" s="127" t="s">
        <v>2739</v>
      </c>
      <c r="C42" s="130"/>
      <c r="D42" s="129">
        <v>2114</v>
      </c>
      <c r="E42" s="130" t="s">
        <v>1562</v>
      </c>
      <c r="G42" s="56">
        <v>40158</v>
      </c>
    </row>
    <row r="43" spans="1:7" ht="15" customHeight="1" x14ac:dyDescent="0.2">
      <c r="A43" s="48">
        <v>39294</v>
      </c>
      <c r="B43" s="49" t="s">
        <v>3190</v>
      </c>
      <c r="D43" s="51">
        <v>776</v>
      </c>
      <c r="E43" s="50" t="s">
        <v>954</v>
      </c>
      <c r="G43" s="56">
        <v>40158</v>
      </c>
    </row>
    <row r="44" spans="1:7" ht="15" customHeight="1" x14ac:dyDescent="0.2">
      <c r="A44" s="48">
        <v>39392</v>
      </c>
      <c r="B44" s="49" t="s">
        <v>413</v>
      </c>
      <c r="D44" s="51">
        <v>784</v>
      </c>
      <c r="E44" s="50" t="s">
        <v>2789</v>
      </c>
      <c r="G44" s="56">
        <v>40158</v>
      </c>
    </row>
    <row r="45" spans="1:7" ht="15" customHeight="1" x14ac:dyDescent="0.2">
      <c r="A45" s="48">
        <v>39540</v>
      </c>
      <c r="B45" s="49" t="s">
        <v>3388</v>
      </c>
      <c r="D45" s="51">
        <v>3150</v>
      </c>
      <c r="E45" s="50" t="s">
        <v>2789</v>
      </c>
      <c r="G45" s="56">
        <v>40158</v>
      </c>
    </row>
    <row r="46" spans="1:7" ht="15" customHeight="1" x14ac:dyDescent="0.2">
      <c r="A46" s="48">
        <v>39413</v>
      </c>
      <c r="B46" s="49" t="s">
        <v>2723</v>
      </c>
      <c r="D46" s="51">
        <v>3224</v>
      </c>
      <c r="E46" s="50" t="s">
        <v>3176</v>
      </c>
      <c r="G46" s="56">
        <v>40158</v>
      </c>
    </row>
    <row r="47" spans="1:7" ht="15" customHeight="1" x14ac:dyDescent="0.2">
      <c r="A47" s="48">
        <v>39860</v>
      </c>
      <c r="B47" s="49" t="s">
        <v>1867</v>
      </c>
      <c r="C47" s="50" t="s">
        <v>3987</v>
      </c>
      <c r="D47" s="51">
        <v>4782</v>
      </c>
      <c r="E47" s="50" t="s">
        <v>3483</v>
      </c>
      <c r="G47" s="56">
        <v>40158</v>
      </c>
    </row>
    <row r="48" spans="1:7" ht="15" customHeight="1" x14ac:dyDescent="0.2">
      <c r="A48" s="48">
        <v>39881</v>
      </c>
      <c r="B48" s="49" t="s">
        <v>2306</v>
      </c>
      <c r="C48" s="50" t="s">
        <v>2164</v>
      </c>
      <c r="D48" s="51">
        <v>794</v>
      </c>
      <c r="E48" s="50" t="s">
        <v>3176</v>
      </c>
      <c r="G48" s="56">
        <v>40158</v>
      </c>
    </row>
    <row r="49" spans="1:7" ht="15" customHeight="1" x14ac:dyDescent="0.2">
      <c r="A49" s="48">
        <v>39891</v>
      </c>
      <c r="B49" s="49" t="s">
        <v>2491</v>
      </c>
      <c r="C49" s="50" t="s">
        <v>2492</v>
      </c>
      <c r="D49" s="51">
        <v>5075</v>
      </c>
      <c r="E49" s="50" t="s">
        <v>3480</v>
      </c>
      <c r="G49" s="56">
        <v>40158</v>
      </c>
    </row>
    <row r="50" spans="1:7" ht="15" customHeight="1" x14ac:dyDescent="0.2">
      <c r="A50" s="48">
        <v>39897</v>
      </c>
      <c r="B50" s="49" t="s">
        <v>67</v>
      </c>
      <c r="C50" s="50" t="s">
        <v>2492</v>
      </c>
      <c r="D50" s="51">
        <v>796</v>
      </c>
      <c r="E50" s="50" t="s">
        <v>3480</v>
      </c>
      <c r="G50" s="56">
        <v>40158</v>
      </c>
    </row>
    <row r="51" spans="1:7" ht="15" customHeight="1" x14ac:dyDescent="0.2">
      <c r="A51" s="48">
        <v>39911</v>
      </c>
      <c r="B51" s="49" t="s">
        <v>1286</v>
      </c>
      <c r="C51" s="50" t="s">
        <v>1213</v>
      </c>
      <c r="D51" s="51">
        <v>5079</v>
      </c>
      <c r="E51" s="50" t="s">
        <v>1562</v>
      </c>
      <c r="G51" s="56">
        <v>40158</v>
      </c>
    </row>
    <row r="52" spans="1:7" ht="15" customHeight="1" x14ac:dyDescent="0.2">
      <c r="A52" s="48">
        <v>40014</v>
      </c>
      <c r="B52" s="49" t="s">
        <v>3262</v>
      </c>
      <c r="C52" s="50" t="s">
        <v>3987</v>
      </c>
      <c r="D52" s="51">
        <v>5085</v>
      </c>
      <c r="E52" s="50" t="s">
        <v>3480</v>
      </c>
      <c r="G52" s="56">
        <v>40158</v>
      </c>
    </row>
    <row r="53" spans="1:7" ht="15" customHeight="1" x14ac:dyDescent="0.2">
      <c r="A53" s="126">
        <v>40091</v>
      </c>
      <c r="B53" s="127" t="s">
        <v>2169</v>
      </c>
      <c r="C53" s="130" t="s">
        <v>2123</v>
      </c>
      <c r="D53" s="129">
        <v>5088</v>
      </c>
      <c r="E53" s="130" t="s">
        <v>1562</v>
      </c>
      <c r="G53" s="56">
        <v>40158</v>
      </c>
    </row>
    <row r="54" spans="1:7" ht="15" customHeight="1" x14ac:dyDescent="0.2">
      <c r="A54" s="48">
        <v>40141</v>
      </c>
      <c r="B54" s="49" t="s">
        <v>1364</v>
      </c>
      <c r="C54" s="50" t="s">
        <v>2123</v>
      </c>
      <c r="D54" s="51">
        <v>5091</v>
      </c>
      <c r="E54" s="50" t="s">
        <v>1562</v>
      </c>
      <c r="G54" s="56">
        <v>40164</v>
      </c>
    </row>
    <row r="55" spans="1:7" ht="15" customHeight="1" x14ac:dyDescent="0.2">
      <c r="A55" s="48">
        <v>40276</v>
      </c>
      <c r="B55" s="49" t="s">
        <v>1856</v>
      </c>
      <c r="C55" s="50" t="s">
        <v>1837</v>
      </c>
      <c r="D55" s="51">
        <v>5108</v>
      </c>
      <c r="G55" s="56">
        <v>40436</v>
      </c>
    </row>
    <row r="56" spans="1:7" ht="15" customHeight="1" x14ac:dyDescent="0.2">
      <c r="A56" s="48">
        <v>40295</v>
      </c>
      <c r="B56" s="49" t="s">
        <v>2685</v>
      </c>
      <c r="C56" s="50" t="s">
        <v>2686</v>
      </c>
      <c r="D56" s="51">
        <v>6135</v>
      </c>
      <c r="G56" s="56">
        <v>40436</v>
      </c>
    </row>
    <row r="57" spans="1:7" ht="15" customHeight="1" x14ac:dyDescent="0.2">
      <c r="A57" s="196">
        <v>40385</v>
      </c>
      <c r="B57" s="195" t="s">
        <v>1114</v>
      </c>
      <c r="C57" s="199"/>
      <c r="D57" s="198">
        <v>6158</v>
      </c>
      <c r="E57" s="199"/>
      <c r="F57" s="50">
        <v>1</v>
      </c>
      <c r="G57" s="56">
        <v>41060</v>
      </c>
    </row>
    <row r="58" spans="1:7" ht="15" customHeight="1" x14ac:dyDescent="0.2">
      <c r="A58" s="196">
        <v>40375</v>
      </c>
      <c r="B58" s="195" t="s">
        <v>3556</v>
      </c>
      <c r="C58" s="199"/>
      <c r="D58" s="198">
        <v>6156</v>
      </c>
      <c r="E58" s="199"/>
      <c r="F58" s="50">
        <v>2</v>
      </c>
      <c r="G58" s="56">
        <v>41060</v>
      </c>
    </row>
    <row r="59" spans="1:7" ht="15" customHeight="1" x14ac:dyDescent="0.2">
      <c r="A59" s="196">
        <v>40276</v>
      </c>
      <c r="B59" s="195" t="s">
        <v>1646</v>
      </c>
      <c r="C59" s="199"/>
      <c r="D59" s="198">
        <v>5106</v>
      </c>
      <c r="E59" s="199"/>
      <c r="F59" s="50">
        <v>1</v>
      </c>
      <c r="G59" s="56">
        <v>41060</v>
      </c>
    </row>
    <row r="60" spans="1:7" ht="15" customHeight="1" x14ac:dyDescent="0.2">
      <c r="A60" s="48">
        <v>40371</v>
      </c>
      <c r="B60" s="49" t="s">
        <v>1655</v>
      </c>
      <c r="D60" s="51">
        <v>6442</v>
      </c>
      <c r="F60" s="50">
        <v>1</v>
      </c>
      <c r="G60" s="56">
        <v>41108</v>
      </c>
    </row>
    <row r="61" spans="1:7" ht="15" customHeight="1" x14ac:dyDescent="0.2">
      <c r="A61" s="48">
        <v>40015</v>
      </c>
      <c r="B61" s="49" t="s">
        <v>3705</v>
      </c>
      <c r="C61" s="50" t="s">
        <v>3987</v>
      </c>
      <c r="D61" s="51">
        <v>5086</v>
      </c>
      <c r="E61" s="50" t="s">
        <v>1562</v>
      </c>
      <c r="F61" s="50">
        <v>2</v>
      </c>
      <c r="G61" s="56">
        <v>41173</v>
      </c>
    </row>
    <row r="62" spans="1:7" ht="15" customHeight="1" x14ac:dyDescent="0.2">
      <c r="A62" s="48">
        <v>40375</v>
      </c>
      <c r="B62" s="49" t="s">
        <v>3234</v>
      </c>
      <c r="D62" s="51">
        <v>6155</v>
      </c>
      <c r="F62" s="50">
        <v>2</v>
      </c>
      <c r="G62" s="56">
        <v>41173</v>
      </c>
    </row>
    <row r="63" spans="1:7" ht="15" customHeight="1" x14ac:dyDescent="0.2">
      <c r="A63" s="48">
        <v>40464</v>
      </c>
      <c r="B63" s="49" t="s">
        <v>3233</v>
      </c>
      <c r="D63" s="51">
        <v>5119</v>
      </c>
      <c r="F63" s="50">
        <v>1</v>
      </c>
      <c r="G63" s="56">
        <v>41177</v>
      </c>
    </row>
    <row r="64" spans="1:7" ht="15" customHeight="1" x14ac:dyDescent="0.2">
      <c r="A64" s="48">
        <v>40464</v>
      </c>
      <c r="B64" s="49" t="s">
        <v>1003</v>
      </c>
      <c r="D64" s="51">
        <v>5118</v>
      </c>
      <c r="F64" s="50">
        <v>2</v>
      </c>
      <c r="G64" s="56">
        <v>41177</v>
      </c>
    </row>
    <row r="65" spans="1:7" ht="15" customHeight="1" x14ac:dyDescent="0.2">
      <c r="A65" s="48">
        <v>40098</v>
      </c>
      <c r="B65" s="49" t="s">
        <v>1282</v>
      </c>
      <c r="C65" s="50" t="s">
        <v>3987</v>
      </c>
      <c r="D65" s="51">
        <v>5089</v>
      </c>
      <c r="E65" s="50" t="s">
        <v>2789</v>
      </c>
      <c r="F65" s="50">
        <v>1</v>
      </c>
      <c r="G65" s="56">
        <v>41177</v>
      </c>
    </row>
    <row r="66" spans="1:7" ht="15" customHeight="1" x14ac:dyDescent="0.2">
      <c r="A66" s="48">
        <v>40098</v>
      </c>
      <c r="B66" s="49" t="s">
        <v>208</v>
      </c>
      <c r="C66" s="50" t="s">
        <v>3987</v>
      </c>
      <c r="D66" s="51">
        <v>5090</v>
      </c>
      <c r="E66" s="50" t="s">
        <v>2789</v>
      </c>
      <c r="F66" s="50">
        <v>1</v>
      </c>
      <c r="G66" s="56">
        <v>41177</v>
      </c>
    </row>
    <row r="67" spans="1:7" ht="15" customHeight="1" x14ac:dyDescent="0.2">
      <c r="A67" s="48">
        <v>40233</v>
      </c>
      <c r="B67" s="49" t="s">
        <v>1294</v>
      </c>
      <c r="D67" s="51">
        <v>5093</v>
      </c>
      <c r="F67" s="50">
        <v>1</v>
      </c>
      <c r="G67" s="56">
        <v>41177</v>
      </c>
    </row>
    <row r="68" spans="1:7" ht="15" customHeight="1" x14ac:dyDescent="0.2">
      <c r="A68" s="48">
        <v>40371</v>
      </c>
      <c r="B68" s="49" t="s">
        <v>1452</v>
      </c>
      <c r="D68" s="51">
        <v>6440</v>
      </c>
      <c r="F68" s="50">
        <v>1</v>
      </c>
      <c r="G68" s="56">
        <v>41213</v>
      </c>
    </row>
    <row r="69" spans="1:7" ht="15" customHeight="1" x14ac:dyDescent="0.2">
      <c r="A69" s="48">
        <v>40368</v>
      </c>
      <c r="B69" s="49" t="s">
        <v>534</v>
      </c>
      <c r="D69" s="51">
        <v>6435</v>
      </c>
      <c r="F69" s="50">
        <v>1</v>
      </c>
      <c r="G69" s="56">
        <v>41213</v>
      </c>
    </row>
    <row r="70" spans="1:7" ht="15" customHeight="1" x14ac:dyDescent="0.2">
      <c r="A70" s="48">
        <v>40371</v>
      </c>
      <c r="B70" s="49" t="s">
        <v>2235</v>
      </c>
      <c r="D70" s="51">
        <v>6443</v>
      </c>
      <c r="F70" s="50">
        <v>2</v>
      </c>
      <c r="G70" s="56">
        <v>41297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 enableFormatConditionsCalculation="0">
    <tabColor indexed="43"/>
  </sheetPr>
  <dimension ref="A1:K1"/>
  <sheetViews>
    <sheetView workbookViewId="0">
      <pane ySplit="1" topLeftCell="A2" activePane="bottomLeft" state="frozen"/>
      <selection activeCell="H78" sqref="H78"/>
      <selection pane="bottomLeft" activeCell="F1" sqref="F1:F65536"/>
    </sheetView>
  </sheetViews>
  <sheetFormatPr baseColWidth="10" defaultRowHeight="15" customHeight="1" x14ac:dyDescent="0.2"/>
  <cols>
    <col min="1" max="1" width="11.28515625" style="30" customWidth="1"/>
    <col min="2" max="2" width="107" style="32" customWidth="1"/>
    <col min="3" max="3" width="5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7" width="13.42578125" style="168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  <col min="12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</sheetData>
  <phoneticPr fontId="0" type="noConversion"/>
  <conditionalFormatting sqref="F1:F1048576">
    <cfRule type="cellIs" dxfId="8" priority="1" stopIfTrue="1" operator="equal">
      <formula>1</formula>
    </cfRule>
    <cfRule type="cellIs" dxfId="7" priority="2" stopIfTrue="1" operator="equal">
      <formula>2</formula>
    </cfRule>
    <cfRule type="cellIs" dxfId="6" priority="3" stopIfTrue="1" operator="equal">
      <formula>3</formula>
    </cfRule>
  </conditionalFormatting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>
    <oddHeader>&amp;LSUIVI DES TRAVAUX DE MAINTENANCE &amp;CEXPEDITION&amp;R&amp;D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enableFormatConditionsCalculation="0">
    <tabColor indexed="43"/>
  </sheetPr>
  <dimension ref="A1:G23"/>
  <sheetViews>
    <sheetView workbookViewId="0">
      <pane ySplit="1" topLeftCell="A2" activePane="bottomLeft" state="frozen"/>
      <selection pane="bottomLeft" activeCell="F1" sqref="F1:F65536"/>
    </sheetView>
  </sheetViews>
  <sheetFormatPr baseColWidth="10" defaultRowHeight="15" customHeight="1" x14ac:dyDescent="0.2"/>
  <cols>
    <col min="1" max="1" width="11.28515625" style="39" customWidth="1"/>
    <col min="2" max="2" width="105.7109375" style="40" customWidth="1"/>
    <col min="3" max="3" width="7.8554687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5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15" customHeight="1" x14ac:dyDescent="0.2">
      <c r="A2" s="78">
        <v>39112</v>
      </c>
      <c r="B2" s="79" t="s">
        <v>1515</v>
      </c>
      <c r="C2" s="80"/>
      <c r="D2" s="81">
        <v>1519</v>
      </c>
      <c r="E2" s="80" t="s">
        <v>3486</v>
      </c>
      <c r="F2" s="80"/>
      <c r="G2" s="116"/>
    </row>
    <row r="3" spans="1:7" ht="15" customHeight="1" x14ac:dyDescent="0.2">
      <c r="A3" s="39">
        <v>39041</v>
      </c>
      <c r="B3" s="40" t="s">
        <v>1092</v>
      </c>
      <c r="D3" s="43">
        <v>765</v>
      </c>
      <c r="E3" s="41" t="s">
        <v>3486</v>
      </c>
    </row>
    <row r="4" spans="1:7" ht="15" customHeight="1" x14ac:dyDescent="0.2">
      <c r="A4" s="39">
        <v>39134</v>
      </c>
      <c r="B4" s="40" t="s">
        <v>356</v>
      </c>
      <c r="D4" s="43">
        <v>1543</v>
      </c>
      <c r="E4" s="41" t="s">
        <v>3032</v>
      </c>
    </row>
    <row r="5" spans="1:7" ht="15" customHeight="1" x14ac:dyDescent="0.2">
      <c r="A5" s="39">
        <v>39240</v>
      </c>
      <c r="B5" s="40" t="s">
        <v>3542</v>
      </c>
      <c r="D5" s="43">
        <v>771</v>
      </c>
      <c r="E5" s="41" t="s">
        <v>3484</v>
      </c>
    </row>
    <row r="6" spans="1:7" ht="15" customHeight="1" x14ac:dyDescent="0.2">
      <c r="A6" s="39">
        <v>39295</v>
      </c>
      <c r="B6" s="40" t="s">
        <v>2367</v>
      </c>
      <c r="D6" s="43">
        <v>2116</v>
      </c>
      <c r="E6" s="41" t="s">
        <v>2368</v>
      </c>
    </row>
    <row r="7" spans="1:7" ht="15" customHeight="1" x14ac:dyDescent="0.2">
      <c r="A7" s="39">
        <v>39291</v>
      </c>
      <c r="B7" s="40" t="s">
        <v>2460</v>
      </c>
      <c r="D7" s="43">
        <v>2099</v>
      </c>
      <c r="E7" s="41" t="s">
        <v>3175</v>
      </c>
    </row>
    <row r="8" spans="1:7" ht="15" customHeight="1" x14ac:dyDescent="0.2">
      <c r="A8" s="39">
        <v>39374</v>
      </c>
      <c r="B8" s="40" t="s">
        <v>2009</v>
      </c>
      <c r="D8" s="43">
        <v>782</v>
      </c>
      <c r="E8" s="41" t="s">
        <v>3176</v>
      </c>
    </row>
    <row r="9" spans="1:7" ht="15" customHeight="1" x14ac:dyDescent="0.2">
      <c r="A9" s="39">
        <v>39454</v>
      </c>
      <c r="B9" s="40" t="s">
        <v>2317</v>
      </c>
      <c r="D9" s="43">
        <v>787</v>
      </c>
      <c r="E9" s="41" t="s">
        <v>3176</v>
      </c>
    </row>
    <row r="10" spans="1:7" ht="15" customHeight="1" x14ac:dyDescent="0.2">
      <c r="A10" s="39">
        <v>39414</v>
      </c>
      <c r="B10" s="40" t="s">
        <v>106</v>
      </c>
      <c r="D10" s="43">
        <v>2782</v>
      </c>
      <c r="E10" s="41" t="s">
        <v>3176</v>
      </c>
    </row>
    <row r="11" spans="1:7" ht="15" customHeight="1" x14ac:dyDescent="0.2">
      <c r="A11" s="39">
        <v>39414</v>
      </c>
      <c r="B11" s="40" t="s">
        <v>2709</v>
      </c>
      <c r="D11" s="43">
        <v>2783</v>
      </c>
      <c r="E11" s="41" t="s">
        <v>3176</v>
      </c>
    </row>
    <row r="12" spans="1:7" ht="15" customHeight="1" x14ac:dyDescent="0.2">
      <c r="A12" s="39">
        <v>39402</v>
      </c>
      <c r="B12" s="40" t="s">
        <v>92</v>
      </c>
      <c r="D12" s="43">
        <v>1369</v>
      </c>
      <c r="E12" s="41" t="s">
        <v>1562</v>
      </c>
    </row>
    <row r="13" spans="1:7" ht="15" customHeight="1" x14ac:dyDescent="0.2">
      <c r="A13" s="39">
        <v>39699</v>
      </c>
      <c r="B13" s="40" t="s">
        <v>276</v>
      </c>
      <c r="C13" s="41" t="s">
        <v>1778</v>
      </c>
      <c r="D13" s="43">
        <v>4415</v>
      </c>
      <c r="E13" s="41" t="s">
        <v>3175</v>
      </c>
      <c r="G13" s="56">
        <v>39748</v>
      </c>
    </row>
    <row r="14" spans="1:7" ht="15" customHeight="1" x14ac:dyDescent="0.2">
      <c r="A14" s="39">
        <v>39661</v>
      </c>
      <c r="B14" s="40" t="s">
        <v>274</v>
      </c>
      <c r="C14" s="41" t="s">
        <v>275</v>
      </c>
      <c r="D14" s="43">
        <v>4024</v>
      </c>
      <c r="E14" s="41" t="s">
        <v>3480</v>
      </c>
      <c r="G14" s="56">
        <v>39792</v>
      </c>
    </row>
    <row r="15" spans="1:7" ht="15" customHeight="1" x14ac:dyDescent="0.2">
      <c r="A15" s="39">
        <v>39167</v>
      </c>
      <c r="B15" s="40" t="s">
        <v>2583</v>
      </c>
      <c r="D15" s="43">
        <v>769</v>
      </c>
      <c r="E15" s="41" t="s">
        <v>3032</v>
      </c>
      <c r="G15" s="56">
        <v>39849</v>
      </c>
    </row>
    <row r="16" spans="1:7" ht="15" customHeight="1" x14ac:dyDescent="0.2">
      <c r="A16" s="39">
        <v>39694</v>
      </c>
      <c r="B16" s="40" t="s">
        <v>181</v>
      </c>
      <c r="C16" s="41" t="s">
        <v>182</v>
      </c>
      <c r="D16" s="43">
        <v>791</v>
      </c>
      <c r="E16" s="41" t="s">
        <v>3837</v>
      </c>
      <c r="G16" s="56">
        <v>39877</v>
      </c>
    </row>
    <row r="17" spans="1:7" ht="15" customHeight="1" x14ac:dyDescent="0.2">
      <c r="A17" s="39">
        <v>39281</v>
      </c>
      <c r="B17" s="40" t="s">
        <v>2459</v>
      </c>
      <c r="D17" s="43">
        <v>2091</v>
      </c>
      <c r="E17" s="41" t="s">
        <v>3176</v>
      </c>
      <c r="G17" s="56">
        <v>39878</v>
      </c>
    </row>
    <row r="18" spans="1:7" ht="15" customHeight="1" x14ac:dyDescent="0.2">
      <c r="A18" s="39">
        <v>40163</v>
      </c>
      <c r="B18" s="40" t="s">
        <v>1882</v>
      </c>
      <c r="C18" s="41" t="s">
        <v>1778</v>
      </c>
      <c r="D18" s="43">
        <v>6241</v>
      </c>
      <c r="E18" s="41" t="s">
        <v>3176</v>
      </c>
      <c r="G18" s="56">
        <v>40268</v>
      </c>
    </row>
    <row r="19" spans="1:7" ht="15" customHeight="1" x14ac:dyDescent="0.2">
      <c r="A19" s="39">
        <v>40332</v>
      </c>
      <c r="B19" s="40" t="s">
        <v>1111</v>
      </c>
      <c r="C19" s="41" t="s">
        <v>1112</v>
      </c>
      <c r="D19" s="43">
        <v>6379</v>
      </c>
      <c r="G19" s="56">
        <v>40436</v>
      </c>
    </row>
    <row r="20" spans="1:7" ht="15" customHeight="1" x14ac:dyDescent="0.2">
      <c r="A20" s="39">
        <v>40459</v>
      </c>
      <c r="B20" s="40" t="s">
        <v>2625</v>
      </c>
      <c r="D20" s="43">
        <v>6841</v>
      </c>
      <c r="G20" s="56">
        <v>40535</v>
      </c>
    </row>
    <row r="21" spans="1:7" ht="15" customHeight="1" x14ac:dyDescent="0.2">
      <c r="A21" s="39">
        <v>40799</v>
      </c>
      <c r="B21" s="40" t="s">
        <v>689</v>
      </c>
      <c r="C21" s="41" t="s">
        <v>690</v>
      </c>
      <c r="D21" s="43">
        <v>7763</v>
      </c>
      <c r="E21" s="41" t="s">
        <v>196</v>
      </c>
      <c r="F21" s="41">
        <v>1</v>
      </c>
      <c r="G21" s="56">
        <v>40854</v>
      </c>
    </row>
    <row r="22" spans="1:7" ht="15" customHeight="1" x14ac:dyDescent="0.2">
      <c r="A22" s="39">
        <v>40799</v>
      </c>
      <c r="B22" s="40" t="s">
        <v>375</v>
      </c>
      <c r="C22" s="41" t="s">
        <v>376</v>
      </c>
      <c r="D22" s="43">
        <v>7761</v>
      </c>
      <c r="E22" s="41" t="s">
        <v>196</v>
      </c>
      <c r="F22" s="41">
        <v>1</v>
      </c>
      <c r="G22" s="56">
        <v>41043</v>
      </c>
    </row>
    <row r="23" spans="1:7" ht="15" customHeight="1" x14ac:dyDescent="0.2">
      <c r="A23" s="39">
        <v>40065</v>
      </c>
      <c r="B23" s="40" t="s">
        <v>1394</v>
      </c>
      <c r="C23" s="41" t="s">
        <v>1778</v>
      </c>
      <c r="D23" s="43">
        <v>5683</v>
      </c>
      <c r="E23" s="41" t="s">
        <v>1021</v>
      </c>
      <c r="G23" s="56">
        <v>41066</v>
      </c>
    </row>
  </sheetData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>
    <oddHeader>&amp;LSUIVI DES TRAVAUX DE MAINTENANCE &amp;CEXPEDITION&amp;R&amp;D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>
    <tabColor indexed="41"/>
  </sheetPr>
  <dimension ref="A1:K7"/>
  <sheetViews>
    <sheetView workbookViewId="0">
      <pane ySplit="1" topLeftCell="A2" activePane="bottomLeft" state="frozen"/>
      <selection activeCell="H78" sqref="H78"/>
      <selection pane="bottomLeft" activeCell="F1" sqref="F1:F65536"/>
    </sheetView>
  </sheetViews>
  <sheetFormatPr baseColWidth="10" defaultRowHeight="12" x14ac:dyDescent="0.2"/>
  <cols>
    <col min="1" max="1" width="10.85546875" style="30" customWidth="1"/>
    <col min="2" max="2" width="86.140625" style="32" customWidth="1"/>
    <col min="3" max="3" width="17.28515625" style="34" bestFit="1" customWidth="1"/>
    <col min="4" max="4" width="8.85546875" style="36" customWidth="1"/>
    <col min="5" max="5" width="7" style="34" customWidth="1"/>
    <col min="6" max="6" width="8.28515625" style="34" customWidth="1"/>
    <col min="7" max="7" width="13.42578125" style="168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  <col min="12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  <row r="2" spans="1:11" x14ac:dyDescent="0.2">
      <c r="A2" s="30">
        <v>40630</v>
      </c>
      <c r="B2" s="32" t="s">
        <v>1663</v>
      </c>
      <c r="C2" s="34" t="s">
        <v>1664</v>
      </c>
      <c r="D2" s="36">
        <v>7204</v>
      </c>
      <c r="E2" s="34" t="s">
        <v>3134</v>
      </c>
    </row>
    <row r="3" spans="1:11" x14ac:dyDescent="0.2">
      <c r="A3" s="30">
        <v>40843</v>
      </c>
      <c r="B3" s="32" t="s">
        <v>3930</v>
      </c>
      <c r="C3" s="34" t="s">
        <v>1609</v>
      </c>
      <c r="D3" s="36">
        <v>8475</v>
      </c>
      <c r="F3" s="34">
        <v>1</v>
      </c>
    </row>
    <row r="4" spans="1:11" x14ac:dyDescent="0.2">
      <c r="A4" s="30">
        <v>40851</v>
      </c>
      <c r="B4" s="32" t="s">
        <v>696</v>
      </c>
      <c r="C4" s="34" t="s">
        <v>697</v>
      </c>
      <c r="D4" s="36">
        <v>8493</v>
      </c>
      <c r="F4" s="34">
        <v>1</v>
      </c>
    </row>
    <row r="5" spans="1:11" x14ac:dyDescent="0.2">
      <c r="A5" s="30">
        <v>40851</v>
      </c>
      <c r="B5" s="32" t="s">
        <v>698</v>
      </c>
      <c r="C5" s="34" t="s">
        <v>697</v>
      </c>
      <c r="D5" s="36">
        <v>8494</v>
      </c>
      <c r="F5" s="34">
        <v>1</v>
      </c>
    </row>
    <row r="6" spans="1:11" x14ac:dyDescent="0.2">
      <c r="A6" s="30">
        <v>40851</v>
      </c>
      <c r="B6" s="32" t="s">
        <v>1651</v>
      </c>
      <c r="C6" s="34" t="s">
        <v>1652</v>
      </c>
      <c r="D6" s="36">
        <v>8495</v>
      </c>
      <c r="F6" s="34">
        <v>1</v>
      </c>
    </row>
    <row r="7" spans="1:11" x14ac:dyDescent="0.2">
      <c r="A7" s="30">
        <v>40851</v>
      </c>
      <c r="B7" s="32" t="s">
        <v>807</v>
      </c>
      <c r="C7" s="34" t="s">
        <v>808</v>
      </c>
      <c r="D7" s="36">
        <v>8490</v>
      </c>
      <c r="F7" s="34">
        <v>1</v>
      </c>
    </row>
  </sheetData>
  <phoneticPr fontId="7" type="noConversion"/>
  <conditionalFormatting sqref="F1:F1048576">
    <cfRule type="cellIs" dxfId="5" priority="1" stopIfTrue="1" operator="equal">
      <formula>1</formula>
    </cfRule>
    <cfRule type="cellIs" dxfId="4" priority="2" stopIfTrue="1" operator="equal">
      <formula>2</formula>
    </cfRule>
    <cfRule type="cellIs" dxfId="3" priority="3" stopIfTrue="1" operator="equal">
      <formula>3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>
    <oddHeader>&amp;Lsuivi des travaux de maintenance&amp;C&amp;"Arial,Gras"&amp;12&amp;Eengins à faire &amp;R&amp;D</oddHead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enableFormatConditionsCalculation="0">
    <tabColor indexed="41"/>
  </sheetPr>
  <dimension ref="A1:G115"/>
  <sheetViews>
    <sheetView workbookViewId="0">
      <pane ySplit="1" topLeftCell="A75" activePane="bottomLeft" state="frozen"/>
      <selection pane="bottomLeft" activeCell="F1" sqref="F1:F65536"/>
    </sheetView>
  </sheetViews>
  <sheetFormatPr baseColWidth="10" defaultRowHeight="12" x14ac:dyDescent="0.2"/>
  <cols>
    <col min="1" max="1" width="10.85546875" style="39" customWidth="1"/>
    <col min="2" max="2" width="86.140625" style="40" customWidth="1"/>
    <col min="3" max="3" width="8.42578125" style="41" customWidth="1"/>
    <col min="4" max="4" width="8.85546875" style="43" customWidth="1"/>
    <col min="5" max="5" width="7" style="41" customWidth="1"/>
    <col min="6" max="6" width="8.28515625" style="41" customWidth="1"/>
    <col min="7" max="7" width="15.28515625" style="41" bestFit="1" customWidth="1"/>
    <col min="8" max="16384" width="11.42578125" style="1"/>
  </cols>
  <sheetData>
    <row r="1" spans="1:7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24.75" customHeight="1" x14ac:dyDescent="0.2">
      <c r="A2" s="78">
        <v>39035</v>
      </c>
      <c r="B2" s="79" t="s">
        <v>3109</v>
      </c>
      <c r="C2" s="80"/>
      <c r="D2" s="81">
        <v>1028</v>
      </c>
      <c r="E2" s="80" t="s">
        <v>3160</v>
      </c>
      <c r="F2" s="184"/>
      <c r="G2" s="80"/>
    </row>
    <row r="3" spans="1:7" ht="24.75" customHeight="1" x14ac:dyDescent="0.2">
      <c r="A3" s="39">
        <v>39120</v>
      </c>
      <c r="B3" s="40" t="s">
        <v>1033</v>
      </c>
      <c r="D3" s="43">
        <v>1520</v>
      </c>
      <c r="E3" s="41" t="s">
        <v>3160</v>
      </c>
      <c r="F3" s="42"/>
    </row>
    <row r="4" spans="1:7" ht="24.75" customHeight="1" x14ac:dyDescent="0.2">
      <c r="A4" s="39">
        <v>39174</v>
      </c>
      <c r="B4" s="40" t="s">
        <v>3570</v>
      </c>
      <c r="D4" s="43">
        <v>1953</v>
      </c>
      <c r="E4" s="41" t="s">
        <v>1562</v>
      </c>
      <c r="G4" s="56"/>
    </row>
    <row r="5" spans="1:7" ht="24.75" customHeight="1" x14ac:dyDescent="0.2">
      <c r="A5" s="39">
        <v>39359</v>
      </c>
      <c r="B5" s="40" t="s">
        <v>293</v>
      </c>
      <c r="D5" s="43">
        <v>2223</v>
      </c>
    </row>
    <row r="6" spans="1:7" ht="24.75" customHeight="1" x14ac:dyDescent="0.2">
      <c r="A6" s="39">
        <v>39435</v>
      </c>
      <c r="B6" s="40" t="s">
        <v>443</v>
      </c>
      <c r="D6" s="43">
        <v>2858</v>
      </c>
      <c r="E6" s="41" t="s">
        <v>3485</v>
      </c>
    </row>
    <row r="7" spans="1:7" ht="24.75" customHeight="1" x14ac:dyDescent="0.2">
      <c r="A7" s="39">
        <v>39601</v>
      </c>
      <c r="B7" s="40" t="s">
        <v>3241</v>
      </c>
      <c r="C7" s="41" t="s">
        <v>3242</v>
      </c>
      <c r="D7" s="43">
        <v>3087</v>
      </c>
      <c r="E7" s="41" t="s">
        <v>3243</v>
      </c>
      <c r="G7" s="56">
        <v>39622</v>
      </c>
    </row>
    <row r="8" spans="1:7" ht="24.75" customHeight="1" x14ac:dyDescent="0.2">
      <c r="A8" s="39">
        <v>39760</v>
      </c>
      <c r="B8" s="40" t="s">
        <v>1650</v>
      </c>
      <c r="C8" s="41" t="s">
        <v>3985</v>
      </c>
      <c r="D8" s="43">
        <v>4232</v>
      </c>
      <c r="E8" s="41" t="s">
        <v>3160</v>
      </c>
      <c r="G8" s="56">
        <v>39927</v>
      </c>
    </row>
    <row r="9" spans="1:7" ht="24.75" customHeight="1" x14ac:dyDescent="0.2">
      <c r="A9" s="39">
        <v>39756</v>
      </c>
      <c r="B9" s="40" t="s">
        <v>2132</v>
      </c>
      <c r="C9" s="41" t="s">
        <v>3985</v>
      </c>
      <c r="D9" s="43">
        <v>4273</v>
      </c>
      <c r="E9" s="41" t="s">
        <v>3160</v>
      </c>
      <c r="G9" s="56">
        <v>39818</v>
      </c>
    </row>
    <row r="10" spans="1:7" x14ac:dyDescent="0.2">
      <c r="A10" s="39">
        <v>39923</v>
      </c>
      <c r="B10" s="40" t="s">
        <v>1677</v>
      </c>
      <c r="C10" s="41" t="s">
        <v>3985</v>
      </c>
      <c r="D10" s="43">
        <v>4648</v>
      </c>
      <c r="E10" s="41" t="s">
        <v>511</v>
      </c>
      <c r="G10" s="56">
        <v>40535</v>
      </c>
    </row>
    <row r="11" spans="1:7" ht="24.75" customHeight="1" x14ac:dyDescent="0.2">
      <c r="A11" s="39">
        <v>39891</v>
      </c>
      <c r="B11" s="40" t="s">
        <v>3698</v>
      </c>
      <c r="C11" s="41" t="s">
        <v>3696</v>
      </c>
      <c r="D11" s="43">
        <v>5076</v>
      </c>
      <c r="E11" s="41" t="s">
        <v>3697</v>
      </c>
      <c r="G11" s="56">
        <v>39909</v>
      </c>
    </row>
    <row r="12" spans="1:7" ht="24.75" customHeight="1" x14ac:dyDescent="0.2">
      <c r="A12" s="39">
        <v>39898</v>
      </c>
      <c r="B12" s="40" t="s">
        <v>49</v>
      </c>
      <c r="C12" s="41" t="s">
        <v>3873</v>
      </c>
      <c r="D12" s="43">
        <v>5077</v>
      </c>
      <c r="E12" s="41" t="s">
        <v>3243</v>
      </c>
      <c r="G12" s="56">
        <v>39961</v>
      </c>
    </row>
    <row r="13" spans="1:7" x14ac:dyDescent="0.2">
      <c r="A13" s="39">
        <v>39898</v>
      </c>
      <c r="B13" s="40" t="s">
        <v>2362</v>
      </c>
      <c r="C13" s="41" t="s">
        <v>3696</v>
      </c>
      <c r="D13" s="43">
        <v>5078</v>
      </c>
      <c r="E13" s="41" t="s">
        <v>3697</v>
      </c>
      <c r="G13" s="56">
        <v>40535</v>
      </c>
    </row>
    <row r="14" spans="1:7" x14ac:dyDescent="0.2">
      <c r="A14" s="39">
        <v>39925</v>
      </c>
      <c r="B14" s="40" t="s">
        <v>3872</v>
      </c>
      <c r="C14" s="41" t="s">
        <v>3873</v>
      </c>
      <c r="D14" s="43">
        <v>5081</v>
      </c>
      <c r="G14" s="56">
        <v>40535</v>
      </c>
    </row>
    <row r="15" spans="1:7" x14ac:dyDescent="0.2">
      <c r="A15" s="39">
        <v>40259</v>
      </c>
      <c r="B15" s="40" t="s">
        <v>745</v>
      </c>
      <c r="D15" s="43">
        <v>5094</v>
      </c>
      <c r="G15" s="56">
        <v>40535</v>
      </c>
    </row>
    <row r="16" spans="1:7" x14ac:dyDescent="0.2">
      <c r="A16" s="39">
        <v>40259</v>
      </c>
      <c r="B16" s="40" t="s">
        <v>1465</v>
      </c>
      <c r="D16" s="43">
        <v>5095</v>
      </c>
      <c r="G16" s="56">
        <v>40535</v>
      </c>
    </row>
    <row r="17" spans="1:7" x14ac:dyDescent="0.2">
      <c r="A17" s="39">
        <v>40259</v>
      </c>
      <c r="B17" s="40" t="s">
        <v>1126</v>
      </c>
      <c r="C17" s="41" t="s">
        <v>1127</v>
      </c>
      <c r="D17" s="43">
        <v>5100</v>
      </c>
      <c r="G17" s="56">
        <v>40436</v>
      </c>
    </row>
    <row r="18" spans="1:7" x14ac:dyDescent="0.2">
      <c r="A18" s="39">
        <v>40259</v>
      </c>
      <c r="B18" s="40" t="s">
        <v>1551</v>
      </c>
      <c r="D18" s="43">
        <v>5101</v>
      </c>
      <c r="G18" s="56">
        <v>40535</v>
      </c>
    </row>
    <row r="19" spans="1:7" x14ac:dyDescent="0.2">
      <c r="A19" s="39">
        <v>40274</v>
      </c>
      <c r="B19" s="40" t="s">
        <v>3445</v>
      </c>
      <c r="C19" s="41" t="s">
        <v>3446</v>
      </c>
      <c r="D19" s="43">
        <v>5105</v>
      </c>
      <c r="G19" s="56">
        <v>40436</v>
      </c>
    </row>
    <row r="20" spans="1:7" x14ac:dyDescent="0.2">
      <c r="A20" s="39">
        <v>40276</v>
      </c>
      <c r="B20" s="40" t="s">
        <v>1627</v>
      </c>
      <c r="C20" s="41" t="s">
        <v>3446</v>
      </c>
      <c r="D20" s="43">
        <v>5107</v>
      </c>
      <c r="G20" s="56">
        <v>40436</v>
      </c>
    </row>
    <row r="21" spans="1:7" x14ac:dyDescent="0.2">
      <c r="A21" s="39">
        <v>40280</v>
      </c>
      <c r="B21" s="40" t="s">
        <v>739</v>
      </c>
      <c r="D21" s="43">
        <v>5110</v>
      </c>
      <c r="G21" s="56">
        <v>40535</v>
      </c>
    </row>
    <row r="22" spans="1:7" x14ac:dyDescent="0.2">
      <c r="A22" s="39">
        <v>40280</v>
      </c>
      <c r="B22" s="40" t="s">
        <v>1628</v>
      </c>
      <c r="C22" s="41" t="s">
        <v>1629</v>
      </c>
      <c r="D22" s="43">
        <v>5111</v>
      </c>
      <c r="G22" s="56">
        <v>40436</v>
      </c>
    </row>
    <row r="23" spans="1:7" x14ac:dyDescent="0.2">
      <c r="A23" s="39">
        <v>40287</v>
      </c>
      <c r="B23" s="40" t="s">
        <v>3118</v>
      </c>
      <c r="D23" s="43">
        <v>5114</v>
      </c>
      <c r="G23" s="56">
        <v>40535</v>
      </c>
    </row>
    <row r="24" spans="1:7" x14ac:dyDescent="0.2">
      <c r="A24" s="39">
        <v>40462</v>
      </c>
      <c r="B24" s="40" t="s">
        <v>165</v>
      </c>
      <c r="D24" s="43">
        <v>5116</v>
      </c>
      <c r="G24" s="56">
        <v>40535</v>
      </c>
    </row>
    <row r="25" spans="1:7" x14ac:dyDescent="0.2">
      <c r="A25" s="39">
        <v>40471</v>
      </c>
      <c r="B25" s="40" t="s">
        <v>3150</v>
      </c>
      <c r="D25" s="43">
        <v>5121</v>
      </c>
      <c r="G25" s="56">
        <v>40535</v>
      </c>
    </row>
    <row r="26" spans="1:7" x14ac:dyDescent="0.2">
      <c r="A26" s="39">
        <v>40471</v>
      </c>
      <c r="B26" s="40" t="s">
        <v>128</v>
      </c>
      <c r="D26" s="43">
        <v>5123</v>
      </c>
      <c r="G26" s="56">
        <v>40535</v>
      </c>
    </row>
    <row r="27" spans="1:7" x14ac:dyDescent="0.2">
      <c r="A27" s="39">
        <v>40471</v>
      </c>
      <c r="B27" s="40" t="s">
        <v>2958</v>
      </c>
      <c r="D27" s="43">
        <v>5124</v>
      </c>
      <c r="G27" s="56">
        <v>40535</v>
      </c>
    </row>
    <row r="28" spans="1:7" x14ac:dyDescent="0.2">
      <c r="A28" s="39">
        <v>40058</v>
      </c>
      <c r="B28" s="40" t="s">
        <v>600</v>
      </c>
      <c r="C28" s="41" t="s">
        <v>601</v>
      </c>
      <c r="D28" s="43">
        <v>5448</v>
      </c>
      <c r="E28" s="41" t="s">
        <v>602</v>
      </c>
      <c r="G28" s="56">
        <v>40077</v>
      </c>
    </row>
    <row r="29" spans="1:7" x14ac:dyDescent="0.2">
      <c r="A29" s="39">
        <v>40393</v>
      </c>
      <c r="B29" s="40" t="s">
        <v>1106</v>
      </c>
      <c r="C29" s="41" t="s">
        <v>1107</v>
      </c>
      <c r="D29" s="43">
        <v>5993</v>
      </c>
      <c r="G29" s="56">
        <v>40437</v>
      </c>
    </row>
    <row r="30" spans="1:7" x14ac:dyDescent="0.2">
      <c r="A30" s="39">
        <v>40465</v>
      </c>
      <c r="B30" s="40" t="s">
        <v>743</v>
      </c>
      <c r="D30" s="43">
        <v>6019</v>
      </c>
      <c r="G30" s="56">
        <v>40535</v>
      </c>
    </row>
    <row r="31" spans="1:7" x14ac:dyDescent="0.2">
      <c r="A31" s="39">
        <v>40465</v>
      </c>
      <c r="B31" s="40" t="s">
        <v>744</v>
      </c>
      <c r="D31" s="43">
        <v>6020</v>
      </c>
      <c r="G31" s="56">
        <v>40535</v>
      </c>
    </row>
    <row r="32" spans="1:7" x14ac:dyDescent="0.2">
      <c r="A32" s="39">
        <v>40287</v>
      </c>
      <c r="B32" s="40" t="s">
        <v>3117</v>
      </c>
      <c r="D32" s="43">
        <v>6133</v>
      </c>
      <c r="G32" s="56">
        <v>40535</v>
      </c>
    </row>
    <row r="33" spans="1:7" x14ac:dyDescent="0.2">
      <c r="A33" s="39">
        <v>40287</v>
      </c>
      <c r="B33" s="40" t="s">
        <v>3855</v>
      </c>
      <c r="D33" s="43">
        <v>6134</v>
      </c>
      <c r="G33" s="56">
        <v>40535</v>
      </c>
    </row>
    <row r="34" spans="1:7" x14ac:dyDescent="0.2">
      <c r="A34" s="39">
        <v>40315</v>
      </c>
      <c r="B34" s="40" t="s">
        <v>3750</v>
      </c>
      <c r="D34" s="43">
        <v>6137</v>
      </c>
      <c r="G34" s="56">
        <v>40535</v>
      </c>
    </row>
    <row r="35" spans="1:7" x14ac:dyDescent="0.2">
      <c r="A35" s="39">
        <v>40323</v>
      </c>
      <c r="B35" s="40" t="s">
        <v>1630</v>
      </c>
      <c r="C35" s="41" t="s">
        <v>1631</v>
      </c>
      <c r="D35" s="43">
        <v>6140</v>
      </c>
      <c r="G35" s="56">
        <v>40436</v>
      </c>
    </row>
    <row r="36" spans="1:7" x14ac:dyDescent="0.2">
      <c r="A36" s="39">
        <v>40329</v>
      </c>
      <c r="B36" s="40" t="s">
        <v>3853</v>
      </c>
      <c r="D36" s="43">
        <v>6141</v>
      </c>
      <c r="G36" s="56">
        <v>40535</v>
      </c>
    </row>
    <row r="37" spans="1:7" x14ac:dyDescent="0.2">
      <c r="A37" s="39">
        <v>40329</v>
      </c>
      <c r="B37" s="40" t="s">
        <v>3854</v>
      </c>
      <c r="D37" s="43">
        <v>6142</v>
      </c>
      <c r="G37" s="56">
        <v>40535</v>
      </c>
    </row>
    <row r="38" spans="1:7" x14ac:dyDescent="0.2">
      <c r="A38" s="39">
        <v>40345</v>
      </c>
      <c r="B38" s="40" t="s">
        <v>2497</v>
      </c>
      <c r="D38" s="43">
        <v>6145</v>
      </c>
      <c r="G38" s="56">
        <v>40535</v>
      </c>
    </row>
    <row r="39" spans="1:7" x14ac:dyDescent="0.2">
      <c r="A39" s="39">
        <v>40345</v>
      </c>
      <c r="B39" s="40" t="s">
        <v>480</v>
      </c>
      <c r="D39" s="43">
        <v>6146</v>
      </c>
      <c r="G39" s="56">
        <v>40535</v>
      </c>
    </row>
    <row r="40" spans="1:7" x14ac:dyDescent="0.2">
      <c r="A40" s="39">
        <v>40351</v>
      </c>
      <c r="B40" s="40" t="s">
        <v>210</v>
      </c>
      <c r="D40" s="43">
        <v>6148</v>
      </c>
      <c r="G40" s="56">
        <v>40535</v>
      </c>
    </row>
    <row r="41" spans="1:7" x14ac:dyDescent="0.2">
      <c r="A41" s="39">
        <v>40364</v>
      </c>
      <c r="B41" s="40" t="s">
        <v>935</v>
      </c>
      <c r="C41" s="41" t="s">
        <v>936</v>
      </c>
      <c r="D41" s="43">
        <v>6150</v>
      </c>
      <c r="G41" s="56">
        <v>40436</v>
      </c>
    </row>
    <row r="42" spans="1:7" x14ac:dyDescent="0.2">
      <c r="A42" s="39">
        <v>40375</v>
      </c>
      <c r="B42" s="40" t="s">
        <v>933</v>
      </c>
      <c r="C42" s="41" t="s">
        <v>934</v>
      </c>
      <c r="D42" s="43">
        <v>6152</v>
      </c>
      <c r="G42" s="56">
        <v>40436</v>
      </c>
    </row>
    <row r="43" spans="1:7" x14ac:dyDescent="0.2">
      <c r="A43" s="39">
        <v>40392</v>
      </c>
      <c r="B43" s="40" t="s">
        <v>3397</v>
      </c>
      <c r="C43" s="41" t="s">
        <v>3735</v>
      </c>
      <c r="D43" s="43">
        <v>6163</v>
      </c>
      <c r="G43" s="56">
        <v>40437</v>
      </c>
    </row>
    <row r="44" spans="1:7" ht="24" x14ac:dyDescent="0.2">
      <c r="A44" s="39">
        <v>40435</v>
      </c>
      <c r="B44" s="40" t="s">
        <v>1559</v>
      </c>
      <c r="D44" s="43">
        <v>6168</v>
      </c>
      <c r="G44" s="56">
        <v>40535</v>
      </c>
    </row>
    <row r="45" spans="1:7" x14ac:dyDescent="0.2">
      <c r="A45" s="39">
        <v>40441</v>
      </c>
      <c r="B45" s="40" t="s">
        <v>3378</v>
      </c>
      <c r="D45" s="43">
        <v>6169</v>
      </c>
      <c r="G45" s="56">
        <v>40535</v>
      </c>
    </row>
    <row r="46" spans="1:7" x14ac:dyDescent="0.2">
      <c r="A46" s="39">
        <v>40386</v>
      </c>
      <c r="B46" s="40" t="s">
        <v>937</v>
      </c>
      <c r="C46" s="41" t="s">
        <v>938</v>
      </c>
      <c r="D46" s="43">
        <v>6606</v>
      </c>
      <c r="G46" s="56">
        <v>40436</v>
      </c>
    </row>
    <row r="47" spans="1:7" x14ac:dyDescent="0.2">
      <c r="A47" s="39">
        <v>40781</v>
      </c>
      <c r="B47" s="40" t="s">
        <v>2353</v>
      </c>
      <c r="C47" s="41" t="s">
        <v>492</v>
      </c>
      <c r="D47" s="43">
        <v>8234</v>
      </c>
      <c r="G47" s="56">
        <v>41012</v>
      </c>
    </row>
    <row r="48" spans="1:7" x14ac:dyDescent="0.2">
      <c r="A48" s="39">
        <v>40780</v>
      </c>
      <c r="B48" s="40" t="s">
        <v>2758</v>
      </c>
      <c r="C48" s="41" t="s">
        <v>3893</v>
      </c>
      <c r="D48" s="43">
        <v>8236</v>
      </c>
      <c r="G48" s="56">
        <v>41012</v>
      </c>
    </row>
    <row r="49" spans="1:7" x14ac:dyDescent="0.2">
      <c r="A49" s="39">
        <v>40780</v>
      </c>
      <c r="B49" s="40" t="s">
        <v>2098</v>
      </c>
      <c r="C49" s="41" t="s">
        <v>3893</v>
      </c>
      <c r="D49" s="43">
        <v>8220</v>
      </c>
      <c r="G49" s="56">
        <v>41012</v>
      </c>
    </row>
    <row r="50" spans="1:7" x14ac:dyDescent="0.2">
      <c r="A50" s="39">
        <v>40780</v>
      </c>
      <c r="B50" s="40" t="s">
        <v>1801</v>
      </c>
      <c r="C50" s="41" t="s">
        <v>3893</v>
      </c>
      <c r="D50" s="43">
        <v>8217</v>
      </c>
      <c r="G50" s="56">
        <v>41012</v>
      </c>
    </row>
    <row r="51" spans="1:7" x14ac:dyDescent="0.2">
      <c r="A51" s="39">
        <v>40779</v>
      </c>
      <c r="B51" s="40" t="s">
        <v>832</v>
      </c>
      <c r="C51" s="41" t="s">
        <v>492</v>
      </c>
      <c r="D51" s="43">
        <v>8223</v>
      </c>
      <c r="G51" s="56">
        <v>41012</v>
      </c>
    </row>
    <row r="52" spans="1:7" x14ac:dyDescent="0.2">
      <c r="A52" s="39">
        <v>40779</v>
      </c>
      <c r="B52" s="40" t="s">
        <v>437</v>
      </c>
      <c r="C52" s="41" t="s">
        <v>492</v>
      </c>
      <c r="D52" s="43">
        <v>7373</v>
      </c>
      <c r="G52" s="56">
        <v>41012</v>
      </c>
    </row>
    <row r="53" spans="1:7" x14ac:dyDescent="0.2">
      <c r="A53" s="39">
        <v>40793</v>
      </c>
      <c r="B53" s="40" t="s">
        <v>1885</v>
      </c>
      <c r="D53" s="43">
        <v>8071</v>
      </c>
      <c r="G53" s="56">
        <v>41012</v>
      </c>
    </row>
    <row r="54" spans="1:7" x14ac:dyDescent="0.2">
      <c r="A54" s="39">
        <v>40779</v>
      </c>
      <c r="B54" s="40" t="s">
        <v>436</v>
      </c>
      <c r="C54" s="41" t="s">
        <v>492</v>
      </c>
      <c r="D54" s="43">
        <v>8281</v>
      </c>
      <c r="G54" s="56">
        <v>41012</v>
      </c>
    </row>
    <row r="55" spans="1:7" x14ac:dyDescent="0.2">
      <c r="A55" s="39">
        <v>40779</v>
      </c>
      <c r="B55" s="40" t="s">
        <v>1355</v>
      </c>
      <c r="C55" s="41" t="s">
        <v>492</v>
      </c>
      <c r="D55" s="43">
        <v>7371</v>
      </c>
      <c r="G55" s="56">
        <v>41012</v>
      </c>
    </row>
    <row r="56" spans="1:7" x14ac:dyDescent="0.2">
      <c r="A56" s="39">
        <v>40779</v>
      </c>
      <c r="B56" s="40" t="s">
        <v>1354</v>
      </c>
      <c r="C56" s="41" t="s">
        <v>492</v>
      </c>
      <c r="D56" s="43">
        <v>7372</v>
      </c>
      <c r="G56" s="56">
        <v>41012</v>
      </c>
    </row>
    <row r="57" spans="1:7" x14ac:dyDescent="0.2">
      <c r="A57" s="39">
        <v>40779</v>
      </c>
      <c r="B57" s="40" t="s">
        <v>1356</v>
      </c>
      <c r="C57" s="41" t="s">
        <v>492</v>
      </c>
      <c r="D57" s="43">
        <v>7511</v>
      </c>
      <c r="G57" s="56">
        <v>41012</v>
      </c>
    </row>
    <row r="58" spans="1:7" x14ac:dyDescent="0.2">
      <c r="A58" s="39">
        <v>40787</v>
      </c>
      <c r="B58" s="40" t="s">
        <v>66</v>
      </c>
      <c r="D58" s="43">
        <v>7556</v>
      </c>
      <c r="G58" s="56">
        <v>41015</v>
      </c>
    </row>
    <row r="59" spans="1:7" x14ac:dyDescent="0.2">
      <c r="A59" s="39">
        <v>40843</v>
      </c>
      <c r="B59" s="40" t="s">
        <v>1393</v>
      </c>
      <c r="C59" s="41" t="s">
        <v>3931</v>
      </c>
      <c r="D59" s="43">
        <v>8453</v>
      </c>
      <c r="F59" s="41">
        <v>1</v>
      </c>
      <c r="G59" s="56">
        <v>41015</v>
      </c>
    </row>
    <row r="60" spans="1:7" x14ac:dyDescent="0.2">
      <c r="A60" s="39">
        <v>40843</v>
      </c>
      <c r="B60" s="40" t="s">
        <v>1391</v>
      </c>
      <c r="C60" s="41" t="s">
        <v>1390</v>
      </c>
      <c r="D60" s="43">
        <v>8455</v>
      </c>
      <c r="F60" s="41">
        <v>1</v>
      </c>
      <c r="G60" s="56">
        <v>41023</v>
      </c>
    </row>
    <row r="61" spans="1:7" x14ac:dyDescent="0.2">
      <c r="A61" s="39">
        <v>40843</v>
      </c>
      <c r="B61" s="40" t="s">
        <v>1389</v>
      </c>
      <c r="C61" s="41" t="s">
        <v>1390</v>
      </c>
      <c r="D61" s="43">
        <v>8454</v>
      </c>
      <c r="F61" s="41">
        <v>1</v>
      </c>
      <c r="G61" s="56">
        <v>41023</v>
      </c>
    </row>
    <row r="62" spans="1:7" x14ac:dyDescent="0.2">
      <c r="A62" s="39">
        <v>40843</v>
      </c>
      <c r="B62" s="40" t="s">
        <v>1392</v>
      </c>
      <c r="C62" s="41" t="s">
        <v>3931</v>
      </c>
      <c r="D62" s="43">
        <v>8456</v>
      </c>
      <c r="F62" s="41">
        <v>1</v>
      </c>
      <c r="G62" s="56">
        <v>41023</v>
      </c>
    </row>
    <row r="63" spans="1:7" x14ac:dyDescent="0.2">
      <c r="A63" s="39" t="s">
        <v>409</v>
      </c>
      <c r="B63" s="40" t="s">
        <v>1386</v>
      </c>
      <c r="C63" s="41" t="s">
        <v>3936</v>
      </c>
      <c r="D63" s="43">
        <v>8446</v>
      </c>
      <c r="F63" s="41">
        <v>1</v>
      </c>
      <c r="G63" s="56">
        <v>41023</v>
      </c>
    </row>
    <row r="64" spans="1:7" x14ac:dyDescent="0.2">
      <c r="A64" s="39">
        <v>40843</v>
      </c>
      <c r="B64" s="40" t="s">
        <v>3938</v>
      </c>
      <c r="C64" s="41" t="s">
        <v>3936</v>
      </c>
      <c r="D64" s="43">
        <v>8447</v>
      </c>
      <c r="F64" s="41">
        <v>1</v>
      </c>
      <c r="G64" s="56">
        <v>41023</v>
      </c>
    </row>
    <row r="65" spans="1:7" x14ac:dyDescent="0.2">
      <c r="A65" s="39">
        <v>40843</v>
      </c>
      <c r="B65" s="40" t="s">
        <v>3937</v>
      </c>
      <c r="C65" s="41" t="s">
        <v>3936</v>
      </c>
      <c r="D65" s="43">
        <v>8448</v>
      </c>
      <c r="F65" s="41">
        <v>1</v>
      </c>
      <c r="G65" s="56">
        <v>41023</v>
      </c>
    </row>
    <row r="66" spans="1:7" x14ac:dyDescent="0.2">
      <c r="A66" s="39">
        <v>40843</v>
      </c>
      <c r="B66" s="40" t="s">
        <v>3935</v>
      </c>
      <c r="C66" s="41" t="s">
        <v>3936</v>
      </c>
      <c r="D66" s="43">
        <v>8449</v>
      </c>
      <c r="F66" s="41">
        <v>1</v>
      </c>
      <c r="G66" s="56">
        <v>41023</v>
      </c>
    </row>
    <row r="67" spans="1:7" x14ac:dyDescent="0.2">
      <c r="A67" s="39">
        <v>40843</v>
      </c>
      <c r="B67" s="40" t="s">
        <v>460</v>
      </c>
      <c r="C67" s="41" t="s">
        <v>461</v>
      </c>
      <c r="D67" s="43">
        <v>8476</v>
      </c>
      <c r="F67" s="41">
        <v>1</v>
      </c>
      <c r="G67" s="56">
        <v>41023</v>
      </c>
    </row>
    <row r="68" spans="1:7" x14ac:dyDescent="0.2">
      <c r="A68" s="39">
        <v>40843</v>
      </c>
      <c r="B68" s="40" t="s">
        <v>3185</v>
      </c>
      <c r="C68" s="41" t="s">
        <v>3186</v>
      </c>
      <c r="D68" s="43">
        <v>8474</v>
      </c>
      <c r="F68" s="41">
        <v>1</v>
      </c>
      <c r="G68" s="56">
        <v>41023</v>
      </c>
    </row>
    <row r="69" spans="1:7" x14ac:dyDescent="0.2">
      <c r="A69" s="39">
        <v>40843</v>
      </c>
      <c r="B69" s="40" t="s">
        <v>806</v>
      </c>
      <c r="C69" s="41" t="s">
        <v>805</v>
      </c>
      <c r="D69" s="43">
        <v>8468</v>
      </c>
      <c r="F69" s="41">
        <v>1</v>
      </c>
      <c r="G69" s="56">
        <v>41023</v>
      </c>
    </row>
    <row r="70" spans="1:7" x14ac:dyDescent="0.2">
      <c r="A70" s="39">
        <v>40843</v>
      </c>
      <c r="B70" s="40" t="s">
        <v>2203</v>
      </c>
      <c r="C70" s="41" t="s">
        <v>2898</v>
      </c>
      <c r="D70" s="43">
        <v>8465</v>
      </c>
      <c r="F70" s="41">
        <v>1</v>
      </c>
      <c r="G70" s="56">
        <v>41023</v>
      </c>
    </row>
    <row r="71" spans="1:7" x14ac:dyDescent="0.2">
      <c r="A71" s="39">
        <v>40843</v>
      </c>
      <c r="B71" s="40" t="s">
        <v>2201</v>
      </c>
      <c r="C71" s="41" t="s">
        <v>2202</v>
      </c>
      <c r="D71" s="43">
        <v>8464</v>
      </c>
      <c r="F71" s="41">
        <v>1</v>
      </c>
      <c r="G71" s="56">
        <v>41023</v>
      </c>
    </row>
    <row r="72" spans="1:7" x14ac:dyDescent="0.2">
      <c r="A72" s="39">
        <v>40843</v>
      </c>
      <c r="B72" s="40" t="s">
        <v>1389</v>
      </c>
      <c r="C72" s="41" t="s">
        <v>1144</v>
      </c>
      <c r="D72" s="43">
        <v>8462</v>
      </c>
      <c r="F72" s="41">
        <v>1</v>
      </c>
      <c r="G72" s="56">
        <v>41023</v>
      </c>
    </row>
    <row r="73" spans="1:7" x14ac:dyDescent="0.2">
      <c r="A73" s="39">
        <v>40843</v>
      </c>
      <c r="B73" s="40" t="s">
        <v>1142</v>
      </c>
      <c r="C73" s="41" t="s">
        <v>1143</v>
      </c>
      <c r="D73" s="43">
        <v>8463</v>
      </c>
      <c r="F73" s="41">
        <v>1</v>
      </c>
      <c r="G73" s="56">
        <v>41023</v>
      </c>
    </row>
    <row r="74" spans="1:7" x14ac:dyDescent="0.2">
      <c r="A74" s="39">
        <v>40843</v>
      </c>
      <c r="B74" s="40" t="s">
        <v>1069</v>
      </c>
      <c r="C74" s="41" t="s">
        <v>2898</v>
      </c>
      <c r="D74" s="43">
        <v>8466</v>
      </c>
      <c r="F74" s="41">
        <v>1</v>
      </c>
      <c r="G74" s="56">
        <v>41023</v>
      </c>
    </row>
    <row r="75" spans="1:7" x14ac:dyDescent="0.2">
      <c r="A75" s="39">
        <v>40843</v>
      </c>
      <c r="B75" s="40" t="s">
        <v>3416</v>
      </c>
      <c r="C75" s="41" t="s">
        <v>3419</v>
      </c>
      <c r="D75" s="43">
        <v>8467</v>
      </c>
      <c r="F75" s="41">
        <v>1</v>
      </c>
      <c r="G75" s="56">
        <v>41023</v>
      </c>
    </row>
    <row r="76" spans="1:7" x14ac:dyDescent="0.2">
      <c r="A76" s="39">
        <v>40843</v>
      </c>
      <c r="B76" s="40" t="s">
        <v>1069</v>
      </c>
      <c r="C76" s="41" t="s">
        <v>3418</v>
      </c>
      <c r="D76" s="43">
        <v>8457</v>
      </c>
      <c r="F76" s="41">
        <v>1</v>
      </c>
      <c r="G76" s="56">
        <v>41023</v>
      </c>
    </row>
    <row r="77" spans="1:7" x14ac:dyDescent="0.2">
      <c r="A77" s="39">
        <v>40843</v>
      </c>
      <c r="B77" s="40" t="s">
        <v>3416</v>
      </c>
      <c r="C77" s="41" t="s">
        <v>3417</v>
      </c>
      <c r="D77" s="43">
        <v>8458</v>
      </c>
      <c r="F77" s="41">
        <v>1</v>
      </c>
      <c r="G77" s="56">
        <v>41023</v>
      </c>
    </row>
    <row r="78" spans="1:7" x14ac:dyDescent="0.2">
      <c r="A78" s="39">
        <v>40435</v>
      </c>
      <c r="B78" s="40" t="s">
        <v>1560</v>
      </c>
      <c r="D78" s="43">
        <v>6167</v>
      </c>
      <c r="G78" s="56">
        <v>41023</v>
      </c>
    </row>
    <row r="79" spans="1:7" x14ac:dyDescent="0.2">
      <c r="A79" s="39">
        <v>40843</v>
      </c>
      <c r="B79" s="40" t="s">
        <v>3930</v>
      </c>
      <c r="C79" s="41" t="s">
        <v>3931</v>
      </c>
      <c r="D79" s="43">
        <v>8452</v>
      </c>
      <c r="F79" s="41">
        <v>1</v>
      </c>
      <c r="G79" s="56">
        <v>41023</v>
      </c>
    </row>
    <row r="80" spans="1:7" x14ac:dyDescent="0.2">
      <c r="A80" s="39">
        <v>40843</v>
      </c>
      <c r="B80" s="40" t="s">
        <v>1069</v>
      </c>
      <c r="C80" s="41" t="s">
        <v>1070</v>
      </c>
      <c r="D80" s="43">
        <v>8471</v>
      </c>
      <c r="F80" s="41">
        <v>1</v>
      </c>
      <c r="G80" s="56">
        <v>41023</v>
      </c>
    </row>
    <row r="81" spans="1:7" x14ac:dyDescent="0.2">
      <c r="A81" s="39">
        <v>40843</v>
      </c>
      <c r="B81" s="40" t="s">
        <v>1071</v>
      </c>
      <c r="C81" s="41" t="s">
        <v>1072</v>
      </c>
      <c r="D81" s="43">
        <v>8472</v>
      </c>
      <c r="F81" s="41">
        <v>1</v>
      </c>
      <c r="G81" s="56">
        <v>41023</v>
      </c>
    </row>
    <row r="82" spans="1:7" x14ac:dyDescent="0.2">
      <c r="A82" s="39">
        <v>40843</v>
      </c>
      <c r="B82" s="40" t="s">
        <v>1386</v>
      </c>
      <c r="C82" s="41">
        <v>40843</v>
      </c>
      <c r="D82" s="43">
        <v>8470</v>
      </c>
      <c r="F82" s="41">
        <v>1</v>
      </c>
      <c r="G82" s="56">
        <v>41023</v>
      </c>
    </row>
    <row r="83" spans="1:7" x14ac:dyDescent="0.2">
      <c r="A83" s="39">
        <v>40843</v>
      </c>
      <c r="B83" s="40" t="s">
        <v>3416</v>
      </c>
      <c r="C83" s="41" t="s">
        <v>805</v>
      </c>
      <c r="D83" s="43">
        <v>8469</v>
      </c>
      <c r="F83" s="41">
        <v>1</v>
      </c>
      <c r="G83" s="56">
        <v>41038</v>
      </c>
    </row>
    <row r="84" spans="1:7" x14ac:dyDescent="0.2">
      <c r="A84" s="39">
        <v>40843</v>
      </c>
      <c r="B84" s="40" t="s">
        <v>3934</v>
      </c>
      <c r="C84" s="41" t="s">
        <v>3933</v>
      </c>
      <c r="D84" s="43">
        <v>8450</v>
      </c>
      <c r="F84" s="41">
        <v>1</v>
      </c>
      <c r="G84" s="56">
        <v>41038</v>
      </c>
    </row>
    <row r="85" spans="1:7" x14ac:dyDescent="0.2">
      <c r="A85" s="39">
        <v>40843</v>
      </c>
      <c r="B85" s="40" t="s">
        <v>1067</v>
      </c>
      <c r="C85" s="41" t="s">
        <v>1068</v>
      </c>
      <c r="D85" s="43">
        <v>8473</v>
      </c>
      <c r="F85" s="41">
        <v>1</v>
      </c>
      <c r="G85" s="56">
        <v>41039</v>
      </c>
    </row>
    <row r="86" spans="1:7" x14ac:dyDescent="0.2">
      <c r="A86" s="39">
        <v>40851</v>
      </c>
      <c r="B86" s="40" t="s">
        <v>1490</v>
      </c>
      <c r="C86" s="41" t="s">
        <v>1491</v>
      </c>
      <c r="D86" s="43">
        <v>8491</v>
      </c>
      <c r="F86" s="41">
        <v>1</v>
      </c>
      <c r="G86" s="56">
        <v>41039</v>
      </c>
    </row>
    <row r="87" spans="1:7" x14ac:dyDescent="0.2">
      <c r="A87" s="39">
        <v>40851</v>
      </c>
      <c r="B87" s="40" t="s">
        <v>245</v>
      </c>
      <c r="C87" s="41" t="s">
        <v>246</v>
      </c>
      <c r="D87" s="43">
        <v>8444</v>
      </c>
      <c r="F87" s="41">
        <v>1</v>
      </c>
      <c r="G87" s="56">
        <v>41044</v>
      </c>
    </row>
    <row r="88" spans="1:7" x14ac:dyDescent="0.2">
      <c r="A88" s="39">
        <v>40889</v>
      </c>
      <c r="B88" s="40" t="s">
        <v>1417</v>
      </c>
      <c r="C88" s="41" t="s">
        <v>1707</v>
      </c>
      <c r="D88" s="43">
        <v>8103</v>
      </c>
      <c r="F88" s="41">
        <v>1</v>
      </c>
      <c r="G88" s="56">
        <v>41050</v>
      </c>
    </row>
    <row r="89" spans="1:7" ht="24" x14ac:dyDescent="0.2">
      <c r="A89" s="39">
        <v>40784</v>
      </c>
      <c r="B89" s="40" t="s">
        <v>627</v>
      </c>
      <c r="D89" s="43">
        <v>7312</v>
      </c>
      <c r="G89" s="56">
        <v>41054</v>
      </c>
    </row>
    <row r="90" spans="1:7" x14ac:dyDescent="0.2">
      <c r="A90" s="39">
        <v>40851</v>
      </c>
      <c r="B90" s="40" t="s">
        <v>1492</v>
      </c>
      <c r="C90" s="41" t="s">
        <v>244</v>
      </c>
      <c r="D90" s="43">
        <v>8492</v>
      </c>
      <c r="F90" s="41">
        <v>1</v>
      </c>
      <c r="G90" s="56">
        <v>41064</v>
      </c>
    </row>
    <row r="91" spans="1:7" x14ac:dyDescent="0.2">
      <c r="A91" s="39">
        <v>40620</v>
      </c>
      <c r="B91" s="40" t="s">
        <v>792</v>
      </c>
      <c r="C91" s="41" t="s">
        <v>793</v>
      </c>
      <c r="D91" s="43">
        <v>7720</v>
      </c>
      <c r="E91" s="41" t="s">
        <v>794</v>
      </c>
      <c r="F91" s="41">
        <v>1</v>
      </c>
      <c r="G91" s="56">
        <v>41066</v>
      </c>
    </row>
    <row r="92" spans="1:7" x14ac:dyDescent="0.2">
      <c r="A92" s="39">
        <v>40620</v>
      </c>
      <c r="B92" s="40" t="s">
        <v>3912</v>
      </c>
      <c r="C92" s="41" t="s">
        <v>3913</v>
      </c>
      <c r="D92" s="43">
        <v>7723</v>
      </c>
      <c r="E92" s="41" t="s">
        <v>3914</v>
      </c>
      <c r="F92" s="41">
        <v>1</v>
      </c>
      <c r="G92" s="56">
        <v>41066</v>
      </c>
    </row>
    <row r="93" spans="1:7" x14ac:dyDescent="0.2">
      <c r="A93" s="39">
        <v>40667</v>
      </c>
      <c r="B93" s="40" t="s">
        <v>2153</v>
      </c>
      <c r="C93" s="41">
        <v>68</v>
      </c>
      <c r="D93" s="43">
        <v>7239</v>
      </c>
      <c r="E93" s="41" t="s">
        <v>3873</v>
      </c>
      <c r="G93" s="56">
        <v>41066</v>
      </c>
    </row>
    <row r="94" spans="1:7" x14ac:dyDescent="0.2">
      <c r="A94" s="39">
        <v>40784</v>
      </c>
      <c r="B94" s="40" t="s">
        <v>3754</v>
      </c>
      <c r="D94" s="43">
        <v>7313</v>
      </c>
      <c r="G94" s="56">
        <v>41066</v>
      </c>
    </row>
    <row r="95" spans="1:7" x14ac:dyDescent="0.2">
      <c r="A95" s="39">
        <v>40791</v>
      </c>
      <c r="B95" s="40" t="s">
        <v>2277</v>
      </c>
      <c r="D95" s="43">
        <v>7310</v>
      </c>
      <c r="G95" s="56">
        <v>41066</v>
      </c>
    </row>
    <row r="96" spans="1:7" x14ac:dyDescent="0.2">
      <c r="A96" s="39">
        <v>40843</v>
      </c>
      <c r="B96" s="40" t="s">
        <v>1387</v>
      </c>
      <c r="C96" s="41" t="s">
        <v>1388</v>
      </c>
      <c r="D96" s="43">
        <v>8445</v>
      </c>
      <c r="F96" s="41">
        <v>1</v>
      </c>
      <c r="G96" s="56">
        <v>41066</v>
      </c>
    </row>
    <row r="97" spans="1:7" x14ac:dyDescent="0.2">
      <c r="A97" s="39">
        <v>41038</v>
      </c>
      <c r="B97" s="40" t="s">
        <v>3459</v>
      </c>
      <c r="C97" s="41" t="s">
        <v>3460</v>
      </c>
      <c r="D97" s="43">
        <v>8614</v>
      </c>
      <c r="F97" s="41">
        <v>1</v>
      </c>
      <c r="G97" s="56">
        <v>41066</v>
      </c>
    </row>
    <row r="98" spans="1:7" x14ac:dyDescent="0.2">
      <c r="A98" s="39">
        <v>40784</v>
      </c>
      <c r="B98" s="40" t="s">
        <v>3123</v>
      </c>
      <c r="D98" s="43">
        <v>7319</v>
      </c>
      <c r="G98" s="56">
        <v>41066</v>
      </c>
    </row>
    <row r="99" spans="1:7" x14ac:dyDescent="0.2">
      <c r="A99" s="39">
        <v>40791</v>
      </c>
      <c r="B99" s="40" t="s">
        <v>53</v>
      </c>
      <c r="D99" s="43">
        <v>7309</v>
      </c>
      <c r="G99" s="56">
        <v>41066</v>
      </c>
    </row>
    <row r="100" spans="1:7" x14ac:dyDescent="0.2">
      <c r="A100" s="39">
        <v>40784</v>
      </c>
      <c r="B100" s="40" t="s">
        <v>3122</v>
      </c>
      <c r="D100" s="43">
        <v>7315</v>
      </c>
      <c r="G100" s="56">
        <v>41066</v>
      </c>
    </row>
    <row r="101" spans="1:7" x14ac:dyDescent="0.2">
      <c r="A101" s="39">
        <v>40784</v>
      </c>
      <c r="B101" s="40" t="s">
        <v>3857</v>
      </c>
      <c r="D101" s="43">
        <v>7318</v>
      </c>
      <c r="G101" s="56">
        <v>41066</v>
      </c>
    </row>
    <row r="102" spans="1:7" x14ac:dyDescent="0.2">
      <c r="A102" s="39">
        <v>40784</v>
      </c>
      <c r="B102" s="40" t="s">
        <v>3858</v>
      </c>
      <c r="D102" s="43">
        <v>7317</v>
      </c>
      <c r="G102" s="56">
        <v>41066</v>
      </c>
    </row>
    <row r="103" spans="1:7" x14ac:dyDescent="0.2">
      <c r="A103" s="39">
        <v>40784</v>
      </c>
      <c r="B103" s="40" t="s">
        <v>3859</v>
      </c>
      <c r="D103" s="43">
        <v>7320</v>
      </c>
      <c r="G103" s="56">
        <v>41066</v>
      </c>
    </row>
    <row r="104" spans="1:7" x14ac:dyDescent="0.2">
      <c r="A104" s="39">
        <v>40781</v>
      </c>
      <c r="B104" s="40" t="s">
        <v>3755</v>
      </c>
      <c r="D104" s="43">
        <v>7543</v>
      </c>
      <c r="G104" s="56">
        <v>41066</v>
      </c>
    </row>
    <row r="105" spans="1:7" x14ac:dyDescent="0.2">
      <c r="A105" s="39">
        <v>40787</v>
      </c>
      <c r="B105" s="40" t="s">
        <v>3230</v>
      </c>
      <c r="D105" s="43">
        <v>7557</v>
      </c>
      <c r="E105" s="41" t="s">
        <v>3837</v>
      </c>
      <c r="G105" s="56">
        <v>41071</v>
      </c>
    </row>
    <row r="106" spans="1:7" x14ac:dyDescent="0.2">
      <c r="A106" s="39">
        <v>40478</v>
      </c>
      <c r="B106" s="40" t="s">
        <v>3932</v>
      </c>
      <c r="C106" s="41" t="s">
        <v>3933</v>
      </c>
      <c r="D106" s="43">
        <v>8451</v>
      </c>
      <c r="F106" s="41">
        <v>1</v>
      </c>
      <c r="G106" s="56">
        <v>41151</v>
      </c>
    </row>
    <row r="107" spans="1:7" x14ac:dyDescent="0.2">
      <c r="A107" s="39">
        <v>40843</v>
      </c>
      <c r="B107" s="40" t="s">
        <v>462</v>
      </c>
      <c r="C107" s="41" t="s">
        <v>463</v>
      </c>
      <c r="D107" s="43">
        <v>8460</v>
      </c>
      <c r="F107" s="41">
        <v>1</v>
      </c>
      <c r="G107" s="56">
        <v>41151</v>
      </c>
    </row>
    <row r="108" spans="1:7" x14ac:dyDescent="0.2">
      <c r="A108" s="39">
        <v>41099</v>
      </c>
      <c r="B108" s="40" t="s">
        <v>3060</v>
      </c>
      <c r="C108" s="41" t="s">
        <v>492</v>
      </c>
      <c r="D108" s="43">
        <v>5755</v>
      </c>
      <c r="G108" s="56">
        <v>41162</v>
      </c>
    </row>
    <row r="109" spans="1:7" x14ac:dyDescent="0.2">
      <c r="A109" s="39">
        <v>40259</v>
      </c>
      <c r="B109" s="40" t="s">
        <v>2264</v>
      </c>
      <c r="D109" s="43">
        <v>5764</v>
      </c>
      <c r="G109" s="56">
        <v>41162</v>
      </c>
    </row>
    <row r="110" spans="1:7" x14ac:dyDescent="0.2">
      <c r="A110" s="39">
        <v>41082</v>
      </c>
      <c r="B110" s="40" t="s">
        <v>1115</v>
      </c>
      <c r="C110" s="41" t="s">
        <v>1116</v>
      </c>
      <c r="D110" s="43">
        <v>8294</v>
      </c>
      <c r="F110" s="41">
        <v>2</v>
      </c>
      <c r="G110" s="56">
        <v>41176</v>
      </c>
    </row>
    <row r="111" spans="1:7" x14ac:dyDescent="0.2">
      <c r="A111" s="39">
        <v>40774</v>
      </c>
      <c r="B111" s="40" t="s">
        <v>3856</v>
      </c>
      <c r="D111" s="43">
        <v>7316</v>
      </c>
      <c r="G111" s="56">
        <v>41177</v>
      </c>
    </row>
    <row r="112" spans="1:7" x14ac:dyDescent="0.2">
      <c r="A112" s="39">
        <v>40788</v>
      </c>
      <c r="B112" s="40" t="s">
        <v>737</v>
      </c>
      <c r="C112" s="41" t="s">
        <v>2988</v>
      </c>
      <c r="D112" s="43">
        <v>40788</v>
      </c>
      <c r="G112" s="56">
        <v>41178</v>
      </c>
    </row>
    <row r="113" spans="1:7" x14ac:dyDescent="0.2">
      <c r="A113" s="39">
        <v>40843</v>
      </c>
      <c r="B113" s="40" t="s">
        <v>3415</v>
      </c>
      <c r="C113" s="41" t="s">
        <v>463</v>
      </c>
      <c r="D113" s="43">
        <v>4859</v>
      </c>
      <c r="F113" s="41">
        <v>1</v>
      </c>
      <c r="G113" s="56">
        <v>41179</v>
      </c>
    </row>
    <row r="114" spans="1:7" x14ac:dyDescent="0.2">
      <c r="A114" s="39">
        <v>40843</v>
      </c>
      <c r="B114" s="40" t="s">
        <v>1145</v>
      </c>
      <c r="C114" s="41" t="s">
        <v>2200</v>
      </c>
      <c r="D114" s="43">
        <v>8461</v>
      </c>
      <c r="E114" s="41" t="s">
        <v>3697</v>
      </c>
      <c r="F114" s="41">
        <v>1</v>
      </c>
      <c r="G114" s="56">
        <v>41187</v>
      </c>
    </row>
    <row r="115" spans="1:7" x14ac:dyDescent="0.2">
      <c r="A115" s="39">
        <v>40977</v>
      </c>
      <c r="B115" s="40" t="s">
        <v>3997</v>
      </c>
      <c r="C115" s="41" t="s">
        <v>474</v>
      </c>
      <c r="D115" s="43">
        <v>8157</v>
      </c>
      <c r="F115" s="41">
        <v>1</v>
      </c>
      <c r="G115" s="56">
        <v>41213</v>
      </c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enableFormatConditionsCalculation="0">
    <tabColor indexed="45"/>
    <pageSetUpPr fitToPage="1"/>
  </sheetPr>
  <dimension ref="A1:K1"/>
  <sheetViews>
    <sheetView workbookViewId="0">
      <pane ySplit="1" topLeftCell="A14" activePane="bottomLeft" state="frozen"/>
      <selection activeCell="H78" sqref="H78"/>
      <selection pane="bottomLeft" activeCell="F1" sqref="F1:F65536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12.28515625" style="34" bestFit="1" customWidth="1"/>
    <col min="4" max="4" width="6.7109375" style="36" bestFit="1" customWidth="1"/>
    <col min="5" max="5" width="12.42578125" style="34" bestFit="1" customWidth="1"/>
    <col min="6" max="6" width="7.140625" style="34" customWidth="1"/>
    <col min="7" max="7" width="13.42578125" style="168" bestFit="1" customWidth="1"/>
    <col min="8" max="8" width="16.5703125" style="168" bestFit="1" customWidth="1"/>
    <col min="9" max="9" width="12.42578125" style="168" bestFit="1" customWidth="1"/>
    <col min="10" max="10" width="15.28515625" style="168" bestFit="1" customWidth="1"/>
    <col min="11" max="11" width="20.28515625" style="168" bestFit="1" customWidth="1"/>
    <col min="12" max="16384" width="11.42578125" style="1"/>
  </cols>
  <sheetData>
    <row r="1" spans="1:11" ht="12.75" thickBot="1" x14ac:dyDescent="0.25">
      <c r="A1" s="73" t="s">
        <v>1472</v>
      </c>
      <c r="B1" s="74" t="s">
        <v>3221</v>
      </c>
      <c r="C1" s="75" t="s">
        <v>1818</v>
      </c>
      <c r="D1" s="76" t="s">
        <v>3383</v>
      </c>
      <c r="E1" s="75" t="s">
        <v>3384</v>
      </c>
      <c r="F1" s="166" t="s">
        <v>1078</v>
      </c>
      <c r="G1" s="75" t="s">
        <v>3018</v>
      </c>
      <c r="H1" s="75" t="s">
        <v>3639</v>
      </c>
      <c r="I1" s="75" t="s">
        <v>3578</v>
      </c>
      <c r="J1" s="75" t="s">
        <v>3579</v>
      </c>
      <c r="K1" s="75" t="s">
        <v>415</v>
      </c>
    </row>
  </sheetData>
  <phoneticPr fontId="7" type="noConversion"/>
  <conditionalFormatting sqref="F1:F1048576">
    <cfRule type="cellIs" dxfId="2" priority="1" stopIfTrue="1" operator="equal">
      <formula>1</formula>
    </cfRule>
    <cfRule type="cellIs" dxfId="1" priority="2" stopIfTrue="1" operator="equal">
      <formula>2</formula>
    </cfRule>
    <cfRule type="cellIs" dxfId="0" priority="3" stopIfTrue="1" operator="equal">
      <formula>3</formula>
    </cfRule>
  </conditionalFormatting>
  <pageMargins left="0.39370078740157483" right="0.39370078740157483" top="0.98425196850393704" bottom="0.98425196850393704" header="0.51181102362204722" footer="0.51181102362204722"/>
  <pageSetup paperSize="9" scale="94" fitToHeight="8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enableFormatConditionsCalculation="0">
    <tabColor indexed="45"/>
  </sheetPr>
  <dimension ref="A1:G38"/>
  <sheetViews>
    <sheetView workbookViewId="0">
      <pane ySplit="1" topLeftCell="A2" activePane="bottomLeft" state="frozen"/>
      <selection activeCell="F1" sqref="F1:F65536"/>
      <selection pane="bottomLeft" activeCell="F1" sqref="F1:F65536"/>
    </sheetView>
  </sheetViews>
  <sheetFormatPr baseColWidth="10" defaultRowHeight="12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6" t="s">
        <v>1078</v>
      </c>
      <c r="G1" s="77" t="s">
        <v>2319</v>
      </c>
    </row>
    <row r="2" spans="1:7" x14ac:dyDescent="0.2">
      <c r="A2" s="39">
        <v>39395</v>
      </c>
      <c r="B2" s="40" t="s">
        <v>699</v>
      </c>
      <c r="C2" s="41" t="s">
        <v>2877</v>
      </c>
      <c r="D2" s="43">
        <v>2045</v>
      </c>
      <c r="E2" s="41" t="s">
        <v>3480</v>
      </c>
      <c r="G2" s="116">
        <v>39834</v>
      </c>
    </row>
    <row r="3" spans="1:7" x14ac:dyDescent="0.2">
      <c r="A3" s="39">
        <v>39602</v>
      </c>
      <c r="B3" s="40" t="s">
        <v>1251</v>
      </c>
      <c r="C3" s="41" t="s">
        <v>2877</v>
      </c>
      <c r="D3" s="43">
        <v>2725</v>
      </c>
      <c r="E3" s="41" t="s">
        <v>2877</v>
      </c>
      <c r="G3" s="56">
        <v>39769</v>
      </c>
    </row>
    <row r="4" spans="1:7" x14ac:dyDescent="0.2">
      <c r="A4" s="39">
        <v>39601</v>
      </c>
      <c r="B4" s="40" t="s">
        <v>800</v>
      </c>
      <c r="C4" s="41" t="s">
        <v>2877</v>
      </c>
      <c r="D4" s="43">
        <v>3216</v>
      </c>
      <c r="E4" s="41" t="s">
        <v>2069</v>
      </c>
      <c r="G4" s="56">
        <v>39937</v>
      </c>
    </row>
    <row r="5" spans="1:7" x14ac:dyDescent="0.2">
      <c r="A5" s="39">
        <v>39697</v>
      </c>
      <c r="B5" s="40" t="s">
        <v>819</v>
      </c>
      <c r="C5" s="41" t="s">
        <v>2877</v>
      </c>
      <c r="D5" s="43">
        <v>4023</v>
      </c>
      <c r="E5" s="41" t="s">
        <v>3480</v>
      </c>
      <c r="G5" s="56">
        <v>39904</v>
      </c>
    </row>
    <row r="6" spans="1:7" x14ac:dyDescent="0.2">
      <c r="A6" s="39">
        <v>39700</v>
      </c>
      <c r="B6" s="40" t="s">
        <v>950</v>
      </c>
      <c r="C6" s="41" t="s">
        <v>951</v>
      </c>
      <c r="D6" s="43">
        <v>4187</v>
      </c>
      <c r="E6" s="41" t="s">
        <v>952</v>
      </c>
      <c r="F6" s="42"/>
      <c r="G6" s="56">
        <v>39764</v>
      </c>
    </row>
    <row r="7" spans="1:7" x14ac:dyDescent="0.2">
      <c r="A7" s="39">
        <v>39842</v>
      </c>
      <c r="B7" s="40" t="s">
        <v>566</v>
      </c>
      <c r="C7" s="41" t="s">
        <v>3354</v>
      </c>
      <c r="D7" s="43">
        <v>4287</v>
      </c>
      <c r="E7" s="41" t="s">
        <v>2504</v>
      </c>
      <c r="G7" s="56">
        <v>39904</v>
      </c>
    </row>
    <row r="8" spans="1:7" x14ac:dyDescent="0.2">
      <c r="A8" s="39">
        <v>39819</v>
      </c>
      <c r="B8" s="40" t="s">
        <v>3280</v>
      </c>
      <c r="C8" s="41" t="s">
        <v>2877</v>
      </c>
      <c r="D8" s="43">
        <v>4300</v>
      </c>
      <c r="E8" s="41" t="s">
        <v>3486</v>
      </c>
      <c r="G8" s="56">
        <v>39996</v>
      </c>
    </row>
    <row r="9" spans="1:7" x14ac:dyDescent="0.2">
      <c r="A9" s="39">
        <v>39832</v>
      </c>
      <c r="B9" s="40" t="s">
        <v>2244</v>
      </c>
      <c r="D9" s="43">
        <v>4573</v>
      </c>
      <c r="E9" s="41" t="s">
        <v>3486</v>
      </c>
      <c r="G9" s="56">
        <v>39855</v>
      </c>
    </row>
    <row r="10" spans="1:7" x14ac:dyDescent="0.2">
      <c r="A10" s="39">
        <v>39881</v>
      </c>
      <c r="B10" s="40" t="s">
        <v>666</v>
      </c>
      <c r="C10" s="41" t="s">
        <v>2877</v>
      </c>
      <c r="D10" s="43">
        <v>4606</v>
      </c>
      <c r="E10" s="41" t="s">
        <v>2069</v>
      </c>
      <c r="G10" s="56">
        <v>40051</v>
      </c>
    </row>
    <row r="11" spans="1:7" x14ac:dyDescent="0.2">
      <c r="A11" s="39">
        <v>39874</v>
      </c>
      <c r="B11" s="40" t="s">
        <v>2693</v>
      </c>
      <c r="C11" s="41" t="s">
        <v>1819</v>
      </c>
      <c r="D11" s="43">
        <v>4634</v>
      </c>
      <c r="E11" s="41" t="s">
        <v>3162</v>
      </c>
      <c r="G11" s="56">
        <v>39885</v>
      </c>
    </row>
    <row r="12" spans="1:7" x14ac:dyDescent="0.2">
      <c r="A12" s="39">
        <v>40004</v>
      </c>
      <c r="B12" s="40" t="s">
        <v>573</v>
      </c>
      <c r="C12" s="41" t="s">
        <v>2877</v>
      </c>
      <c r="D12" s="43">
        <v>4714</v>
      </c>
      <c r="E12" s="41" t="s">
        <v>3478</v>
      </c>
      <c r="G12" s="56">
        <v>40051</v>
      </c>
    </row>
    <row r="13" spans="1:7" x14ac:dyDescent="0.2">
      <c r="A13" s="39">
        <v>39990</v>
      </c>
      <c r="B13" s="40" t="s">
        <v>1973</v>
      </c>
      <c r="C13" s="41" t="s">
        <v>2877</v>
      </c>
      <c r="D13" s="43">
        <v>4718</v>
      </c>
      <c r="E13" s="41" t="s">
        <v>2069</v>
      </c>
      <c r="G13" s="56">
        <v>39993</v>
      </c>
    </row>
    <row r="14" spans="1:7" x14ac:dyDescent="0.2">
      <c r="A14" s="39">
        <v>39989</v>
      </c>
      <c r="B14" s="40" t="s">
        <v>1725</v>
      </c>
      <c r="C14" s="41" t="s">
        <v>3362</v>
      </c>
      <c r="D14" s="43">
        <v>4719</v>
      </c>
      <c r="E14" s="41" t="s">
        <v>2069</v>
      </c>
      <c r="G14" s="56">
        <v>40014</v>
      </c>
    </row>
    <row r="15" spans="1:7" x14ac:dyDescent="0.2">
      <c r="A15" s="39">
        <v>39884</v>
      </c>
      <c r="B15" s="40" t="s">
        <v>1208</v>
      </c>
      <c r="C15" s="41" t="s">
        <v>3362</v>
      </c>
      <c r="D15" s="43">
        <v>4741</v>
      </c>
      <c r="E15" s="41" t="s">
        <v>2069</v>
      </c>
      <c r="G15" s="56">
        <v>39885</v>
      </c>
    </row>
    <row r="16" spans="1:7" x14ac:dyDescent="0.2">
      <c r="A16" s="39">
        <v>39884</v>
      </c>
      <c r="B16" s="40" t="s">
        <v>2243</v>
      </c>
      <c r="C16" s="41" t="s">
        <v>2213</v>
      </c>
      <c r="D16" s="43">
        <v>4742</v>
      </c>
      <c r="E16" s="41" t="s">
        <v>2069</v>
      </c>
      <c r="G16" s="56">
        <v>39885</v>
      </c>
    </row>
    <row r="17" spans="1:7" x14ac:dyDescent="0.2">
      <c r="A17" s="39">
        <v>39881</v>
      </c>
      <c r="B17" s="40" t="s">
        <v>432</v>
      </c>
      <c r="C17" s="41" t="s">
        <v>1819</v>
      </c>
      <c r="D17" s="43">
        <v>4745</v>
      </c>
      <c r="E17" s="41" t="s">
        <v>2069</v>
      </c>
      <c r="G17" s="56">
        <v>39885</v>
      </c>
    </row>
    <row r="18" spans="1:7" x14ac:dyDescent="0.2">
      <c r="A18" s="39">
        <v>39883</v>
      </c>
      <c r="B18" s="40" t="s">
        <v>3344</v>
      </c>
      <c r="C18" s="41" t="s">
        <v>1819</v>
      </c>
      <c r="D18" s="43">
        <v>4796</v>
      </c>
      <c r="E18" s="41" t="s">
        <v>3176</v>
      </c>
      <c r="G18" s="56">
        <v>39903</v>
      </c>
    </row>
    <row r="19" spans="1:7" x14ac:dyDescent="0.2">
      <c r="A19" s="39">
        <v>39780</v>
      </c>
      <c r="B19" s="40" t="s">
        <v>2027</v>
      </c>
      <c r="C19" s="41" t="s">
        <v>3362</v>
      </c>
      <c r="D19" s="43">
        <v>4861</v>
      </c>
      <c r="E19" s="41" t="s">
        <v>3480</v>
      </c>
      <c r="G19" s="56">
        <v>40134</v>
      </c>
    </row>
    <row r="20" spans="1:7" x14ac:dyDescent="0.2">
      <c r="A20" s="39">
        <v>39780</v>
      </c>
      <c r="B20" s="40" t="s">
        <v>2026</v>
      </c>
      <c r="C20" s="41" t="s">
        <v>3362</v>
      </c>
      <c r="D20" s="43">
        <v>4863</v>
      </c>
      <c r="E20" s="41" t="s">
        <v>3480</v>
      </c>
      <c r="G20" s="56">
        <v>39905</v>
      </c>
    </row>
    <row r="21" spans="1:7" x14ac:dyDescent="0.2">
      <c r="A21" s="39">
        <v>40239</v>
      </c>
      <c r="B21" s="40" t="s">
        <v>1130</v>
      </c>
      <c r="C21" s="41" t="s">
        <v>1131</v>
      </c>
      <c r="D21" s="43">
        <v>4896</v>
      </c>
      <c r="G21" s="56">
        <v>40436</v>
      </c>
    </row>
    <row r="22" spans="1:7" x14ac:dyDescent="0.2">
      <c r="A22" s="39">
        <v>39897</v>
      </c>
      <c r="B22" s="40" t="s">
        <v>2450</v>
      </c>
      <c r="C22" s="41" t="s">
        <v>392</v>
      </c>
      <c r="D22" s="43">
        <v>4925</v>
      </c>
      <c r="E22" s="41" t="s">
        <v>3486</v>
      </c>
      <c r="G22" s="56">
        <v>39996</v>
      </c>
    </row>
    <row r="23" spans="1:7" x14ac:dyDescent="0.2">
      <c r="A23" s="39">
        <v>39937</v>
      </c>
      <c r="B23" s="40" t="s">
        <v>2911</v>
      </c>
      <c r="C23" s="41" t="s">
        <v>2213</v>
      </c>
      <c r="D23" s="43">
        <v>4999</v>
      </c>
      <c r="E23" s="41" t="s">
        <v>2476</v>
      </c>
      <c r="G23" s="56">
        <v>39944</v>
      </c>
    </row>
    <row r="24" spans="1:7" x14ac:dyDescent="0.2">
      <c r="A24" s="39">
        <v>39966</v>
      </c>
      <c r="B24" s="40" t="s">
        <v>1372</v>
      </c>
      <c r="C24" s="41">
        <v>39970</v>
      </c>
      <c r="D24" s="43">
        <v>5018</v>
      </c>
      <c r="E24" s="41" t="s">
        <v>1562</v>
      </c>
      <c r="G24" s="56">
        <v>40009</v>
      </c>
    </row>
    <row r="25" spans="1:7" x14ac:dyDescent="0.2">
      <c r="A25" s="39">
        <v>40030</v>
      </c>
      <c r="B25" s="40" t="s">
        <v>2576</v>
      </c>
      <c r="C25" s="41" t="s">
        <v>1819</v>
      </c>
      <c r="D25" s="43">
        <v>5259</v>
      </c>
      <c r="E25" s="41" t="s">
        <v>3486</v>
      </c>
      <c r="G25" s="56">
        <v>40051</v>
      </c>
    </row>
    <row r="26" spans="1:7" x14ac:dyDescent="0.2">
      <c r="A26" s="39">
        <v>40027</v>
      </c>
      <c r="B26" s="40" t="s">
        <v>3283</v>
      </c>
      <c r="C26" s="41" t="s">
        <v>3737</v>
      </c>
      <c r="D26" s="43">
        <v>5444</v>
      </c>
      <c r="E26" s="41" t="s">
        <v>2069</v>
      </c>
      <c r="G26" s="56">
        <v>40051</v>
      </c>
    </row>
    <row r="27" spans="1:7" x14ac:dyDescent="0.2">
      <c r="A27" s="39">
        <v>40045</v>
      </c>
      <c r="B27" s="40" t="s">
        <v>1025</v>
      </c>
      <c r="C27" s="41" t="s">
        <v>1819</v>
      </c>
      <c r="D27" s="43">
        <v>5446</v>
      </c>
      <c r="E27" s="41" t="s">
        <v>2069</v>
      </c>
      <c r="G27" s="56">
        <v>40053</v>
      </c>
    </row>
    <row r="28" spans="1:7" x14ac:dyDescent="0.2">
      <c r="A28" s="39">
        <v>40027</v>
      </c>
      <c r="B28" s="40" t="s">
        <v>1279</v>
      </c>
      <c r="C28" s="41" t="s">
        <v>3737</v>
      </c>
      <c r="D28" s="43">
        <v>5447</v>
      </c>
      <c r="E28" s="41" t="s">
        <v>2069</v>
      </c>
      <c r="G28" s="56">
        <v>40051</v>
      </c>
    </row>
    <row r="29" spans="1:7" x14ac:dyDescent="0.2">
      <c r="A29" s="39">
        <v>40119</v>
      </c>
      <c r="B29" s="40" t="s">
        <v>325</v>
      </c>
      <c r="C29" s="41" t="s">
        <v>326</v>
      </c>
      <c r="D29" s="43">
        <v>5489</v>
      </c>
      <c r="E29" s="41" t="s">
        <v>1562</v>
      </c>
      <c r="G29" s="56">
        <v>40152</v>
      </c>
    </row>
    <row r="30" spans="1:7" x14ac:dyDescent="0.2">
      <c r="A30" s="39">
        <v>40119</v>
      </c>
      <c r="B30" s="40" t="s">
        <v>325</v>
      </c>
      <c r="C30" s="41" t="s">
        <v>326</v>
      </c>
      <c r="D30" s="43">
        <v>5490</v>
      </c>
      <c r="E30" s="41" t="s">
        <v>1562</v>
      </c>
      <c r="G30" s="56">
        <v>40152</v>
      </c>
    </row>
    <row r="31" spans="1:7" x14ac:dyDescent="0.2">
      <c r="A31" s="39">
        <v>40118</v>
      </c>
      <c r="B31" s="40" t="s">
        <v>2119</v>
      </c>
      <c r="C31" s="41" t="s">
        <v>1819</v>
      </c>
      <c r="D31" s="43">
        <v>5695</v>
      </c>
      <c r="E31" s="41" t="s">
        <v>2069</v>
      </c>
      <c r="G31" s="56">
        <v>40148</v>
      </c>
    </row>
    <row r="32" spans="1:7" x14ac:dyDescent="0.2">
      <c r="A32" s="39">
        <v>40624</v>
      </c>
      <c r="B32" s="40" t="s">
        <v>3502</v>
      </c>
      <c r="C32" s="41" t="s">
        <v>3503</v>
      </c>
      <c r="D32" s="43">
        <v>7129</v>
      </c>
      <c r="E32" s="41" t="s">
        <v>3482</v>
      </c>
      <c r="F32" s="41">
        <v>1</v>
      </c>
      <c r="G32" s="56">
        <v>41135</v>
      </c>
    </row>
    <row r="33" spans="1:7" x14ac:dyDescent="0.2">
      <c r="A33" s="39">
        <v>40610</v>
      </c>
      <c r="B33" s="40" t="s">
        <v>2546</v>
      </c>
      <c r="C33" s="41" t="s">
        <v>1819</v>
      </c>
      <c r="D33" s="43">
        <v>7125</v>
      </c>
      <c r="E33" s="41" t="s">
        <v>3482</v>
      </c>
      <c r="F33" s="41">
        <v>5</v>
      </c>
      <c r="G33" s="56">
        <v>41150</v>
      </c>
    </row>
    <row r="34" spans="1:7" x14ac:dyDescent="0.2">
      <c r="A34" s="39">
        <v>40071</v>
      </c>
      <c r="B34" s="40" t="s">
        <v>3659</v>
      </c>
      <c r="C34" s="41" t="s">
        <v>2877</v>
      </c>
      <c r="D34" s="43">
        <v>5463</v>
      </c>
      <c r="E34" s="41" t="s">
        <v>1562</v>
      </c>
      <c r="G34" s="56">
        <v>41151</v>
      </c>
    </row>
    <row r="35" spans="1:7" x14ac:dyDescent="0.2">
      <c r="A35" s="39">
        <v>39652</v>
      </c>
      <c r="B35" s="40" t="s">
        <v>3739</v>
      </c>
      <c r="C35" s="41" t="s">
        <v>3737</v>
      </c>
      <c r="D35" s="43">
        <v>4159</v>
      </c>
      <c r="E35" s="41" t="s">
        <v>2069</v>
      </c>
      <c r="G35" s="56">
        <v>41151</v>
      </c>
    </row>
    <row r="36" spans="1:7" x14ac:dyDescent="0.2">
      <c r="A36" s="39">
        <v>39862</v>
      </c>
      <c r="B36" s="40" t="s">
        <v>139</v>
      </c>
      <c r="C36" s="41" t="s">
        <v>140</v>
      </c>
      <c r="D36" s="43">
        <v>4628</v>
      </c>
      <c r="E36" s="41" t="s">
        <v>3176</v>
      </c>
      <c r="G36" s="56">
        <v>41177</v>
      </c>
    </row>
    <row r="37" spans="1:7" x14ac:dyDescent="0.2">
      <c r="A37" s="39">
        <v>39997</v>
      </c>
      <c r="B37" s="40" t="s">
        <v>1681</v>
      </c>
      <c r="C37" s="41" t="s">
        <v>3362</v>
      </c>
      <c r="D37" s="43">
        <v>4715</v>
      </c>
      <c r="E37" s="41" t="s">
        <v>3480</v>
      </c>
      <c r="G37" s="56">
        <v>41177</v>
      </c>
    </row>
    <row r="38" spans="1:7" x14ac:dyDescent="0.2">
      <c r="A38" s="39">
        <v>40063</v>
      </c>
      <c r="B38" s="40" t="s">
        <v>1247</v>
      </c>
      <c r="C38" s="41" t="s">
        <v>3360</v>
      </c>
      <c r="D38" s="43">
        <v>4710</v>
      </c>
      <c r="E38" s="41" t="s">
        <v>3162</v>
      </c>
      <c r="G38" s="56">
        <v>41177</v>
      </c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enableFormatConditionsCalculation="0">
    <tabColor indexed="42"/>
  </sheetPr>
  <dimension ref="A1:F26"/>
  <sheetViews>
    <sheetView workbookViewId="0">
      <pane ySplit="1" topLeftCell="A2" activePane="bottomLeft" state="frozen"/>
      <selection activeCell="G31" sqref="G31"/>
      <selection pane="bottomLeft" activeCell="A11" sqref="A11:F11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5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16384" width="11.42578125" style="1"/>
  </cols>
  <sheetData>
    <row r="1" spans="1:6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s="99" customFormat="1" ht="21.75" customHeight="1" x14ac:dyDescent="0.2">
      <c r="A2" s="131">
        <v>40648</v>
      </c>
      <c r="B2" s="134" t="s">
        <v>3214</v>
      </c>
      <c r="C2" s="132" t="s">
        <v>3215</v>
      </c>
      <c r="D2" s="133">
        <v>7731</v>
      </c>
      <c r="E2" s="132"/>
      <c r="F2" s="34"/>
    </row>
    <row r="3" spans="1:6" s="99" customFormat="1" ht="21.75" customHeight="1" x14ac:dyDescent="0.2">
      <c r="A3" s="30">
        <v>40680</v>
      </c>
      <c r="B3" s="98" t="s">
        <v>100</v>
      </c>
      <c r="C3" s="34" t="s">
        <v>3215</v>
      </c>
      <c r="D3" s="36">
        <v>7736</v>
      </c>
      <c r="E3" s="34"/>
      <c r="F3" s="34"/>
    </row>
    <row r="4" spans="1:6" s="99" customFormat="1" ht="21.75" customHeight="1" x14ac:dyDescent="0.2">
      <c r="A4" s="30">
        <v>40680</v>
      </c>
      <c r="B4" s="98" t="s">
        <v>3216</v>
      </c>
      <c r="C4" s="34" t="s">
        <v>3215</v>
      </c>
      <c r="D4" s="36">
        <v>7739</v>
      </c>
      <c r="E4" s="34"/>
      <c r="F4" s="34"/>
    </row>
    <row r="5" spans="1:6" s="99" customFormat="1" ht="21.75" customHeight="1" x14ac:dyDescent="0.2">
      <c r="A5" s="30">
        <v>40680</v>
      </c>
      <c r="B5" s="98" t="s">
        <v>3217</v>
      </c>
      <c r="C5" s="34" t="s">
        <v>3215</v>
      </c>
      <c r="D5" s="36">
        <v>7742</v>
      </c>
      <c r="E5" s="34"/>
      <c r="F5" s="34"/>
    </row>
    <row r="6" spans="1:6" s="99" customFormat="1" ht="21.75" customHeight="1" x14ac:dyDescent="0.2">
      <c r="A6" s="30">
        <v>40694</v>
      </c>
      <c r="B6" s="98" t="s">
        <v>3454</v>
      </c>
      <c r="C6" s="34" t="s">
        <v>3215</v>
      </c>
      <c r="D6" s="36">
        <v>7748</v>
      </c>
      <c r="E6" s="34"/>
      <c r="F6" s="34"/>
    </row>
    <row r="7" spans="1:6" s="99" customFormat="1" ht="21.75" customHeight="1" x14ac:dyDescent="0.2">
      <c r="A7" s="30">
        <v>41310</v>
      </c>
      <c r="B7" s="98" t="s">
        <v>1536</v>
      </c>
      <c r="C7" s="34" t="s">
        <v>3722</v>
      </c>
      <c r="D7" s="36">
        <v>9284</v>
      </c>
      <c r="E7" s="34"/>
      <c r="F7" s="34"/>
    </row>
    <row r="8" spans="1:6" s="99" customFormat="1" ht="21.75" customHeight="1" x14ac:dyDescent="0.2">
      <c r="A8" s="30">
        <v>41319</v>
      </c>
      <c r="B8" s="98" t="s">
        <v>295</v>
      </c>
      <c r="C8" s="34" t="s">
        <v>3722</v>
      </c>
      <c r="D8" s="36">
        <v>9283</v>
      </c>
      <c r="E8" s="34"/>
      <c r="F8" s="34"/>
    </row>
    <row r="9" spans="1:6" s="99" customFormat="1" ht="21.75" customHeight="1" x14ac:dyDescent="0.2">
      <c r="A9" s="30">
        <v>41324</v>
      </c>
      <c r="B9" s="98" t="s">
        <v>4032</v>
      </c>
      <c r="C9" s="34" t="s">
        <v>3722</v>
      </c>
      <c r="D9" s="36">
        <v>9270</v>
      </c>
      <c r="E9" s="34"/>
      <c r="F9" s="34"/>
    </row>
    <row r="10" spans="1:6" s="99" customFormat="1" ht="21.75" customHeight="1" x14ac:dyDescent="0.2">
      <c r="A10" s="30">
        <v>41327</v>
      </c>
      <c r="B10" s="98" t="s">
        <v>4034</v>
      </c>
      <c r="C10" s="34" t="s">
        <v>3722</v>
      </c>
      <c r="D10" s="36">
        <v>9263</v>
      </c>
      <c r="E10" s="34"/>
      <c r="F10" s="34"/>
    </row>
    <row r="11" spans="1:6" s="99" customFormat="1" ht="21.75" customHeight="1" x14ac:dyDescent="0.2">
      <c r="A11" s="30">
        <v>41327</v>
      </c>
      <c r="B11" s="98" t="s">
        <v>4035</v>
      </c>
      <c r="C11" s="34" t="s">
        <v>3722</v>
      </c>
      <c r="D11" s="36">
        <v>9267</v>
      </c>
      <c r="E11" s="34"/>
      <c r="F11" s="34"/>
    </row>
    <row r="12" spans="1:6" s="99" customFormat="1" ht="21.75" customHeight="1" x14ac:dyDescent="0.2">
      <c r="A12" s="30"/>
      <c r="B12" s="98"/>
      <c r="C12" s="34"/>
      <c r="D12" s="36"/>
      <c r="E12" s="34"/>
      <c r="F12" s="34"/>
    </row>
    <row r="13" spans="1:6" s="99" customFormat="1" ht="21.75" customHeight="1" x14ac:dyDescent="0.2">
      <c r="A13" s="30"/>
      <c r="B13" s="98"/>
      <c r="C13" s="34"/>
      <c r="D13" s="36"/>
      <c r="E13" s="34"/>
      <c r="F13" s="34"/>
    </row>
    <row r="14" spans="1:6" s="99" customFormat="1" ht="21.75" customHeight="1" x14ac:dyDescent="0.2">
      <c r="A14" s="30"/>
      <c r="B14" s="98"/>
      <c r="C14" s="34"/>
      <c r="D14" s="36"/>
      <c r="E14" s="34"/>
      <c r="F14" s="34"/>
    </row>
    <row r="15" spans="1:6" s="99" customFormat="1" ht="21.75" customHeight="1" x14ac:dyDescent="0.2">
      <c r="A15" s="30"/>
      <c r="B15" s="98"/>
      <c r="C15" s="34"/>
      <c r="D15" s="36"/>
      <c r="E15" s="34"/>
      <c r="F15" s="34"/>
    </row>
    <row r="16" spans="1:6" s="99" customFormat="1" ht="21.75" customHeight="1" x14ac:dyDescent="0.2">
      <c r="A16" s="30"/>
      <c r="B16" s="98"/>
      <c r="C16" s="34"/>
      <c r="D16" s="36"/>
      <c r="E16" s="34"/>
      <c r="F16" s="34"/>
    </row>
    <row r="17" spans="1:6" s="99" customFormat="1" ht="21.75" customHeight="1" x14ac:dyDescent="0.2">
      <c r="A17" s="30"/>
      <c r="B17" s="98"/>
      <c r="C17" s="34"/>
      <c r="D17" s="36"/>
      <c r="E17" s="34"/>
      <c r="F17" s="34"/>
    </row>
    <row r="18" spans="1:6" s="99" customFormat="1" ht="21.75" customHeight="1" x14ac:dyDescent="0.2">
      <c r="A18" s="30"/>
      <c r="B18" s="98"/>
      <c r="C18" s="34"/>
      <c r="D18" s="36"/>
      <c r="E18" s="34"/>
      <c r="F18" s="34"/>
    </row>
    <row r="19" spans="1:6" s="99" customFormat="1" ht="21.75" customHeight="1" x14ac:dyDescent="0.2">
      <c r="A19" s="30"/>
      <c r="B19" s="98"/>
      <c r="C19" s="34"/>
      <c r="D19" s="36"/>
      <c r="E19" s="34"/>
      <c r="F19" s="34"/>
    </row>
    <row r="20" spans="1:6" s="99" customFormat="1" ht="21.75" customHeight="1" x14ac:dyDescent="0.2">
      <c r="A20" s="30"/>
      <c r="B20" s="98"/>
      <c r="C20" s="34"/>
      <c r="D20" s="36"/>
      <c r="E20" s="34"/>
      <c r="F20" s="34"/>
    </row>
    <row r="21" spans="1:6" s="99" customFormat="1" ht="21.75" customHeight="1" x14ac:dyDescent="0.2">
      <c r="A21" s="30"/>
      <c r="B21" s="98"/>
      <c r="C21" s="34"/>
      <c r="D21" s="36"/>
      <c r="E21" s="34"/>
      <c r="F21" s="34"/>
    </row>
    <row r="22" spans="1:6" s="99" customFormat="1" ht="21.75" customHeight="1" x14ac:dyDescent="0.2">
      <c r="A22" s="30"/>
      <c r="B22" s="98"/>
      <c r="C22" s="34"/>
      <c r="D22" s="36"/>
      <c r="E22" s="34"/>
      <c r="F22" s="34"/>
    </row>
    <row r="23" spans="1:6" s="99" customFormat="1" ht="21.75" customHeight="1" x14ac:dyDescent="0.2">
      <c r="A23" s="30"/>
      <c r="B23" s="98"/>
      <c r="C23" s="34"/>
      <c r="D23" s="36"/>
      <c r="E23" s="34"/>
      <c r="F23" s="34"/>
    </row>
    <row r="24" spans="1:6" s="99" customFormat="1" ht="21.75" customHeight="1" x14ac:dyDescent="0.2">
      <c r="A24" s="30"/>
      <c r="B24" s="98"/>
      <c r="C24" s="34"/>
      <c r="D24" s="36"/>
      <c r="E24" s="34"/>
      <c r="F24" s="34"/>
    </row>
    <row r="25" spans="1:6" s="99" customFormat="1" ht="14.25" customHeight="1" x14ac:dyDescent="0.2">
      <c r="A25" s="30"/>
      <c r="B25" s="98"/>
      <c r="C25" s="34"/>
      <c r="D25" s="36"/>
      <c r="E25" s="34"/>
      <c r="F25" s="34"/>
    </row>
    <row r="26" spans="1:6" s="99" customFormat="1" ht="14.25" customHeight="1" x14ac:dyDescent="0.2">
      <c r="A26" s="30"/>
      <c r="B26" s="98"/>
      <c r="C26" s="34"/>
      <c r="D26" s="36"/>
      <c r="E26" s="34"/>
      <c r="F26" s="34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indexed="42"/>
  </sheetPr>
  <dimension ref="A1:G5"/>
  <sheetViews>
    <sheetView workbookViewId="0">
      <pane ySplit="1" topLeftCell="A2" activePane="bottomLeft" state="frozen"/>
      <selection activeCell="G31" sqref="G31"/>
      <selection pane="bottomLeft" activeCell="A2" sqref="A2:E2"/>
    </sheetView>
  </sheetViews>
  <sheetFormatPr baseColWidth="10" defaultRowHeight="17.100000000000001" customHeight="1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7.100000000000001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17.100000000000001" customHeight="1" x14ac:dyDescent="0.2">
      <c r="A2" s="39">
        <v>40694</v>
      </c>
      <c r="B2" s="40" t="s">
        <v>265</v>
      </c>
      <c r="C2" s="41" t="s">
        <v>3215</v>
      </c>
      <c r="D2" s="43">
        <v>7744</v>
      </c>
      <c r="G2" s="116">
        <v>40787</v>
      </c>
    </row>
    <row r="3" spans="1:7" ht="17.100000000000001" customHeight="1" x14ac:dyDescent="0.2">
      <c r="A3" s="39">
        <v>40819</v>
      </c>
      <c r="B3" s="40" t="s">
        <v>1449</v>
      </c>
      <c r="C3" s="41" t="s">
        <v>258</v>
      </c>
      <c r="D3" s="43">
        <v>7667</v>
      </c>
      <c r="G3" s="56">
        <v>40842</v>
      </c>
    </row>
    <row r="4" spans="1:7" ht="17.100000000000001" customHeight="1" x14ac:dyDescent="0.2">
      <c r="A4" s="39">
        <v>40675</v>
      </c>
      <c r="B4" s="40" t="s">
        <v>3455</v>
      </c>
      <c r="C4" s="41" t="s">
        <v>3215</v>
      </c>
      <c r="D4" s="43">
        <v>7973</v>
      </c>
      <c r="G4" s="56">
        <v>40868</v>
      </c>
    </row>
    <row r="5" spans="1:7" ht="17.100000000000001" customHeight="1" x14ac:dyDescent="0.2">
      <c r="A5" s="39">
        <v>40932</v>
      </c>
      <c r="B5" s="40" t="s">
        <v>3821</v>
      </c>
      <c r="D5" s="43">
        <v>7653</v>
      </c>
      <c r="G5" s="56">
        <v>40960</v>
      </c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enableFormatConditionsCalculation="0">
    <tabColor indexed="44"/>
  </sheetPr>
  <dimension ref="A1:F32"/>
  <sheetViews>
    <sheetView workbookViewId="0">
      <pane ySplit="1" topLeftCell="A2" activePane="bottomLeft" state="frozen"/>
      <selection activeCell="G31" sqref="G31"/>
      <selection pane="bottomLeft" activeCell="A2" sqref="A2:IV2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5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16384" width="11.42578125" style="1"/>
  </cols>
  <sheetData>
    <row r="1" spans="1:6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s="99" customFormat="1" ht="25.5" customHeight="1" x14ac:dyDescent="0.2">
      <c r="A2" s="30"/>
      <c r="B2" s="98"/>
      <c r="C2" s="34"/>
      <c r="D2" s="36"/>
      <c r="E2" s="34"/>
      <c r="F2" s="34"/>
    </row>
    <row r="3" spans="1:6" s="99" customFormat="1" ht="27.75" customHeight="1" x14ac:dyDescent="0.2">
      <c r="A3" s="30"/>
      <c r="B3" s="98"/>
      <c r="C3" s="34"/>
      <c r="D3" s="36"/>
      <c r="E3" s="34"/>
      <c r="F3" s="34"/>
    </row>
    <row r="4" spans="1:6" s="99" customFormat="1" ht="26.25" customHeight="1" x14ac:dyDescent="0.2">
      <c r="A4" s="30"/>
      <c r="B4" s="98"/>
      <c r="C4" s="34"/>
      <c r="D4" s="36"/>
      <c r="E4" s="34"/>
      <c r="F4" s="34"/>
    </row>
    <row r="5" spans="1:6" s="99" customFormat="1" ht="27" customHeight="1" x14ac:dyDescent="0.2">
      <c r="A5" s="30"/>
      <c r="B5" s="98"/>
      <c r="C5" s="34"/>
      <c r="D5" s="36"/>
      <c r="E5" s="34"/>
      <c r="F5" s="34"/>
    </row>
    <row r="6" spans="1:6" s="99" customFormat="1" ht="26.25" customHeight="1" x14ac:dyDescent="0.2">
      <c r="A6" s="30"/>
      <c r="B6" s="98"/>
      <c r="C6" s="34"/>
      <c r="D6" s="36"/>
      <c r="E6" s="34"/>
      <c r="F6" s="34"/>
    </row>
    <row r="7" spans="1:6" s="99" customFormat="1" ht="27" customHeight="1" x14ac:dyDescent="0.2">
      <c r="A7" s="30"/>
      <c r="B7" s="98"/>
      <c r="C7" s="34"/>
      <c r="D7" s="36"/>
      <c r="E7" s="34"/>
      <c r="F7" s="34"/>
    </row>
    <row r="8" spans="1:6" s="99" customFormat="1" ht="27" customHeight="1" x14ac:dyDescent="0.2">
      <c r="A8" s="30"/>
      <c r="B8" s="98"/>
      <c r="C8" s="34"/>
      <c r="D8" s="36"/>
      <c r="E8" s="34"/>
      <c r="F8" s="34"/>
    </row>
    <row r="9" spans="1:6" s="99" customFormat="1" ht="28.5" customHeight="1" x14ac:dyDescent="0.2">
      <c r="A9" s="30"/>
      <c r="B9" s="98"/>
      <c r="C9" s="34"/>
      <c r="D9" s="36"/>
      <c r="E9" s="34"/>
      <c r="F9" s="34"/>
    </row>
    <row r="10" spans="1:6" s="99" customFormat="1" ht="27" customHeight="1" x14ac:dyDescent="0.2">
      <c r="A10" s="30"/>
      <c r="B10" s="98"/>
      <c r="C10" s="34"/>
      <c r="D10" s="36"/>
      <c r="E10" s="34"/>
      <c r="F10" s="34"/>
    </row>
    <row r="11" spans="1:6" s="99" customFormat="1" ht="27.75" customHeight="1" x14ac:dyDescent="0.2">
      <c r="A11" s="30"/>
      <c r="B11" s="98"/>
      <c r="C11" s="34"/>
      <c r="D11" s="36"/>
      <c r="E11" s="34"/>
      <c r="F11" s="34"/>
    </row>
    <row r="12" spans="1:6" s="99" customFormat="1" ht="27.75" customHeight="1" x14ac:dyDescent="0.2">
      <c r="A12" s="30"/>
      <c r="B12" s="98"/>
      <c r="C12" s="34"/>
      <c r="D12" s="36"/>
      <c r="E12" s="34"/>
      <c r="F12" s="34"/>
    </row>
    <row r="13" spans="1:6" s="99" customFormat="1" ht="27.75" customHeight="1" x14ac:dyDescent="0.2">
      <c r="A13" s="30"/>
      <c r="B13" s="98"/>
      <c r="C13" s="34"/>
      <c r="D13" s="36"/>
      <c r="E13" s="34"/>
      <c r="F13" s="34"/>
    </row>
    <row r="14" spans="1:6" s="99" customFormat="1" ht="29.25" customHeight="1" x14ac:dyDescent="0.2">
      <c r="A14" s="30"/>
      <c r="B14" s="98"/>
      <c r="C14" s="34"/>
      <c r="D14" s="36"/>
      <c r="E14" s="34"/>
      <c r="F14" s="34"/>
    </row>
    <row r="15" spans="1:6" s="99" customFormat="1" ht="27" customHeight="1" x14ac:dyDescent="0.2">
      <c r="A15" s="30"/>
      <c r="B15" s="98"/>
      <c r="C15" s="34"/>
      <c r="D15" s="36"/>
      <c r="E15" s="34"/>
      <c r="F15" s="34"/>
    </row>
    <row r="16" spans="1:6" s="99" customFormat="1" ht="27.75" customHeight="1" x14ac:dyDescent="0.2">
      <c r="A16" s="30"/>
      <c r="B16" s="98"/>
      <c r="C16" s="34"/>
      <c r="D16" s="36"/>
      <c r="E16" s="34"/>
      <c r="F16" s="34"/>
    </row>
    <row r="17" spans="1:6" s="99" customFormat="1" ht="27.75" customHeight="1" x14ac:dyDescent="0.2">
      <c r="A17" s="30"/>
      <c r="B17" s="98"/>
      <c r="C17" s="34"/>
      <c r="D17" s="36"/>
      <c r="E17" s="34"/>
      <c r="F17" s="34"/>
    </row>
    <row r="18" spans="1:6" s="99" customFormat="1" ht="28.5" customHeight="1" x14ac:dyDescent="0.2">
      <c r="A18" s="30"/>
      <c r="B18" s="98"/>
      <c r="C18" s="34"/>
      <c r="D18" s="36"/>
      <c r="E18" s="34"/>
      <c r="F18" s="34"/>
    </row>
    <row r="19" spans="1:6" s="99" customFormat="1" ht="25.5" customHeight="1" x14ac:dyDescent="0.2">
      <c r="A19" s="30"/>
      <c r="B19" s="98"/>
      <c r="C19" s="34"/>
      <c r="D19" s="36"/>
      <c r="E19" s="34"/>
      <c r="F19" s="34"/>
    </row>
    <row r="20" spans="1:6" s="99" customFormat="1" ht="24" customHeight="1" x14ac:dyDescent="0.2">
      <c r="A20" s="30"/>
      <c r="B20" s="98"/>
      <c r="C20" s="34"/>
      <c r="D20" s="36"/>
      <c r="E20" s="34"/>
      <c r="F20" s="34"/>
    </row>
    <row r="21" spans="1:6" s="99" customFormat="1" ht="23.25" customHeight="1" x14ac:dyDescent="0.2">
      <c r="A21" s="30"/>
      <c r="B21" s="98"/>
      <c r="C21" s="34"/>
      <c r="D21" s="36"/>
      <c r="E21" s="34"/>
      <c r="F21" s="34"/>
    </row>
    <row r="22" spans="1:6" s="99" customFormat="1" ht="23.25" customHeight="1" x14ac:dyDescent="0.2">
      <c r="A22" s="30"/>
      <c r="B22" s="98"/>
      <c r="C22" s="34"/>
      <c r="D22" s="36"/>
      <c r="E22" s="34"/>
      <c r="F22" s="34"/>
    </row>
    <row r="23" spans="1:6" s="99" customFormat="1" ht="24" customHeight="1" x14ac:dyDescent="0.2">
      <c r="A23" s="30"/>
      <c r="B23" s="98"/>
      <c r="C23" s="34"/>
      <c r="D23" s="36"/>
      <c r="E23" s="34"/>
      <c r="F23" s="34"/>
    </row>
    <row r="24" spans="1:6" s="99" customFormat="1" ht="24" customHeight="1" x14ac:dyDescent="0.2">
      <c r="A24" s="30"/>
      <c r="B24" s="98"/>
      <c r="C24" s="34"/>
      <c r="D24" s="36"/>
      <c r="E24" s="34"/>
      <c r="F24" s="34"/>
    </row>
    <row r="25" spans="1:6" s="99" customFormat="1" x14ac:dyDescent="0.2">
      <c r="A25" s="30"/>
      <c r="B25" s="98"/>
      <c r="C25" s="34"/>
      <c r="D25" s="36"/>
      <c r="E25" s="34"/>
      <c r="F25" s="34"/>
    </row>
    <row r="26" spans="1:6" s="99" customFormat="1" x14ac:dyDescent="0.2">
      <c r="A26" s="30"/>
      <c r="B26" s="98"/>
      <c r="C26" s="34"/>
      <c r="D26" s="36"/>
      <c r="E26" s="34"/>
      <c r="F26" s="34"/>
    </row>
    <row r="27" spans="1:6" s="99" customFormat="1" x14ac:dyDescent="0.2">
      <c r="A27" s="30"/>
      <c r="B27" s="98"/>
      <c r="C27" s="34"/>
      <c r="D27" s="36"/>
      <c r="E27" s="34"/>
      <c r="F27" s="34"/>
    </row>
    <row r="28" spans="1:6" s="99" customFormat="1" x14ac:dyDescent="0.2">
      <c r="A28" s="30"/>
      <c r="B28" s="98"/>
      <c r="C28" s="34"/>
      <c r="D28" s="36"/>
      <c r="E28" s="34"/>
      <c r="F28" s="34"/>
    </row>
    <row r="29" spans="1:6" s="99" customFormat="1" x14ac:dyDescent="0.2">
      <c r="A29" s="30"/>
      <c r="B29" s="98"/>
      <c r="C29" s="34"/>
      <c r="D29" s="36"/>
      <c r="E29" s="34"/>
      <c r="F29" s="34"/>
    </row>
    <row r="30" spans="1:6" s="99" customFormat="1" x14ac:dyDescent="0.2">
      <c r="A30" s="30"/>
      <c r="B30" s="98"/>
      <c r="C30" s="34"/>
      <c r="D30" s="36"/>
      <c r="E30" s="34"/>
      <c r="F30" s="34"/>
    </row>
    <row r="31" spans="1:6" s="99" customFormat="1" x14ac:dyDescent="0.2">
      <c r="A31" s="30"/>
      <c r="B31" s="98"/>
      <c r="C31" s="34"/>
      <c r="D31" s="36"/>
      <c r="E31" s="34"/>
      <c r="F31" s="34"/>
    </row>
    <row r="32" spans="1:6" s="99" customFormat="1" x14ac:dyDescent="0.2">
      <c r="A32" s="30"/>
      <c r="B32" s="98"/>
      <c r="C32" s="34"/>
      <c r="D32" s="36"/>
      <c r="E32" s="34"/>
      <c r="F32" s="34"/>
    </row>
  </sheetData>
  <phoneticPr fontId="7" type="noConversion"/>
  <pageMargins left="0.39370078740157483" right="0.39370078740157483" top="0.98425196850393704" bottom="0.98425196850393704" header="0.51181102362204722" footer="0.51181102362204722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indexed="44"/>
  </sheetPr>
  <dimension ref="A1:G2"/>
  <sheetViews>
    <sheetView workbookViewId="0">
      <pane ySplit="1" topLeftCell="A2" activePane="bottomLeft" state="frozen"/>
      <selection activeCell="G31" sqref="G31"/>
      <selection pane="bottomLeft" activeCell="G2" sqref="G1:G65536"/>
    </sheetView>
  </sheetViews>
  <sheetFormatPr baseColWidth="10" defaultRowHeight="17.100000000000001" customHeight="1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7.100000000000001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17.100000000000001" customHeight="1" x14ac:dyDescent="0.2">
      <c r="A2" s="78"/>
      <c r="B2" s="79"/>
      <c r="C2" s="80"/>
      <c r="D2" s="81"/>
      <c r="E2" s="80"/>
      <c r="F2" s="80"/>
      <c r="G2" s="116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 enableFormatConditionsCalculation="0">
    <tabColor indexed="46"/>
  </sheetPr>
  <dimension ref="A1:F15"/>
  <sheetViews>
    <sheetView workbookViewId="0">
      <pane ySplit="1" topLeftCell="A2" activePane="bottomLeft" state="frozen"/>
      <selection activeCell="G30" sqref="G30"/>
      <selection pane="bottomLeft" activeCell="F41" sqref="F41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5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16384" width="11.42578125" style="1"/>
  </cols>
  <sheetData>
    <row r="1" spans="1:6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ht="18.75" customHeight="1" x14ac:dyDescent="0.2"/>
    <row r="3" spans="1:6" ht="18.75" customHeight="1" x14ac:dyDescent="0.2"/>
    <row r="4" spans="1:6" ht="18.75" customHeight="1" x14ac:dyDescent="0.2"/>
    <row r="5" spans="1:6" ht="18.75" customHeight="1" x14ac:dyDescent="0.2"/>
    <row r="6" spans="1:6" ht="18.75" customHeight="1" x14ac:dyDescent="0.2"/>
    <row r="7" spans="1:6" ht="18.75" customHeight="1" x14ac:dyDescent="0.2"/>
    <row r="8" spans="1:6" ht="18.75" customHeight="1" x14ac:dyDescent="0.2"/>
    <row r="9" spans="1:6" ht="18.75" customHeight="1" x14ac:dyDescent="0.2"/>
    <row r="10" spans="1:6" ht="18.75" customHeight="1" x14ac:dyDescent="0.2"/>
    <row r="11" spans="1:6" ht="18.75" customHeight="1" x14ac:dyDescent="0.2"/>
    <row r="12" spans="1:6" ht="18.75" customHeight="1" x14ac:dyDescent="0.2"/>
    <row r="13" spans="1:6" ht="18.75" customHeight="1" x14ac:dyDescent="0.2"/>
    <row r="14" spans="1:6" ht="18.75" customHeight="1" x14ac:dyDescent="0.2"/>
    <row r="15" spans="1:6" ht="23.25" customHeight="1" x14ac:dyDescent="0.2"/>
  </sheetData>
  <phoneticPr fontId="7" type="noConversion"/>
  <pageMargins left="0.39370078740157483" right="0.39370078740157483" top="0.98425196850393704" bottom="0.98425196850393704" header="0.51181102362204722" footer="0.51181102362204722"/>
  <pageSetup paperSize="9" orientation="landscape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indexed="46"/>
  </sheetPr>
  <dimension ref="A1:G2"/>
  <sheetViews>
    <sheetView workbookViewId="0">
      <pane ySplit="1" topLeftCell="A2" activePane="bottomLeft" state="frozen"/>
      <selection activeCell="G31" sqref="G31"/>
      <selection pane="bottomLeft" activeCell="G1" sqref="G1:G65536"/>
    </sheetView>
  </sheetViews>
  <sheetFormatPr baseColWidth="10" defaultRowHeight="17.100000000000001" customHeight="1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7.100000000000001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17.100000000000001" customHeight="1" x14ac:dyDescent="0.2">
      <c r="A2" s="78"/>
      <c r="B2" s="79"/>
      <c r="C2" s="80"/>
      <c r="D2" s="81"/>
      <c r="E2" s="80"/>
      <c r="F2" s="80"/>
      <c r="G2" s="116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indexed="44"/>
  </sheetPr>
  <dimension ref="A1:F50"/>
  <sheetViews>
    <sheetView workbookViewId="0">
      <pane ySplit="1" topLeftCell="A2" activePane="bottomLeft" state="frozen"/>
      <selection activeCell="B17" sqref="B17"/>
      <selection pane="bottomLeft" activeCell="B45" sqref="B45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12.7109375" style="34" customWidth="1"/>
    <col min="4" max="4" width="7.7109375" style="36" customWidth="1"/>
    <col min="5" max="5" width="8.7109375" style="34" customWidth="1"/>
    <col min="6" max="6" width="7.140625" style="34" customWidth="1"/>
    <col min="7" max="16384" width="11.42578125" style="1"/>
  </cols>
  <sheetData>
    <row r="1" spans="1:6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ht="23.25" customHeight="1" x14ac:dyDescent="0.2">
      <c r="A2" s="30">
        <v>40851</v>
      </c>
      <c r="B2" s="32" t="s">
        <v>2205</v>
      </c>
      <c r="C2" s="34" t="s">
        <v>2204</v>
      </c>
      <c r="D2" s="36">
        <v>8486</v>
      </c>
      <c r="F2" s="34">
        <v>1</v>
      </c>
    </row>
    <row r="3" spans="1:6" ht="24" customHeight="1" x14ac:dyDescent="0.2">
      <c r="A3" s="30">
        <v>40851</v>
      </c>
      <c r="B3" s="32" t="s">
        <v>2206</v>
      </c>
      <c r="C3" s="34" t="s">
        <v>2204</v>
      </c>
      <c r="D3" s="36">
        <v>8487</v>
      </c>
      <c r="F3" s="34">
        <v>1</v>
      </c>
    </row>
    <row r="4" spans="1:6" ht="24" customHeight="1" x14ac:dyDescent="0.2">
      <c r="A4" s="30">
        <v>40843</v>
      </c>
      <c r="B4" s="32" t="s">
        <v>76</v>
      </c>
      <c r="C4" s="34" t="s">
        <v>77</v>
      </c>
      <c r="D4" s="36">
        <v>8477</v>
      </c>
      <c r="F4" s="34">
        <v>1</v>
      </c>
    </row>
    <row r="5" spans="1:6" x14ac:dyDescent="0.2">
      <c r="A5" s="30">
        <v>40843</v>
      </c>
      <c r="B5" s="32" t="s">
        <v>78</v>
      </c>
      <c r="C5" s="34" t="s">
        <v>77</v>
      </c>
      <c r="D5" s="36">
        <v>8478</v>
      </c>
      <c r="F5" s="34">
        <v>1</v>
      </c>
    </row>
    <row r="6" spans="1:6" x14ac:dyDescent="0.2">
      <c r="A6" s="30">
        <v>40843</v>
      </c>
      <c r="B6" s="32" t="s">
        <v>2989</v>
      </c>
      <c r="C6" s="34" t="s">
        <v>77</v>
      </c>
      <c r="D6" s="36">
        <v>8479</v>
      </c>
      <c r="F6" s="34">
        <v>1</v>
      </c>
    </row>
    <row r="7" spans="1:6" x14ac:dyDescent="0.2">
      <c r="A7" s="30">
        <v>40843</v>
      </c>
      <c r="B7" s="32" t="s">
        <v>694</v>
      </c>
      <c r="C7" s="34" t="s">
        <v>77</v>
      </c>
      <c r="D7" s="36">
        <v>8480</v>
      </c>
      <c r="F7" s="34">
        <v>1</v>
      </c>
    </row>
    <row r="8" spans="1:6" x14ac:dyDescent="0.2">
      <c r="A8" s="30">
        <v>40843</v>
      </c>
      <c r="B8" s="32" t="s">
        <v>695</v>
      </c>
      <c r="C8" s="34" t="s">
        <v>77</v>
      </c>
      <c r="D8" s="36">
        <v>8481</v>
      </c>
      <c r="F8" s="34">
        <v>1</v>
      </c>
    </row>
    <row r="50" ht="9.75" customHeight="1" x14ac:dyDescent="0.2"/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indexed="44"/>
  </sheetPr>
  <dimension ref="A1:G2"/>
  <sheetViews>
    <sheetView workbookViewId="0">
      <pane ySplit="1" topLeftCell="A2" activePane="bottomLeft" state="frozen"/>
      <selection activeCell="B17" sqref="B17"/>
      <selection pane="bottomLeft" activeCell="D14" sqref="D14"/>
    </sheetView>
  </sheetViews>
  <sheetFormatPr baseColWidth="10" defaultRowHeight="17.100000000000001" customHeight="1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7" width="15.28515625" style="41" bestFit="1" customWidth="1"/>
    <col min="8" max="16384" width="11.42578125" style="1"/>
  </cols>
  <sheetData>
    <row r="1" spans="1:7" ht="17.100000000000001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  <c r="G1" s="77" t="s">
        <v>2319</v>
      </c>
    </row>
    <row r="2" spans="1:7" ht="17.100000000000001" customHeight="1" x14ac:dyDescent="0.2">
      <c r="A2" s="78"/>
      <c r="B2" s="79"/>
      <c r="C2" s="80"/>
      <c r="D2" s="81"/>
      <c r="E2" s="80"/>
      <c r="F2" s="80"/>
      <c r="G2" s="116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indexed="43"/>
  </sheetPr>
  <dimension ref="A1:F3"/>
  <sheetViews>
    <sheetView workbookViewId="0">
      <pane ySplit="1" topLeftCell="A2" activePane="bottomLeft" state="frozen"/>
      <selection activeCell="G30" sqref="G30"/>
      <selection pane="bottomLeft" activeCell="A2" sqref="A2:IV2"/>
    </sheetView>
  </sheetViews>
  <sheetFormatPr baseColWidth="10" defaultRowHeight="12" x14ac:dyDescent="0.2"/>
  <cols>
    <col min="1" max="1" width="11.28515625" style="30" customWidth="1"/>
    <col min="2" max="2" width="100.7109375" style="32" customWidth="1"/>
    <col min="3" max="3" width="5.85546875" style="34" bestFit="1" customWidth="1"/>
    <col min="4" max="4" width="7.7109375" style="36" customWidth="1"/>
    <col min="5" max="5" width="8.7109375" style="34" customWidth="1"/>
    <col min="6" max="6" width="7.140625" style="34" customWidth="1"/>
    <col min="7" max="16384" width="11.42578125" style="1"/>
  </cols>
  <sheetData>
    <row r="1" spans="1:6" ht="12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ht="24.75" customHeight="1" x14ac:dyDescent="0.2"/>
    <row r="3" spans="1:6" ht="23.25" customHeight="1" x14ac:dyDescent="0.2"/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>
    <tabColor indexed="43"/>
  </sheetPr>
  <dimension ref="A1:F2"/>
  <sheetViews>
    <sheetView workbookViewId="0">
      <pane ySplit="1" topLeftCell="A2" activePane="bottomLeft" state="frozen"/>
      <selection activeCell="B17" sqref="B17"/>
      <selection pane="bottomLeft" activeCell="D2" sqref="D2"/>
    </sheetView>
  </sheetViews>
  <sheetFormatPr baseColWidth="10" defaultRowHeight="17.100000000000001" customHeight="1" x14ac:dyDescent="0.2"/>
  <cols>
    <col min="1" max="1" width="11.28515625" style="39" customWidth="1"/>
    <col min="2" max="2" width="102.140625" style="40" customWidth="1"/>
    <col min="3" max="3" width="7.5703125" style="41" customWidth="1"/>
    <col min="4" max="4" width="7.7109375" style="43" customWidth="1"/>
    <col min="5" max="5" width="8.7109375" style="41" customWidth="1"/>
    <col min="6" max="6" width="7.140625" style="41" customWidth="1"/>
    <col min="7" max="16384" width="11.42578125" style="1"/>
  </cols>
  <sheetData>
    <row r="1" spans="1:6" ht="17.100000000000001" customHeight="1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7" t="s">
        <v>1078</v>
      </c>
    </row>
    <row r="2" spans="1:6" ht="17.100000000000001" customHeight="1" x14ac:dyDescent="0.2">
      <c r="A2" s="78"/>
      <c r="B2" s="79"/>
      <c r="C2" s="80"/>
      <c r="D2" s="81"/>
      <c r="E2" s="80"/>
      <c r="F2" s="80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A1:F100"/>
  <sheetViews>
    <sheetView workbookViewId="0">
      <selection activeCell="G14" sqref="G14"/>
    </sheetView>
  </sheetViews>
  <sheetFormatPr baseColWidth="10" defaultRowHeight="12.75" x14ac:dyDescent="0.2"/>
  <cols>
    <col min="1" max="1" width="11.5703125" customWidth="1"/>
    <col min="2" max="2" width="89.7109375" customWidth="1"/>
    <col min="3" max="3" width="16.140625" bestFit="1" customWidth="1"/>
    <col min="4" max="4" width="6.7109375" bestFit="1" customWidth="1"/>
    <col min="5" max="5" width="11.5703125" customWidth="1"/>
    <col min="6" max="6" width="9.140625" customWidth="1"/>
  </cols>
  <sheetData>
    <row r="1" spans="1:6" ht="13.5" thickBot="1" x14ac:dyDescent="0.25">
      <c r="A1" t="s">
        <v>1834</v>
      </c>
      <c r="B1" t="s">
        <v>3175</v>
      </c>
    </row>
    <row r="2" spans="1:6" x14ac:dyDescent="0.2">
      <c r="A2" s="108" t="s">
        <v>1472</v>
      </c>
      <c r="B2" s="109" t="s">
        <v>3221</v>
      </c>
      <c r="C2" s="110" t="s">
        <v>3382</v>
      </c>
      <c r="D2" s="111" t="s">
        <v>3383</v>
      </c>
      <c r="E2" s="110" t="s">
        <v>3384</v>
      </c>
      <c r="F2" s="112" t="s">
        <v>1818</v>
      </c>
    </row>
    <row r="3" spans="1:6" x14ac:dyDescent="0.2">
      <c r="A3" s="31">
        <v>39909</v>
      </c>
      <c r="B3" s="33" t="s">
        <v>2124</v>
      </c>
      <c r="C3" s="35" t="s">
        <v>2050</v>
      </c>
      <c r="D3" s="37">
        <v>169</v>
      </c>
      <c r="E3" s="35" t="s">
        <v>3175</v>
      </c>
      <c r="F3" s="38" t="s">
        <v>3894</v>
      </c>
    </row>
    <row r="4" spans="1:6" x14ac:dyDescent="0.2">
      <c r="A4" s="31">
        <v>40119</v>
      </c>
      <c r="B4" s="33" t="s">
        <v>1308</v>
      </c>
      <c r="C4" s="35" t="s">
        <v>3963</v>
      </c>
      <c r="D4" s="37">
        <v>5536</v>
      </c>
      <c r="E4" s="35" t="s">
        <v>3175</v>
      </c>
      <c r="F4" s="38" t="s">
        <v>3894</v>
      </c>
    </row>
    <row r="5" spans="1:6" x14ac:dyDescent="0.2">
      <c r="A5" s="31">
        <v>40093</v>
      </c>
      <c r="B5" s="33" t="s">
        <v>2510</v>
      </c>
      <c r="C5" s="35" t="s">
        <v>3963</v>
      </c>
      <c r="D5" s="37">
        <v>5514</v>
      </c>
      <c r="E5" s="35" t="s">
        <v>3175</v>
      </c>
      <c r="F5" s="38" t="s">
        <v>3894</v>
      </c>
    </row>
    <row r="6" spans="1:6" x14ac:dyDescent="0.2">
      <c r="A6" s="44">
        <v>40137</v>
      </c>
      <c r="B6" s="45" t="s">
        <v>361</v>
      </c>
      <c r="C6" s="46" t="s">
        <v>3646</v>
      </c>
      <c r="D6" s="47">
        <v>6047</v>
      </c>
      <c r="E6" s="46" t="s">
        <v>3175</v>
      </c>
      <c r="F6" s="46" t="s">
        <v>3409</v>
      </c>
    </row>
    <row r="7" spans="1:6" x14ac:dyDescent="0.2">
      <c r="A7" s="44">
        <v>40137</v>
      </c>
      <c r="B7" s="45" t="s">
        <v>3700</v>
      </c>
      <c r="C7" s="46" t="s">
        <v>3646</v>
      </c>
      <c r="D7" s="47">
        <v>6051</v>
      </c>
      <c r="E7" s="46" t="s">
        <v>3175</v>
      </c>
      <c r="F7" s="46" t="s">
        <v>3409</v>
      </c>
    </row>
    <row r="8" spans="1:6" x14ac:dyDescent="0.2">
      <c r="A8" s="44">
        <v>40161</v>
      </c>
      <c r="B8" s="45" t="s">
        <v>1300</v>
      </c>
      <c r="C8" s="46" t="s">
        <v>3646</v>
      </c>
      <c r="D8" s="47">
        <v>6242</v>
      </c>
      <c r="E8" s="46" t="s">
        <v>3175</v>
      </c>
      <c r="F8" s="46" t="s">
        <v>3409</v>
      </c>
    </row>
    <row r="9" spans="1:6" x14ac:dyDescent="0.2">
      <c r="A9" s="44">
        <v>40148</v>
      </c>
      <c r="B9" s="45" t="s">
        <v>1984</v>
      </c>
      <c r="C9" s="46" t="s">
        <v>3409</v>
      </c>
      <c r="D9" s="47">
        <v>5600</v>
      </c>
      <c r="E9" s="46" t="s">
        <v>3175</v>
      </c>
      <c r="F9" s="46" t="s">
        <v>3409</v>
      </c>
    </row>
    <row r="10" spans="1:6" x14ac:dyDescent="0.2">
      <c r="A10" s="44">
        <v>40186</v>
      </c>
      <c r="B10" s="45" t="s">
        <v>2575</v>
      </c>
      <c r="C10" s="46" t="s">
        <v>3409</v>
      </c>
      <c r="D10" s="47">
        <v>6231</v>
      </c>
      <c r="E10" s="46" t="s">
        <v>3175</v>
      </c>
      <c r="F10" s="46" t="s">
        <v>3409</v>
      </c>
    </row>
    <row r="11" spans="1:6" x14ac:dyDescent="0.2">
      <c r="A11" s="30">
        <v>40191</v>
      </c>
      <c r="B11" s="32" t="s">
        <v>2808</v>
      </c>
      <c r="C11" s="34" t="s">
        <v>1819</v>
      </c>
      <c r="D11" s="36">
        <v>6036</v>
      </c>
      <c r="E11" s="34" t="s">
        <v>3175</v>
      </c>
      <c r="F11" s="34" t="s">
        <v>1819</v>
      </c>
    </row>
    <row r="12" spans="1:6" x14ac:dyDescent="0.2">
      <c r="A12" s="44">
        <v>39337</v>
      </c>
      <c r="B12" s="45" t="s">
        <v>1318</v>
      </c>
      <c r="C12" s="62" t="s">
        <v>3361</v>
      </c>
      <c r="D12" s="63">
        <v>2164</v>
      </c>
      <c r="E12" s="46" t="s">
        <v>3175</v>
      </c>
      <c r="F12" s="46" t="s">
        <v>3893</v>
      </c>
    </row>
    <row r="13" spans="1:6" x14ac:dyDescent="0.2">
      <c r="A13" s="44">
        <v>39841</v>
      </c>
      <c r="B13" s="45" t="s">
        <v>1081</v>
      </c>
      <c r="C13" s="62" t="s">
        <v>2214</v>
      </c>
      <c r="D13" s="63">
        <v>4754</v>
      </c>
      <c r="E13" s="46" t="s">
        <v>3175</v>
      </c>
      <c r="F13" s="46" t="s">
        <v>3893</v>
      </c>
    </row>
    <row r="14" spans="1:6" x14ac:dyDescent="0.2">
      <c r="A14" s="44">
        <v>39856</v>
      </c>
      <c r="B14" s="45" t="s">
        <v>1569</v>
      </c>
      <c r="C14" s="62" t="s">
        <v>3361</v>
      </c>
      <c r="D14" s="63">
        <v>4766</v>
      </c>
      <c r="E14" s="46" t="s">
        <v>3175</v>
      </c>
      <c r="F14" s="46" t="s">
        <v>3893</v>
      </c>
    </row>
    <row r="15" spans="1:6" x14ac:dyDescent="0.2">
      <c r="A15" s="44">
        <v>39856</v>
      </c>
      <c r="B15" s="45" t="s">
        <v>1337</v>
      </c>
      <c r="C15" s="62" t="s">
        <v>3361</v>
      </c>
      <c r="D15" s="63">
        <v>4770</v>
      </c>
      <c r="E15" s="46" t="s">
        <v>3175</v>
      </c>
      <c r="F15" s="46" t="s">
        <v>3893</v>
      </c>
    </row>
    <row r="16" spans="1:6" x14ac:dyDescent="0.2">
      <c r="A16" s="44">
        <v>39974</v>
      </c>
      <c r="B16" s="45" t="s">
        <v>2627</v>
      </c>
      <c r="C16" s="62" t="s">
        <v>2213</v>
      </c>
      <c r="D16" s="63">
        <v>4868</v>
      </c>
      <c r="E16" s="46" t="s">
        <v>3175</v>
      </c>
      <c r="F16" s="46" t="s">
        <v>3893</v>
      </c>
    </row>
    <row r="17" spans="1:6" x14ac:dyDescent="0.2">
      <c r="A17" s="150"/>
      <c r="B17" s="151"/>
      <c r="C17" s="152"/>
      <c r="D17" s="165"/>
      <c r="E17" s="152"/>
      <c r="F17" s="152"/>
    </row>
    <row r="18" spans="1:6" x14ac:dyDescent="0.2">
      <c r="A18" s="107"/>
      <c r="B18" s="33"/>
      <c r="C18" s="35"/>
      <c r="D18" s="37"/>
      <c r="E18" s="35"/>
      <c r="F18" s="35"/>
    </row>
    <row r="19" spans="1:6" x14ac:dyDescent="0.2">
      <c r="A19" s="107"/>
      <c r="B19" s="33"/>
      <c r="C19" s="35"/>
      <c r="D19" s="37"/>
      <c r="E19" s="35"/>
      <c r="F19" s="35"/>
    </row>
    <row r="20" spans="1:6" x14ac:dyDescent="0.2">
      <c r="A20" s="150"/>
      <c r="B20" s="151"/>
      <c r="C20" s="154"/>
      <c r="D20" s="153"/>
      <c r="E20" s="152"/>
      <c r="F20" s="152"/>
    </row>
    <row r="21" spans="1:6" x14ac:dyDescent="0.2">
      <c r="A21" s="161"/>
      <c r="B21" s="162"/>
      <c r="C21" s="163"/>
      <c r="D21" s="153"/>
      <c r="E21" s="164"/>
      <c r="F21" s="152"/>
    </row>
    <row r="22" spans="1:6" x14ac:dyDescent="0.2">
      <c r="A22" s="150"/>
      <c r="B22" s="151"/>
      <c r="C22" s="154"/>
      <c r="D22" s="153"/>
      <c r="E22" s="152"/>
      <c r="F22" s="152"/>
    </row>
    <row r="23" spans="1:6" x14ac:dyDescent="0.2">
      <c r="A23" s="107"/>
      <c r="B23" s="33"/>
      <c r="C23" s="35"/>
      <c r="D23" s="37"/>
      <c r="E23" s="35"/>
      <c r="F23" s="35"/>
    </row>
    <row r="24" spans="1:6" x14ac:dyDescent="0.2">
      <c r="A24" s="150"/>
      <c r="B24" s="151"/>
      <c r="C24" s="154"/>
      <c r="D24" s="153"/>
      <c r="E24" s="152"/>
      <c r="F24" s="152"/>
    </row>
    <row r="25" spans="1:6" x14ac:dyDescent="0.2">
      <c r="A25" s="107"/>
      <c r="B25" s="33"/>
      <c r="C25" s="35"/>
      <c r="D25" s="37"/>
      <c r="E25" s="35"/>
      <c r="F25" s="35"/>
    </row>
    <row r="26" spans="1:6" x14ac:dyDescent="0.2">
      <c r="A26" s="150"/>
      <c r="B26" s="151"/>
      <c r="C26" s="154"/>
      <c r="D26" s="153"/>
      <c r="E26" s="152"/>
      <c r="F26" s="152"/>
    </row>
    <row r="27" spans="1:6" x14ac:dyDescent="0.2">
      <c r="A27" s="150"/>
      <c r="B27" s="151"/>
      <c r="C27" s="154"/>
      <c r="D27" s="153"/>
      <c r="E27" s="152"/>
      <c r="F27" s="152"/>
    </row>
    <row r="28" spans="1:6" x14ac:dyDescent="0.2">
      <c r="A28" s="107"/>
      <c r="B28" s="33"/>
      <c r="C28" s="35"/>
      <c r="D28" s="37"/>
      <c r="E28" s="35"/>
      <c r="F28" s="35"/>
    </row>
    <row r="29" spans="1:6" x14ac:dyDescent="0.2">
      <c r="A29" s="107"/>
      <c r="B29" s="113"/>
      <c r="C29" s="35"/>
      <c r="D29" s="37"/>
      <c r="E29" s="35"/>
      <c r="F29" s="35"/>
    </row>
    <row r="30" spans="1:6" x14ac:dyDescent="0.2">
      <c r="A30" s="107"/>
      <c r="B30" s="113"/>
      <c r="C30" s="35"/>
      <c r="D30" s="37"/>
      <c r="E30" s="35"/>
      <c r="F30" s="35"/>
    </row>
    <row r="31" spans="1:6" x14ac:dyDescent="0.2">
      <c r="A31" s="107"/>
      <c r="B31" s="113"/>
      <c r="C31" s="35"/>
      <c r="D31" s="37"/>
      <c r="E31" s="35"/>
      <c r="F31" s="35"/>
    </row>
    <row r="32" spans="1:6" x14ac:dyDescent="0.2">
      <c r="A32" s="107"/>
      <c r="B32" s="113"/>
      <c r="C32" s="35"/>
      <c r="D32" s="37"/>
      <c r="E32" s="35"/>
      <c r="F32" s="35"/>
    </row>
    <row r="33" spans="1:6" x14ac:dyDescent="0.2">
      <c r="A33" s="107"/>
      <c r="B33" s="113"/>
      <c r="C33" s="35"/>
      <c r="D33" s="37"/>
      <c r="E33" s="35"/>
      <c r="F33" s="35"/>
    </row>
    <row r="34" spans="1:6" x14ac:dyDescent="0.2">
      <c r="A34" s="107"/>
      <c r="B34" s="113"/>
      <c r="C34" s="35"/>
      <c r="D34" s="37"/>
      <c r="E34" s="35"/>
      <c r="F34" s="35"/>
    </row>
    <row r="35" spans="1:6" x14ac:dyDescent="0.2">
      <c r="A35" s="107"/>
      <c r="B35" s="113"/>
      <c r="C35" s="35"/>
      <c r="D35" s="37"/>
      <c r="E35" s="35"/>
      <c r="F35" s="35"/>
    </row>
    <row r="36" spans="1:6" x14ac:dyDescent="0.2">
      <c r="A36" s="107"/>
      <c r="B36" s="113"/>
      <c r="C36" s="35"/>
      <c r="D36" s="37"/>
      <c r="E36" s="35"/>
      <c r="F36" s="35"/>
    </row>
    <row r="37" spans="1:6" x14ac:dyDescent="0.2">
      <c r="A37" s="107"/>
      <c r="B37" s="113"/>
      <c r="C37" s="35"/>
      <c r="D37" s="37"/>
      <c r="E37" s="35"/>
      <c r="F37" s="35"/>
    </row>
    <row r="38" spans="1:6" x14ac:dyDescent="0.2">
      <c r="A38" s="107"/>
      <c r="B38" s="113"/>
      <c r="C38" s="35"/>
      <c r="D38" s="37"/>
      <c r="E38" s="35"/>
      <c r="F38" s="35"/>
    </row>
    <row r="39" spans="1:6" x14ac:dyDescent="0.2">
      <c r="A39" s="107"/>
      <c r="B39" s="113"/>
      <c r="C39" s="35"/>
      <c r="D39" s="37"/>
      <c r="E39" s="35"/>
      <c r="F39" s="35"/>
    </row>
    <row r="40" spans="1:6" x14ac:dyDescent="0.2">
      <c r="A40" s="107"/>
      <c r="B40" s="113"/>
      <c r="C40" s="35"/>
      <c r="D40" s="37"/>
      <c r="E40" s="35"/>
      <c r="F40" s="35"/>
    </row>
    <row r="41" spans="1:6" x14ac:dyDescent="0.2">
      <c r="A41" s="107"/>
      <c r="B41" s="113"/>
      <c r="C41" s="35"/>
      <c r="D41" s="37"/>
      <c r="E41" s="35"/>
      <c r="F41" s="35"/>
    </row>
    <row r="42" spans="1:6" x14ac:dyDescent="0.2">
      <c r="A42" s="107"/>
      <c r="B42" s="113"/>
      <c r="C42" s="35"/>
      <c r="D42" s="37"/>
      <c r="E42" s="35"/>
      <c r="F42" s="35"/>
    </row>
    <row r="43" spans="1:6" x14ac:dyDescent="0.2">
      <c r="A43" s="107"/>
      <c r="B43" s="113"/>
      <c r="C43" s="35"/>
      <c r="D43" s="37"/>
      <c r="E43" s="35"/>
      <c r="F43" s="35"/>
    </row>
    <row r="44" spans="1:6" x14ac:dyDescent="0.2">
      <c r="A44" s="107"/>
      <c r="B44" s="113"/>
      <c r="C44" s="35"/>
      <c r="D44" s="37"/>
      <c r="E44" s="35"/>
      <c r="F44" s="35"/>
    </row>
    <row r="45" spans="1:6" x14ac:dyDescent="0.2">
      <c r="A45" s="107"/>
      <c r="B45" s="33"/>
      <c r="C45" s="35"/>
      <c r="D45" s="37"/>
      <c r="E45" s="35"/>
      <c r="F45" s="35"/>
    </row>
    <row r="46" spans="1:6" x14ac:dyDescent="0.2">
      <c r="A46" s="107"/>
      <c r="B46" s="33"/>
      <c r="C46" s="35"/>
      <c r="D46" s="37"/>
      <c r="E46" s="35"/>
      <c r="F46" s="35"/>
    </row>
    <row r="47" spans="1:6" x14ac:dyDescent="0.2">
      <c r="A47" s="107"/>
      <c r="B47" s="33"/>
      <c r="C47" s="35"/>
      <c r="D47" s="37"/>
      <c r="E47" s="35"/>
      <c r="F47" s="35"/>
    </row>
    <row r="48" spans="1:6" x14ac:dyDescent="0.2">
      <c r="A48" s="107"/>
      <c r="B48" s="33"/>
      <c r="C48" s="35"/>
      <c r="D48" s="37"/>
      <c r="E48" s="35"/>
      <c r="F48" s="35"/>
    </row>
    <row r="49" spans="1:6" x14ac:dyDescent="0.2">
      <c r="A49" s="107"/>
      <c r="B49" s="33"/>
      <c r="C49" s="35"/>
      <c r="D49" s="37"/>
      <c r="E49" s="35"/>
      <c r="F49" s="35"/>
    </row>
    <row r="50" spans="1:6" x14ac:dyDescent="0.2">
      <c r="A50" s="107"/>
      <c r="B50" s="33"/>
      <c r="C50" s="35"/>
      <c r="D50" s="37"/>
      <c r="E50" s="35"/>
      <c r="F50" s="35"/>
    </row>
    <row r="51" spans="1:6" x14ac:dyDescent="0.2">
      <c r="A51" s="107"/>
      <c r="B51" s="33"/>
      <c r="C51" s="35"/>
      <c r="D51" s="37"/>
      <c r="E51" s="35"/>
      <c r="F51" s="35"/>
    </row>
    <row r="52" spans="1:6" x14ac:dyDescent="0.2">
      <c r="A52" s="107"/>
      <c r="B52" s="33"/>
      <c r="C52" s="35"/>
      <c r="D52" s="37"/>
      <c r="E52" s="35"/>
      <c r="F52" s="35"/>
    </row>
    <row r="53" spans="1:6" x14ac:dyDescent="0.2">
      <c r="A53" s="107"/>
      <c r="B53" s="33"/>
      <c r="C53" s="35"/>
      <c r="D53" s="37"/>
      <c r="E53" s="35"/>
      <c r="F53" s="35"/>
    </row>
    <row r="54" spans="1:6" x14ac:dyDescent="0.2">
      <c r="A54" s="107"/>
      <c r="B54" s="33"/>
      <c r="C54" s="35"/>
      <c r="D54" s="37"/>
      <c r="E54" s="35"/>
      <c r="F54" s="35"/>
    </row>
    <row r="55" spans="1:6" x14ac:dyDescent="0.2">
      <c r="A55" s="107"/>
      <c r="B55" s="33"/>
      <c r="C55" s="35"/>
      <c r="D55" s="37"/>
      <c r="E55" s="35"/>
      <c r="F55" s="35"/>
    </row>
    <row r="56" spans="1:6" x14ac:dyDescent="0.2">
      <c r="A56" s="107"/>
      <c r="B56" s="33"/>
      <c r="C56" s="35"/>
      <c r="D56" s="37"/>
      <c r="E56" s="35"/>
      <c r="F56" s="35"/>
    </row>
    <row r="57" spans="1:6" x14ac:dyDescent="0.2">
      <c r="A57" s="107"/>
      <c r="B57" s="33"/>
      <c r="C57" s="35"/>
      <c r="D57" s="37"/>
      <c r="E57" s="35"/>
      <c r="F57" s="35"/>
    </row>
    <row r="58" spans="1:6" x14ac:dyDescent="0.2">
      <c r="A58" s="107"/>
      <c r="B58" s="33"/>
      <c r="C58" s="35"/>
      <c r="D58" s="37"/>
      <c r="E58" s="35"/>
      <c r="F58" s="35"/>
    </row>
    <row r="59" spans="1:6" x14ac:dyDescent="0.2">
      <c r="A59" s="114"/>
      <c r="B59" s="114"/>
      <c r="C59" s="114"/>
      <c r="D59" s="114"/>
      <c r="E59" s="114"/>
      <c r="F59" s="114"/>
    </row>
    <row r="60" spans="1:6" x14ac:dyDescent="0.2">
      <c r="A60" s="114"/>
      <c r="B60" s="114"/>
      <c r="C60" s="114"/>
      <c r="D60" s="114"/>
      <c r="E60" s="114"/>
      <c r="F60" s="114"/>
    </row>
    <row r="61" spans="1:6" x14ac:dyDescent="0.2">
      <c r="A61" s="114"/>
      <c r="B61" s="114"/>
      <c r="C61" s="114"/>
      <c r="D61" s="114"/>
      <c r="E61" s="114"/>
      <c r="F61" s="114"/>
    </row>
    <row r="62" spans="1:6" x14ac:dyDescent="0.2">
      <c r="A62" s="114"/>
      <c r="B62" s="114"/>
      <c r="C62" s="114"/>
      <c r="D62" s="114"/>
      <c r="E62" s="114"/>
      <c r="F62" s="114"/>
    </row>
    <row r="63" spans="1:6" x14ac:dyDescent="0.2">
      <c r="A63" s="114"/>
      <c r="B63" s="114"/>
      <c r="C63" s="114"/>
      <c r="D63" s="114"/>
      <c r="E63" s="114"/>
      <c r="F63" s="114"/>
    </row>
    <row r="64" spans="1:6" x14ac:dyDescent="0.2">
      <c r="A64" s="114"/>
      <c r="B64" s="114"/>
      <c r="C64" s="114"/>
      <c r="D64" s="114"/>
      <c r="E64" s="114"/>
      <c r="F64" s="114"/>
    </row>
    <row r="65" spans="1:6" x14ac:dyDescent="0.2">
      <c r="A65" s="114"/>
      <c r="B65" s="114"/>
      <c r="C65" s="114"/>
      <c r="D65" s="114"/>
      <c r="E65" s="114"/>
      <c r="F65" s="114"/>
    </row>
    <row r="66" spans="1:6" x14ac:dyDescent="0.2">
      <c r="A66" s="114"/>
      <c r="B66" s="114"/>
      <c r="C66" s="114"/>
      <c r="D66" s="114"/>
      <c r="E66" s="114"/>
      <c r="F66" s="114"/>
    </row>
    <row r="67" spans="1:6" x14ac:dyDescent="0.2">
      <c r="A67" s="114"/>
      <c r="B67" s="114"/>
      <c r="C67" s="114"/>
      <c r="D67" s="114"/>
      <c r="E67" s="114"/>
      <c r="F67" s="114"/>
    </row>
    <row r="68" spans="1:6" x14ac:dyDescent="0.2">
      <c r="A68" s="114"/>
      <c r="B68" s="114"/>
      <c r="C68" s="114"/>
      <c r="D68" s="114"/>
      <c r="E68" s="114"/>
      <c r="F68" s="114"/>
    </row>
    <row r="69" spans="1:6" x14ac:dyDescent="0.2">
      <c r="A69" s="114"/>
      <c r="B69" s="114"/>
      <c r="C69" s="114"/>
      <c r="D69" s="114"/>
      <c r="E69" s="114"/>
      <c r="F69" s="114"/>
    </row>
    <row r="70" spans="1:6" x14ac:dyDescent="0.2">
      <c r="A70" s="114"/>
      <c r="B70" s="114"/>
      <c r="C70" s="114"/>
      <c r="D70" s="114"/>
      <c r="E70" s="114"/>
      <c r="F70" s="114"/>
    </row>
    <row r="71" spans="1:6" x14ac:dyDescent="0.2">
      <c r="A71" s="114"/>
      <c r="B71" s="114"/>
      <c r="C71" s="114"/>
      <c r="D71" s="114"/>
      <c r="E71" s="114"/>
      <c r="F71" s="114"/>
    </row>
    <row r="72" spans="1:6" x14ac:dyDescent="0.2">
      <c r="A72" s="114"/>
      <c r="B72" s="114"/>
      <c r="C72" s="114"/>
      <c r="D72" s="114"/>
      <c r="E72" s="114"/>
      <c r="F72" s="114"/>
    </row>
    <row r="73" spans="1:6" x14ac:dyDescent="0.2">
      <c r="A73" s="114"/>
      <c r="B73" s="114"/>
      <c r="C73" s="114"/>
      <c r="D73" s="114"/>
      <c r="E73" s="114"/>
      <c r="F73" s="114"/>
    </row>
    <row r="74" spans="1:6" x14ac:dyDescent="0.2">
      <c r="A74" s="114"/>
      <c r="B74" s="114"/>
      <c r="C74" s="114"/>
      <c r="D74" s="114"/>
      <c r="E74" s="114"/>
      <c r="F74" s="114"/>
    </row>
    <row r="75" spans="1:6" x14ac:dyDescent="0.2">
      <c r="A75" s="114"/>
      <c r="B75" s="114"/>
      <c r="C75" s="114"/>
      <c r="D75" s="114"/>
      <c r="E75" s="114"/>
      <c r="F75" s="114"/>
    </row>
    <row r="76" spans="1:6" x14ac:dyDescent="0.2">
      <c r="A76" s="114"/>
      <c r="B76" s="114"/>
      <c r="C76" s="114"/>
      <c r="D76" s="114"/>
      <c r="E76" s="114"/>
      <c r="F76" s="114"/>
    </row>
    <row r="77" spans="1:6" x14ac:dyDescent="0.2">
      <c r="A77" s="114"/>
      <c r="B77" s="114"/>
      <c r="C77" s="114"/>
      <c r="D77" s="114"/>
      <c r="E77" s="114"/>
      <c r="F77" s="114"/>
    </row>
    <row r="78" spans="1:6" x14ac:dyDescent="0.2">
      <c r="A78" s="114"/>
      <c r="B78" s="114"/>
      <c r="C78" s="114"/>
      <c r="D78" s="114"/>
      <c r="E78" s="114"/>
      <c r="F78" s="114"/>
    </row>
    <row r="79" spans="1:6" x14ac:dyDescent="0.2">
      <c r="A79" s="114"/>
      <c r="B79" s="114"/>
      <c r="C79" s="114"/>
      <c r="D79" s="114"/>
      <c r="E79" s="114"/>
      <c r="F79" s="114"/>
    </row>
    <row r="80" spans="1:6" x14ac:dyDescent="0.2">
      <c r="A80" s="114"/>
      <c r="B80" s="114"/>
      <c r="C80" s="114"/>
      <c r="D80" s="114"/>
      <c r="E80" s="114"/>
      <c r="F80" s="114"/>
    </row>
    <row r="81" spans="1:6" x14ac:dyDescent="0.2">
      <c r="A81" s="114"/>
      <c r="B81" s="114"/>
      <c r="C81" s="114"/>
      <c r="D81" s="114"/>
      <c r="E81" s="114"/>
      <c r="F81" s="114"/>
    </row>
    <row r="82" spans="1:6" x14ac:dyDescent="0.2">
      <c r="A82" s="114"/>
      <c r="B82" s="114"/>
      <c r="C82" s="114"/>
      <c r="D82" s="114"/>
      <c r="E82" s="114"/>
      <c r="F82" s="114"/>
    </row>
    <row r="83" spans="1:6" x14ac:dyDescent="0.2">
      <c r="A83" s="114"/>
      <c r="B83" s="114"/>
      <c r="C83" s="114"/>
      <c r="D83" s="114"/>
      <c r="E83" s="114"/>
      <c r="F83" s="114"/>
    </row>
    <row r="84" spans="1:6" x14ac:dyDescent="0.2">
      <c r="A84" s="114"/>
      <c r="B84" s="114"/>
      <c r="C84" s="114"/>
      <c r="D84" s="114"/>
      <c r="E84" s="114"/>
      <c r="F84" s="114"/>
    </row>
    <row r="85" spans="1:6" x14ac:dyDescent="0.2">
      <c r="A85" s="114"/>
      <c r="B85" s="114"/>
      <c r="C85" s="114"/>
      <c r="D85" s="114"/>
      <c r="E85" s="114"/>
      <c r="F85" s="114"/>
    </row>
    <row r="86" spans="1:6" x14ac:dyDescent="0.2">
      <c r="A86" s="114"/>
      <c r="B86" s="114"/>
      <c r="C86" s="114"/>
      <c r="D86" s="114"/>
      <c r="E86" s="114"/>
      <c r="F86" s="114"/>
    </row>
    <row r="87" spans="1:6" x14ac:dyDescent="0.2">
      <c r="A87" s="114"/>
      <c r="B87" s="114"/>
      <c r="C87" s="114"/>
      <c r="D87" s="114"/>
      <c r="E87" s="114"/>
      <c r="F87" s="114"/>
    </row>
    <row r="88" spans="1:6" x14ac:dyDescent="0.2">
      <c r="A88" s="114"/>
      <c r="B88" s="114"/>
      <c r="C88" s="114"/>
      <c r="D88" s="114"/>
      <c r="E88" s="114"/>
      <c r="F88" s="114"/>
    </row>
    <row r="89" spans="1:6" x14ac:dyDescent="0.2">
      <c r="A89" s="114"/>
      <c r="B89" s="114"/>
      <c r="C89" s="114"/>
      <c r="D89" s="114"/>
      <c r="E89" s="114"/>
      <c r="F89" s="114"/>
    </row>
    <row r="90" spans="1:6" x14ac:dyDescent="0.2">
      <c r="A90" s="114"/>
      <c r="B90" s="114"/>
      <c r="C90" s="114"/>
      <c r="D90" s="114"/>
      <c r="E90" s="114"/>
      <c r="F90" s="114"/>
    </row>
    <row r="91" spans="1:6" x14ac:dyDescent="0.2">
      <c r="A91" s="114"/>
      <c r="B91" s="114"/>
      <c r="C91" s="114"/>
      <c r="D91" s="114"/>
      <c r="E91" s="114"/>
      <c r="F91" s="114"/>
    </row>
    <row r="92" spans="1:6" x14ac:dyDescent="0.2">
      <c r="A92" s="114"/>
      <c r="B92" s="114"/>
      <c r="C92" s="114"/>
      <c r="D92" s="114"/>
      <c r="E92" s="114"/>
      <c r="F92" s="114"/>
    </row>
    <row r="93" spans="1:6" x14ac:dyDescent="0.2">
      <c r="A93" s="114"/>
      <c r="B93" s="114"/>
      <c r="C93" s="114"/>
      <c r="D93" s="114"/>
      <c r="E93" s="114"/>
      <c r="F93" s="114"/>
    </row>
    <row r="94" spans="1:6" x14ac:dyDescent="0.2">
      <c r="A94" s="114"/>
      <c r="B94" s="114"/>
      <c r="C94" s="114"/>
      <c r="D94" s="114"/>
      <c r="E94" s="114"/>
      <c r="F94" s="114"/>
    </row>
    <row r="95" spans="1:6" x14ac:dyDescent="0.2">
      <c r="A95" s="114"/>
      <c r="B95" s="114"/>
      <c r="C95" s="114"/>
      <c r="D95" s="114"/>
      <c r="E95" s="114"/>
      <c r="F95" s="114"/>
    </row>
    <row r="96" spans="1:6" x14ac:dyDescent="0.2">
      <c r="A96" s="114"/>
      <c r="B96" s="114"/>
      <c r="C96" s="114"/>
      <c r="D96" s="114"/>
      <c r="E96" s="114"/>
      <c r="F96" s="114"/>
    </row>
    <row r="97" spans="1:6" x14ac:dyDescent="0.2">
      <c r="A97" s="114"/>
      <c r="B97" s="114"/>
      <c r="C97" s="114"/>
      <c r="D97" s="114"/>
      <c r="E97" s="114"/>
      <c r="F97" s="114"/>
    </row>
    <row r="98" spans="1:6" x14ac:dyDescent="0.2">
      <c r="A98" s="114"/>
      <c r="B98" s="114"/>
      <c r="C98" s="114"/>
      <c r="D98" s="114"/>
      <c r="E98" s="114"/>
      <c r="F98" s="114"/>
    </row>
    <row r="99" spans="1:6" x14ac:dyDescent="0.2">
      <c r="A99" s="114"/>
      <c r="B99" s="114"/>
      <c r="C99" s="114"/>
      <c r="D99" s="114"/>
      <c r="E99" s="114"/>
      <c r="F99" s="114"/>
    </row>
    <row r="100" spans="1:6" x14ac:dyDescent="0.2">
      <c r="A100" s="114"/>
      <c r="B100" s="114"/>
      <c r="C100" s="114"/>
      <c r="D100" s="114"/>
      <c r="E100" s="114"/>
      <c r="F100" s="114"/>
    </row>
  </sheetData>
  <phoneticPr fontId="7" type="noConversion"/>
  <pageMargins left="0.59055118110236227" right="0.59055118110236227" top="0.64" bottom="0.66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Liste_etiquettes">
                <anchor moveWithCells="1" sizeWithCells="1">
                  <from>
                    <xdr:col>6</xdr:col>
                    <xdr:colOff>219075</xdr:colOff>
                    <xdr:row>0</xdr:row>
                    <xdr:rowOff>85725</xdr:rowOff>
                  </from>
                  <to>
                    <xdr:col>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 enableFormatConditionsCalculation="0">
    <tabColor indexed="61"/>
  </sheetPr>
  <dimension ref="A1:I31"/>
  <sheetViews>
    <sheetView workbookViewId="0">
      <selection activeCell="K40" sqref="K40"/>
    </sheetView>
  </sheetViews>
  <sheetFormatPr baseColWidth="10" defaultRowHeight="12.75" x14ac:dyDescent="0.2"/>
  <cols>
    <col min="1" max="1" width="15.28515625" bestFit="1" customWidth="1"/>
    <col min="3" max="3" width="11.42578125" style="106"/>
  </cols>
  <sheetData>
    <row r="1" spans="1:9" ht="13.5" thickBot="1" x14ac:dyDescent="0.25">
      <c r="C1" s="106" t="s">
        <v>1779</v>
      </c>
      <c r="D1" t="s">
        <v>3891</v>
      </c>
      <c r="E1" t="s">
        <v>3892</v>
      </c>
      <c r="F1" t="s">
        <v>3893</v>
      </c>
      <c r="G1" t="s">
        <v>3894</v>
      </c>
      <c r="H1" t="s">
        <v>1777</v>
      </c>
      <c r="I1" t="s">
        <v>1778</v>
      </c>
    </row>
    <row r="2" spans="1:9" x14ac:dyDescent="0.2">
      <c r="A2" s="135" t="s">
        <v>3890</v>
      </c>
      <c r="B2" s="136" t="s">
        <v>3162</v>
      </c>
      <c r="C2" s="137">
        <f>SUM(D2:I2)</f>
        <v>5</v>
      </c>
      <c r="D2" s="136">
        <f>COUNTIF('PAG à faire'!E:E,$B2)</f>
        <v>0</v>
      </c>
      <c r="E2" s="136">
        <f>COUNTIF('scierie à faire'!E:E,$B2)</f>
        <v>2</v>
      </c>
      <c r="F2" s="136">
        <f>COUNTIF('trieur à faire'!E:E,$B2)</f>
        <v>3</v>
      </c>
      <c r="G2" s="136">
        <f>COUNTIF('refente à faire'!E:E,$B2)</f>
        <v>0</v>
      </c>
      <c r="H2" s="136">
        <f>COUNTIF('expédition à faire'!E:E,$B2)</f>
        <v>0</v>
      </c>
      <c r="I2" s="138">
        <f>COUNTIF('bureaux à faire'!E:E,$B2)</f>
        <v>0</v>
      </c>
    </row>
    <row r="3" spans="1:9" x14ac:dyDescent="0.2">
      <c r="A3" s="139" t="s">
        <v>323</v>
      </c>
      <c r="B3" s="114" t="s">
        <v>3480</v>
      </c>
      <c r="C3" s="140">
        <f t="shared" ref="C3:C17" si="0">SUM(D3:I3)</f>
        <v>1</v>
      </c>
      <c r="D3" s="114">
        <f>COUNTIF('PAG à faire'!E:E,$B3)</f>
        <v>0</v>
      </c>
      <c r="E3" s="114">
        <f>COUNTIF('scierie à faire'!E:E,$B3)</f>
        <v>0</v>
      </c>
      <c r="F3" s="114">
        <f>COUNTIF('trieur à faire'!E:E,$B3)</f>
        <v>0</v>
      </c>
      <c r="G3" s="114">
        <f>COUNTIF('refente à faire'!E:E,$B3)</f>
        <v>0</v>
      </c>
      <c r="H3" s="114">
        <f>COUNTIF('expédition à faire'!E:E,$B3)</f>
        <v>1</v>
      </c>
      <c r="I3" s="141">
        <f>COUNTIF('bureaux à faire'!E:E,$B3)</f>
        <v>0</v>
      </c>
    </row>
    <row r="4" spans="1:9" x14ac:dyDescent="0.2">
      <c r="A4" s="139" t="s">
        <v>2600</v>
      </c>
      <c r="B4" s="114" t="s">
        <v>3478</v>
      </c>
      <c r="C4" s="140">
        <f t="shared" si="0"/>
        <v>2</v>
      </c>
      <c r="D4" s="114">
        <f>COUNTIF('PAG à faire'!E:E,$B4)</f>
        <v>1</v>
      </c>
      <c r="E4" s="114">
        <f>COUNTIF('scierie à faire'!E:E,$B4)</f>
        <v>1</v>
      </c>
      <c r="F4" s="114">
        <f>COUNTIF('trieur à faire'!E:E,$B4)</f>
        <v>0</v>
      </c>
      <c r="G4" s="114">
        <f>COUNTIF('refente à faire'!E:E,$B4)</f>
        <v>0</v>
      </c>
      <c r="H4" s="114">
        <f>COUNTIF('expédition à faire'!E:E,$B4)</f>
        <v>0</v>
      </c>
      <c r="I4" s="141">
        <f>COUNTIF('bureaux à faire'!E:E,$B4)</f>
        <v>0</v>
      </c>
    </row>
    <row r="5" spans="1:9" x14ac:dyDescent="0.2">
      <c r="A5" s="139" t="s">
        <v>840</v>
      </c>
      <c r="B5" s="114" t="s">
        <v>3482</v>
      </c>
      <c r="C5" s="140">
        <f>SUM(D5:I5)</f>
        <v>7</v>
      </c>
      <c r="D5" s="114">
        <f>COUNTIF('PAG à faire'!E:E,$B5)</f>
        <v>3</v>
      </c>
      <c r="E5" s="114">
        <f>COUNTIF('scierie à faire'!E:E,$B5)</f>
        <v>0</v>
      </c>
      <c r="F5" s="114">
        <f>COUNTIF('trieur à faire'!E:E,$B5)</f>
        <v>1</v>
      </c>
      <c r="G5" s="114">
        <f>COUNTIF('refente à faire'!E:E,$B5)</f>
        <v>3</v>
      </c>
      <c r="H5" s="114">
        <f>COUNTIF('expédition à faire'!E:E,$B5)</f>
        <v>0</v>
      </c>
      <c r="I5" s="141">
        <f>COUNTIF('bureaux à faire'!E:E,$B5)</f>
        <v>0</v>
      </c>
    </row>
    <row r="6" spans="1:9" ht="13.5" thickBot="1" x14ac:dyDescent="0.25">
      <c r="A6" s="142" t="s">
        <v>2185</v>
      </c>
      <c r="B6" s="143" t="s">
        <v>3479</v>
      </c>
      <c r="C6" s="144">
        <f>SUM(D6:I6)</f>
        <v>0</v>
      </c>
      <c r="D6" s="143">
        <f>COUNTIF('PAG à faire'!E:E,$B6)</f>
        <v>0</v>
      </c>
      <c r="E6" s="143">
        <f>COUNTIF('scierie à faire'!E:E,$B6)</f>
        <v>0</v>
      </c>
      <c r="F6" s="143">
        <f>COUNTIF('trieur à faire'!E:E,$B6)</f>
        <v>0</v>
      </c>
      <c r="G6" s="143">
        <f>COUNTIF('refente à faire'!E:E,$B6)</f>
        <v>0</v>
      </c>
      <c r="H6" s="143">
        <f>COUNTIF('expédition à faire'!E:E,$B6)</f>
        <v>0</v>
      </c>
      <c r="I6" s="145">
        <f>COUNTIF('bureaux à faire'!E:E,$B6)</f>
        <v>0</v>
      </c>
    </row>
    <row r="7" spans="1:9" x14ac:dyDescent="0.2">
      <c r="A7" s="135" t="s">
        <v>2512</v>
      </c>
      <c r="B7" s="136" t="s">
        <v>1562</v>
      </c>
      <c r="C7" s="137">
        <f>SUM(D7:I7)</f>
        <v>1</v>
      </c>
      <c r="D7" s="136">
        <f>COUNTIF('PAG à faire'!E:E,$B7)</f>
        <v>0</v>
      </c>
      <c r="E7" s="136">
        <f>COUNTIF('scierie à faire'!E:E,$B7)</f>
        <v>0</v>
      </c>
      <c r="F7" s="136">
        <f>COUNTIF('trieur à faire'!E:E,$B7)</f>
        <v>0</v>
      </c>
      <c r="G7" s="136">
        <f>COUNTIF('refente à faire'!E:E,$B7)</f>
        <v>1</v>
      </c>
      <c r="H7" s="136">
        <f>COUNTIF('expédition à faire'!E:E,$B7)</f>
        <v>0</v>
      </c>
      <c r="I7" s="138">
        <f>COUNTIF('bureaux à faire'!E:E,$B7)</f>
        <v>0</v>
      </c>
    </row>
    <row r="8" spans="1:9" x14ac:dyDescent="0.2">
      <c r="A8" s="139" t="s">
        <v>2511</v>
      </c>
      <c r="B8" s="114" t="s">
        <v>2504</v>
      </c>
      <c r="C8" s="140">
        <f>SUM(D8:I8)</f>
        <v>1</v>
      </c>
      <c r="D8" s="114">
        <f>COUNTIF('PAG à faire'!E:E,$B8)</f>
        <v>0</v>
      </c>
      <c r="E8" s="114">
        <f>COUNTIF('scierie à faire'!E:E,$B8)</f>
        <v>1</v>
      </c>
      <c r="F8" s="114">
        <f>COUNTIF('trieur à faire'!E:E,$B8)</f>
        <v>0</v>
      </c>
      <c r="G8" s="114">
        <f>COUNTIF('refente à faire'!E:E,$B8)</f>
        <v>0</v>
      </c>
      <c r="H8" s="114">
        <f>COUNTIF('expédition à faire'!E:E,$B8)</f>
        <v>0</v>
      </c>
      <c r="I8" s="141">
        <f>COUNTIF('bureaux à faire'!E:E,$B8)</f>
        <v>0</v>
      </c>
    </row>
    <row r="9" spans="1:9" x14ac:dyDescent="0.2">
      <c r="A9" s="139" t="s">
        <v>7</v>
      </c>
      <c r="B9" s="114" t="s">
        <v>3483</v>
      </c>
      <c r="C9" s="140">
        <f t="shared" si="0"/>
        <v>0</v>
      </c>
      <c r="D9" s="114">
        <f>COUNTIF('PAG à faire'!E:E,$B9)</f>
        <v>0</v>
      </c>
      <c r="E9" s="114">
        <f>COUNTIF('scierie à faire'!E:E,$B9)</f>
        <v>0</v>
      </c>
      <c r="F9" s="114">
        <f>COUNTIF('trieur à faire'!E:E,$B9)</f>
        <v>0</v>
      </c>
      <c r="G9" s="114">
        <f>COUNTIF('refente à faire'!E:E,$B9)</f>
        <v>0</v>
      </c>
      <c r="H9" s="114">
        <f>COUNTIF('expédition à faire'!E:E,$B9)</f>
        <v>0</v>
      </c>
      <c r="I9" s="141">
        <f>COUNTIF('bureaux à faire'!E:E,$B9)</f>
        <v>0</v>
      </c>
    </row>
    <row r="10" spans="1:9" x14ac:dyDescent="0.2">
      <c r="A10" s="139" t="s">
        <v>835</v>
      </c>
      <c r="B10" s="114" t="s">
        <v>3486</v>
      </c>
      <c r="C10" s="140">
        <f>SUM(D10:I10)</f>
        <v>0</v>
      </c>
      <c r="D10" s="114">
        <f>COUNTIF('PAG à faire'!E:E,$B10)</f>
        <v>0</v>
      </c>
      <c r="E10" s="114">
        <f>COUNTIF('scierie à faire'!E:E,$B10)</f>
        <v>0</v>
      </c>
      <c r="F10" s="114">
        <f>COUNTIF('trieur à faire'!E:E,$B10)</f>
        <v>0</v>
      </c>
      <c r="G10" s="114">
        <f>COUNTIF('refente à faire'!E:E,$B10)</f>
        <v>0</v>
      </c>
      <c r="H10" s="114">
        <f>COUNTIF('expédition à faire'!E:E,$B10)</f>
        <v>0</v>
      </c>
      <c r="I10" s="141">
        <f>COUNTIF('bureaux à faire'!E:E,$B10)</f>
        <v>0</v>
      </c>
    </row>
    <row r="11" spans="1:9" x14ac:dyDescent="0.2">
      <c r="A11" s="139" t="s">
        <v>836</v>
      </c>
      <c r="B11" s="114" t="s">
        <v>3176</v>
      </c>
      <c r="C11" s="140">
        <f t="shared" si="0"/>
        <v>0</v>
      </c>
      <c r="D11" s="114">
        <f>COUNTIF('PAG à faire'!E:E,$B11)</f>
        <v>0</v>
      </c>
      <c r="E11" s="114">
        <f>COUNTIF('scierie à faire'!E:E,$B11)</f>
        <v>0</v>
      </c>
      <c r="F11" s="114">
        <f>COUNTIF('trieur à faire'!E:E,$B11)</f>
        <v>0</v>
      </c>
      <c r="G11" s="114">
        <f>COUNTIF('refente à faire'!E:E,$B11)</f>
        <v>0</v>
      </c>
      <c r="H11" s="114">
        <f>COUNTIF('expédition à faire'!E:E,$B11)</f>
        <v>0</v>
      </c>
      <c r="I11" s="141">
        <f>COUNTIF('bureaux à faire'!E:E,$B11)</f>
        <v>0</v>
      </c>
    </row>
    <row r="12" spans="1:9" ht="13.5" thickBot="1" x14ac:dyDescent="0.25">
      <c r="A12" s="142" t="s">
        <v>839</v>
      </c>
      <c r="B12" s="143" t="s">
        <v>3175</v>
      </c>
      <c r="C12" s="144">
        <f>SUM(D12:I12)</f>
        <v>4</v>
      </c>
      <c r="D12" s="143">
        <f>COUNTIF('PAG à faire'!E:E,$B12)</f>
        <v>2</v>
      </c>
      <c r="E12" s="143">
        <f>COUNTIF('scierie à faire'!E:E,$B12)</f>
        <v>0</v>
      </c>
      <c r="F12" s="143">
        <f>COUNTIF('trieur à faire'!E:E,$B12)</f>
        <v>0</v>
      </c>
      <c r="G12" s="143">
        <f>COUNTIF('refente à faire'!E:E,$B12)</f>
        <v>2</v>
      </c>
      <c r="H12" s="143">
        <f>COUNTIF('expédition à faire'!E:E,$B12)</f>
        <v>0</v>
      </c>
      <c r="I12" s="145">
        <f>COUNTIF('bureaux à faire'!E:E,$B12)</f>
        <v>0</v>
      </c>
    </row>
    <row r="13" spans="1:9" x14ac:dyDescent="0.2">
      <c r="A13" t="s">
        <v>837</v>
      </c>
      <c r="B13" t="s">
        <v>3165</v>
      </c>
      <c r="C13" s="106">
        <f t="shared" si="0"/>
        <v>0</v>
      </c>
      <c r="D13">
        <f>COUNTIF('PAG à faire'!E:E,$B13)</f>
        <v>0</v>
      </c>
      <c r="E13">
        <f>COUNTIF('scierie à faire'!E:E,$B13)</f>
        <v>0</v>
      </c>
      <c r="F13">
        <f>COUNTIF('trieur à faire'!E:E,$B13)</f>
        <v>0</v>
      </c>
      <c r="G13">
        <f>COUNTIF('refente à faire'!E:E,$B13)</f>
        <v>0</v>
      </c>
      <c r="H13">
        <f>COUNTIF('expédition à faire'!E:E,$B13)</f>
        <v>0</v>
      </c>
      <c r="I13">
        <f>COUNTIF('bureaux à faire'!E:E,$B13)</f>
        <v>0</v>
      </c>
    </row>
    <row r="14" spans="1:9" x14ac:dyDescent="0.2">
      <c r="A14" t="s">
        <v>838</v>
      </c>
      <c r="B14" t="s">
        <v>838</v>
      </c>
      <c r="C14" s="106">
        <f t="shared" si="0"/>
        <v>0</v>
      </c>
      <c r="D14">
        <f>COUNTIF('PAG à faire'!E:E,$B14)</f>
        <v>0</v>
      </c>
      <c r="E14">
        <f>COUNTIF('scierie à faire'!E:E,$B14)</f>
        <v>0</v>
      </c>
      <c r="F14">
        <f>COUNTIF('trieur à faire'!E:E,$B14)</f>
        <v>0</v>
      </c>
      <c r="G14">
        <f>COUNTIF('refente à faire'!E:E,$B14)</f>
        <v>0</v>
      </c>
      <c r="H14">
        <f>COUNTIF('expédition à faire'!E:E,$B14)</f>
        <v>0</v>
      </c>
      <c r="I14">
        <f>COUNTIF('bureaux à faire'!E:E,$B14)</f>
        <v>0</v>
      </c>
    </row>
    <row r="15" spans="1:9" x14ac:dyDescent="0.2">
      <c r="B15" t="s">
        <v>3032</v>
      </c>
      <c r="C15" s="106">
        <f t="shared" si="0"/>
        <v>0</v>
      </c>
      <c r="D15">
        <f>COUNTIF('PAG à faire'!E:E,$B15)</f>
        <v>0</v>
      </c>
      <c r="E15">
        <f>COUNTIF('scierie à faire'!E:E,$B15)</f>
        <v>0</v>
      </c>
      <c r="F15">
        <f>COUNTIF('trieur à faire'!E:E,$B15)</f>
        <v>0</v>
      </c>
      <c r="G15">
        <f>COUNTIF('refente à faire'!E:E,$B15)</f>
        <v>0</v>
      </c>
      <c r="H15">
        <f>COUNTIF('expédition à faire'!E:E,$B15)</f>
        <v>0</v>
      </c>
      <c r="I15">
        <f>COUNTIF('bureaux à faire'!E:E,$B15)</f>
        <v>0</v>
      </c>
    </row>
    <row r="16" spans="1:9" x14ac:dyDescent="0.2">
      <c r="B16" t="s">
        <v>433</v>
      </c>
      <c r="C16" s="106">
        <f t="shared" si="0"/>
        <v>0</v>
      </c>
      <c r="D16">
        <f>COUNTIF('PAG à faire'!E:E,$B16)</f>
        <v>0</v>
      </c>
      <c r="E16">
        <f>COUNTIF('scierie à faire'!E:E,$B16)</f>
        <v>0</v>
      </c>
      <c r="F16">
        <f>COUNTIF('trieur à faire'!E:E,$B16)</f>
        <v>0</v>
      </c>
      <c r="G16">
        <f>COUNTIF('refente à faire'!E:E,$B16)</f>
        <v>0</v>
      </c>
      <c r="H16">
        <f>COUNTIF('expédition à faire'!E:E,$B16)</f>
        <v>0</v>
      </c>
      <c r="I16">
        <f>COUNTIF('bureaux à faire'!E:E,$B16)</f>
        <v>0</v>
      </c>
    </row>
    <row r="17" spans="1:9" x14ac:dyDescent="0.2">
      <c r="B17" t="s">
        <v>2789</v>
      </c>
      <c r="C17" s="106">
        <f t="shared" si="0"/>
        <v>0</v>
      </c>
      <c r="D17">
        <f>COUNTIF('PAG à faire'!E:E,$B17)</f>
        <v>0</v>
      </c>
      <c r="E17">
        <f>COUNTIF('scierie à faire'!E:E,$B17)</f>
        <v>0</v>
      </c>
      <c r="F17">
        <f>COUNTIF('trieur à faire'!E:E,$B17)</f>
        <v>0</v>
      </c>
      <c r="G17">
        <f>COUNTIF('refente à faire'!E:E,$B17)</f>
        <v>0</v>
      </c>
      <c r="H17">
        <f>COUNTIF('expédition à faire'!E:E,$B17)</f>
        <v>0</v>
      </c>
      <c r="I17">
        <f>COUNTIF('bureaux à faire'!E:E,$B17)</f>
        <v>0</v>
      </c>
    </row>
    <row r="18" spans="1:9" x14ac:dyDescent="0.2">
      <c r="B18" t="s">
        <v>1455</v>
      </c>
      <c r="C18" s="106">
        <f>SUM(D18:I18)</f>
        <v>0</v>
      </c>
      <c r="D18">
        <f>COUNTIF('PAG à faire'!E:E,$B18)</f>
        <v>0</v>
      </c>
      <c r="E18">
        <f>COUNTIF('scierie à faire'!E:E,$B18)</f>
        <v>0</v>
      </c>
      <c r="F18">
        <f>COUNTIF('trieur à faire'!E:E,$B18)</f>
        <v>0</v>
      </c>
      <c r="G18">
        <f>COUNTIF('refente à faire'!E:E,$B18)</f>
        <v>0</v>
      </c>
      <c r="H18">
        <f>COUNTIF('expédition à faire'!E:E,$B18)</f>
        <v>0</v>
      </c>
      <c r="I18">
        <f>COUNTIF('bureaux à faire'!E:E,$B18)</f>
        <v>0</v>
      </c>
    </row>
    <row r="19" spans="1:9" x14ac:dyDescent="0.2">
      <c r="A19" t="s">
        <v>2184</v>
      </c>
      <c r="B19" t="s">
        <v>3481</v>
      </c>
      <c r="C19" s="106">
        <f>SUM(D19:I19)</f>
        <v>0</v>
      </c>
      <c r="D19">
        <f>COUNTIF('PAG à faire'!E:E,$B19)</f>
        <v>0</v>
      </c>
      <c r="E19">
        <f>COUNTIF('scierie à faire'!E:E,$B19)</f>
        <v>0</v>
      </c>
      <c r="F19">
        <f>COUNTIF('trieur à faire'!E:E,$B19)</f>
        <v>0</v>
      </c>
      <c r="G19">
        <f>COUNTIF('refente à faire'!E:E,$B19)</f>
        <v>0</v>
      </c>
      <c r="H19">
        <f>COUNTIF('expédition à faire'!E:E,$B19)</f>
        <v>0</v>
      </c>
      <c r="I19">
        <f>COUNTIF('bureaux à faire'!E:E,$B19)</f>
        <v>0</v>
      </c>
    </row>
    <row r="20" spans="1:9" x14ac:dyDescent="0.2">
      <c r="B20" t="s">
        <v>2186</v>
      </c>
      <c r="C20" s="106">
        <f>SUM(D20:I20)</f>
        <v>0</v>
      </c>
      <c r="D20">
        <f>COUNTIF('PAG à faire'!E:E,$B20)</f>
        <v>0</v>
      </c>
      <c r="E20">
        <f>COUNTIF('scierie à faire'!E:E,$B20)</f>
        <v>0</v>
      </c>
      <c r="F20">
        <f>COUNTIF('trieur à faire'!E:E,$B20)</f>
        <v>0</v>
      </c>
      <c r="G20">
        <f>COUNTIF('refente à faire'!E:E,$B20)</f>
        <v>0</v>
      </c>
      <c r="H20">
        <f>COUNTIF('expédition à faire'!E:E,$B20)</f>
        <v>0</v>
      </c>
      <c r="I20">
        <f>COUNTIF('bureaux à faire'!E:E,$B20)</f>
        <v>0</v>
      </c>
    </row>
    <row r="21" spans="1:9" x14ac:dyDescent="0.2">
      <c r="B21" t="s">
        <v>524</v>
      </c>
      <c r="C21" s="106">
        <f>SUM(D21:I21)</f>
        <v>0</v>
      </c>
      <c r="D21">
        <f>COUNTIF('PAG à faire'!E:E,$B21)</f>
        <v>0</v>
      </c>
      <c r="E21">
        <f>COUNTIF('scierie à faire'!E:E,$B21)</f>
        <v>0</v>
      </c>
      <c r="F21">
        <f>COUNTIF('trieur à faire'!E:E,$B21)</f>
        <v>0</v>
      </c>
      <c r="G21">
        <f>COUNTIF('refente à faire'!E:E,$B21)</f>
        <v>0</v>
      </c>
      <c r="H21">
        <f>COUNTIF('expédition à faire'!E:E,$B21)</f>
        <v>0</v>
      </c>
      <c r="I21">
        <f>COUNTIF('bureaux à faire'!E:E,$B21)</f>
        <v>0</v>
      </c>
    </row>
    <row r="22" spans="1:9" x14ac:dyDescent="0.2">
      <c r="B22" t="s">
        <v>2187</v>
      </c>
      <c r="C22" s="106">
        <f>SUM(D22:I22)</f>
        <v>0</v>
      </c>
      <c r="D22">
        <f>COUNTIF('PAG à faire'!E:E,$B22)</f>
        <v>0</v>
      </c>
      <c r="E22">
        <f>COUNTIF('scierie à faire'!E:E,$B22)</f>
        <v>0</v>
      </c>
      <c r="F22">
        <f>COUNTIF('trieur à faire'!E:E,$B22)</f>
        <v>0</v>
      </c>
      <c r="G22">
        <f>COUNTIF('refente à faire'!E:E,$B22)</f>
        <v>0</v>
      </c>
      <c r="H22">
        <f>COUNTIF('expédition à faire'!E:E,$B22)</f>
        <v>0</v>
      </c>
      <c r="I22">
        <f>COUNTIF('bureaux à faire'!E:E,$B22)</f>
        <v>0</v>
      </c>
    </row>
    <row r="23" spans="1:9" x14ac:dyDescent="0.2">
      <c r="B23" t="s">
        <v>1495</v>
      </c>
      <c r="C23" s="106">
        <f t="shared" ref="C23:C31" si="1">SUM(D23:I23)</f>
        <v>0</v>
      </c>
      <c r="D23">
        <f>COUNTIF('PAG à faire'!E:E,$B23)</f>
        <v>0</v>
      </c>
      <c r="E23">
        <f>COUNTIF('scierie à faire'!E:E,$B23)</f>
        <v>0</v>
      </c>
      <c r="F23">
        <f>COUNTIF('trieur à faire'!E:E,$B23)</f>
        <v>0</v>
      </c>
      <c r="G23">
        <f>COUNTIF('refente à faire'!E:E,$B23)</f>
        <v>0</v>
      </c>
      <c r="H23">
        <f>COUNTIF('expédition à faire'!E:E,$B23)</f>
        <v>0</v>
      </c>
      <c r="I23">
        <f>COUNTIF('bureaux à faire'!E:E,$B23)</f>
        <v>0</v>
      </c>
    </row>
    <row r="24" spans="1:9" x14ac:dyDescent="0.2">
      <c r="B24" t="s">
        <v>1420</v>
      </c>
      <c r="C24" s="106">
        <f t="shared" si="1"/>
        <v>0</v>
      </c>
      <c r="D24">
        <f>COUNTIF('PAG à faire'!E:E,$B24)</f>
        <v>0</v>
      </c>
      <c r="E24">
        <f>COUNTIF('scierie à faire'!E:E,$B24)</f>
        <v>0</v>
      </c>
      <c r="F24">
        <f>COUNTIF('trieur à faire'!E:E,$B24)</f>
        <v>0</v>
      </c>
      <c r="G24">
        <f>COUNTIF('refente à faire'!E:E,$B24)</f>
        <v>0</v>
      </c>
      <c r="H24">
        <f>COUNTIF('expédition à faire'!E:E,$B24)</f>
        <v>0</v>
      </c>
      <c r="I24">
        <f>COUNTIF('bureaux à faire'!E:E,$B24)</f>
        <v>0</v>
      </c>
    </row>
    <row r="25" spans="1:9" x14ac:dyDescent="0.2">
      <c r="B25" t="s">
        <v>2188</v>
      </c>
      <c r="C25" s="106">
        <f t="shared" si="1"/>
        <v>1</v>
      </c>
      <c r="D25">
        <f>COUNTIF('PAG à faire'!E:E,$B25)</f>
        <v>0</v>
      </c>
      <c r="E25">
        <f>COUNTIF('scierie à faire'!E:E,$B25)</f>
        <v>0</v>
      </c>
      <c r="F25">
        <f>COUNTIF('trieur à faire'!E:E,$B25)</f>
        <v>0</v>
      </c>
      <c r="G25">
        <f>COUNTIF('refente à faire'!E:E,$B25)</f>
        <v>1</v>
      </c>
      <c r="H25">
        <f>COUNTIF('expédition à faire'!E:E,$B25)</f>
        <v>0</v>
      </c>
      <c r="I25">
        <f>COUNTIF('bureaux à faire'!E:E,$B25)</f>
        <v>0</v>
      </c>
    </row>
    <row r="26" spans="1:9" x14ac:dyDescent="0.2">
      <c r="B26" t="s">
        <v>9</v>
      </c>
      <c r="C26" s="106">
        <f>SUM(D26:I26)</f>
        <v>0</v>
      </c>
      <c r="D26">
        <f>COUNTIF('PAG à faire'!E:E,$B26)</f>
        <v>0</v>
      </c>
      <c r="E26">
        <f>COUNTIF('scierie à faire'!E:E,$B26)</f>
        <v>0</v>
      </c>
      <c r="F26">
        <f>COUNTIF('trieur à faire'!E:E,$B26)</f>
        <v>0</v>
      </c>
      <c r="G26">
        <f>COUNTIF('refente à faire'!E:E,$B26)</f>
        <v>0</v>
      </c>
      <c r="H26">
        <f>COUNTIF('expédition à faire'!E:E,$B26)</f>
        <v>0</v>
      </c>
      <c r="I26">
        <f>COUNTIF('bureaux à faire'!E:E,$B26)</f>
        <v>0</v>
      </c>
    </row>
    <row r="27" spans="1:9" x14ac:dyDescent="0.2">
      <c r="A27" t="s">
        <v>8</v>
      </c>
      <c r="B27" t="s">
        <v>3753</v>
      </c>
      <c r="C27" s="106">
        <f t="shared" si="1"/>
        <v>0</v>
      </c>
      <c r="D27">
        <f>COUNTIF('PAG à faire'!E:E,$B27)</f>
        <v>0</v>
      </c>
      <c r="E27">
        <f>COUNTIF('scierie à faire'!E:E,$B27)</f>
        <v>0</v>
      </c>
      <c r="F27">
        <f>COUNTIF('trieur à faire'!E:E,$B27)</f>
        <v>0</v>
      </c>
      <c r="G27">
        <f>COUNTIF('refente à faire'!E:E,$B27)</f>
        <v>0</v>
      </c>
      <c r="H27">
        <f>COUNTIF('expédition à faire'!E:E,$B27)</f>
        <v>0</v>
      </c>
      <c r="I27">
        <f>COUNTIF('bureaux à faire'!E:E,$B27)</f>
        <v>0</v>
      </c>
    </row>
    <row r="28" spans="1:9" x14ac:dyDescent="0.2">
      <c r="C28" s="106">
        <f t="shared" si="1"/>
        <v>0</v>
      </c>
      <c r="D28">
        <f>COUNTIF('PAG à faire'!E:E,$B28)</f>
        <v>0</v>
      </c>
      <c r="E28">
        <f>COUNTIF('scierie à faire'!E:E,$B28)</f>
        <v>0</v>
      </c>
      <c r="F28">
        <f>COUNTIF('trieur à faire'!E:E,$B28)</f>
        <v>0</v>
      </c>
      <c r="G28">
        <f>COUNTIF('refente à faire'!E:E,$B28)</f>
        <v>0</v>
      </c>
      <c r="H28">
        <f>COUNTIF('expédition à faire'!E:E,$B28)</f>
        <v>0</v>
      </c>
      <c r="I28">
        <f>COUNTIF('bureaux à faire'!E:E,$B28)</f>
        <v>0</v>
      </c>
    </row>
    <row r="29" spans="1:9" x14ac:dyDescent="0.2">
      <c r="C29" s="106">
        <f t="shared" si="1"/>
        <v>0</v>
      </c>
      <c r="D29">
        <f>COUNTIF('PAG à faire'!E:E,$B29)</f>
        <v>0</v>
      </c>
      <c r="E29">
        <f>COUNTIF('scierie à faire'!E:E,$B29)</f>
        <v>0</v>
      </c>
      <c r="F29">
        <f>COUNTIF('trieur à faire'!E:E,$B29)</f>
        <v>0</v>
      </c>
      <c r="G29">
        <f>COUNTIF('refente à faire'!E:E,$B29)</f>
        <v>0</v>
      </c>
      <c r="H29">
        <f>COUNTIF('expédition à faire'!E:E,$B29)</f>
        <v>0</v>
      </c>
      <c r="I29">
        <f>COUNTIF('bureaux à faire'!E:E,$B29)</f>
        <v>0</v>
      </c>
    </row>
    <row r="30" spans="1:9" x14ac:dyDescent="0.2">
      <c r="C30" s="106">
        <f t="shared" si="1"/>
        <v>0</v>
      </c>
      <c r="D30">
        <f>COUNTIF('PAG à faire'!E:E,$B30)</f>
        <v>0</v>
      </c>
      <c r="E30">
        <f>COUNTIF('scierie à faire'!E:E,$B30)</f>
        <v>0</v>
      </c>
      <c r="F30">
        <f>COUNTIF('trieur à faire'!E:E,$B30)</f>
        <v>0</v>
      </c>
      <c r="G30">
        <f>COUNTIF('refente à faire'!E:E,$B30)</f>
        <v>0</v>
      </c>
      <c r="H30">
        <f>COUNTIF('expédition à faire'!E:E,$B30)</f>
        <v>0</v>
      </c>
      <c r="I30">
        <f>COUNTIF('bureaux à faire'!E:E,$B30)</f>
        <v>0</v>
      </c>
    </row>
    <row r="31" spans="1:9" x14ac:dyDescent="0.2">
      <c r="C31" s="106">
        <f t="shared" si="1"/>
        <v>0</v>
      </c>
      <c r="D31">
        <f>COUNTIF('PAG à faire'!E:E,$B31)</f>
        <v>0</v>
      </c>
      <c r="E31">
        <f>COUNTIF('scierie à faire'!E:E,$B31)</f>
        <v>0</v>
      </c>
      <c r="F31">
        <f>COUNTIF('trieur à faire'!E:E,$B31)</f>
        <v>0</v>
      </c>
      <c r="G31">
        <f>COUNTIF('refente à faire'!E:E,$B31)</f>
        <v>0</v>
      </c>
      <c r="H31">
        <f>COUNTIF('expédition à faire'!E:E,$B31)</f>
        <v>0</v>
      </c>
      <c r="I31">
        <f>COUNTIF('bureaux à faire'!E:E,$B31)</f>
        <v>0</v>
      </c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 enableFormatConditionsCalculation="0">
    <tabColor indexed="10"/>
  </sheetPr>
  <dimension ref="A1:I41"/>
  <sheetViews>
    <sheetView workbookViewId="0">
      <pane ySplit="1" topLeftCell="A2" activePane="bottomLeft" state="frozen"/>
      <selection activeCell="G31" sqref="G31"/>
      <selection pane="bottomLeft" activeCell="H16" sqref="A16:H16"/>
    </sheetView>
  </sheetViews>
  <sheetFormatPr baseColWidth="10" defaultRowHeight="17.100000000000001" customHeight="1" x14ac:dyDescent="0.2"/>
  <cols>
    <col min="1" max="1" width="11.28515625" style="39" customWidth="1"/>
    <col min="2" max="2" width="68.42578125" style="40" customWidth="1"/>
    <col min="3" max="3" width="7.5703125" style="41" customWidth="1"/>
    <col min="4" max="4" width="10" style="43" customWidth="1"/>
    <col min="5" max="5" width="10" style="41" customWidth="1"/>
    <col min="6" max="6" width="7" style="41" bestFit="1" customWidth="1"/>
    <col min="7" max="7" width="10.85546875" style="39" customWidth="1"/>
    <col min="8" max="8" width="57" style="41" bestFit="1" customWidth="1"/>
    <col min="9" max="9" width="20.140625" style="41" customWidth="1"/>
    <col min="10" max="16384" width="11.42578125" style="1"/>
  </cols>
  <sheetData>
    <row r="1" spans="1:9" ht="24.75" thickBot="1" x14ac:dyDescent="0.25">
      <c r="A1" s="73" t="s">
        <v>1472</v>
      </c>
      <c r="B1" s="74" t="s">
        <v>3221</v>
      </c>
      <c r="C1" s="75" t="s">
        <v>3382</v>
      </c>
      <c r="D1" s="76" t="s">
        <v>3383</v>
      </c>
      <c r="E1" s="75" t="s">
        <v>3384</v>
      </c>
      <c r="F1" s="75" t="s">
        <v>1078</v>
      </c>
      <c r="G1" s="146" t="s">
        <v>1321</v>
      </c>
      <c r="H1" s="75" t="s">
        <v>3639</v>
      </c>
      <c r="I1" s="77" t="s">
        <v>1818</v>
      </c>
    </row>
    <row r="2" spans="1:9" ht="17.100000000000001" customHeight="1" x14ac:dyDescent="0.2">
      <c r="A2" s="39">
        <v>38791</v>
      </c>
      <c r="B2" s="40" t="s">
        <v>3144</v>
      </c>
      <c r="C2" s="41" t="s">
        <v>3356</v>
      </c>
      <c r="D2" s="43">
        <v>189</v>
      </c>
      <c r="G2" s="39">
        <v>39877.827974537038</v>
      </c>
      <c r="H2" s="41" t="s">
        <v>491</v>
      </c>
      <c r="I2" s="41" t="s">
        <v>492</v>
      </c>
    </row>
    <row r="3" spans="1:9" ht="17.100000000000001" customHeight="1" x14ac:dyDescent="0.2">
      <c r="A3" s="39">
        <v>39120</v>
      </c>
      <c r="B3" s="40" t="s">
        <v>1500</v>
      </c>
      <c r="C3" s="41" t="s">
        <v>3360</v>
      </c>
      <c r="D3" s="43">
        <v>585</v>
      </c>
      <c r="E3" s="41" t="s">
        <v>3479</v>
      </c>
      <c r="G3" s="39">
        <v>39877.827719907407</v>
      </c>
      <c r="H3" s="41" t="s">
        <v>491</v>
      </c>
      <c r="I3" s="41" t="s">
        <v>492</v>
      </c>
    </row>
    <row r="4" spans="1:9" ht="17.100000000000001" customHeight="1" x14ac:dyDescent="0.2">
      <c r="A4" s="39">
        <v>39469</v>
      </c>
      <c r="B4" s="40" t="s">
        <v>1635</v>
      </c>
      <c r="C4" s="41" t="s">
        <v>3360</v>
      </c>
      <c r="D4" s="43">
        <v>598</v>
      </c>
      <c r="E4" s="41" t="s">
        <v>3162</v>
      </c>
      <c r="G4" s="39">
        <v>39927.796550925923</v>
      </c>
      <c r="H4" s="41" t="s">
        <v>3333</v>
      </c>
      <c r="I4" s="41" t="s">
        <v>492</v>
      </c>
    </row>
    <row r="5" spans="1:9" ht="17.100000000000001" customHeight="1" x14ac:dyDescent="0.2">
      <c r="A5" s="39">
        <v>38923</v>
      </c>
      <c r="B5" s="40" t="s">
        <v>2251</v>
      </c>
      <c r="C5" s="41" t="s">
        <v>1819</v>
      </c>
      <c r="D5" s="43">
        <v>815</v>
      </c>
      <c r="E5" s="41" t="s">
        <v>3163</v>
      </c>
      <c r="G5" s="39">
        <v>39927.791550925926</v>
      </c>
      <c r="H5" s="41" t="s">
        <v>3582</v>
      </c>
      <c r="I5" s="41" t="s">
        <v>2071</v>
      </c>
    </row>
    <row r="6" spans="1:9" ht="17.100000000000001" customHeight="1" x14ac:dyDescent="0.2">
      <c r="A6" s="39">
        <v>38930</v>
      </c>
      <c r="B6" s="40" t="s">
        <v>1623</v>
      </c>
      <c r="C6" s="41" t="s">
        <v>3358</v>
      </c>
      <c r="D6" s="43">
        <v>890</v>
      </c>
      <c r="E6" s="41" t="s">
        <v>3650</v>
      </c>
      <c r="G6" s="39">
        <v>39855.803495370368</v>
      </c>
      <c r="H6" s="41" t="s">
        <v>2072</v>
      </c>
      <c r="I6" s="41" t="s">
        <v>492</v>
      </c>
    </row>
    <row r="7" spans="1:9" ht="17.100000000000001" customHeight="1" x14ac:dyDescent="0.2">
      <c r="A7" s="39">
        <v>39007</v>
      </c>
      <c r="B7" s="40" t="s">
        <v>1534</v>
      </c>
      <c r="C7" s="41" t="s">
        <v>3646</v>
      </c>
      <c r="D7" s="43">
        <v>988</v>
      </c>
      <c r="E7" s="41" t="s">
        <v>1781</v>
      </c>
      <c r="G7" s="39">
        <v>39828.566678240742</v>
      </c>
      <c r="H7" s="41" t="s">
        <v>3771</v>
      </c>
      <c r="I7" s="41" t="s">
        <v>3772</v>
      </c>
    </row>
    <row r="8" spans="1:9" ht="17.100000000000001" customHeight="1" x14ac:dyDescent="0.2">
      <c r="A8" s="39">
        <v>39177</v>
      </c>
      <c r="B8" s="40" t="s">
        <v>1540</v>
      </c>
      <c r="C8" s="41" t="s">
        <v>1819</v>
      </c>
      <c r="D8" s="43">
        <v>1638</v>
      </c>
      <c r="E8" s="41" t="s">
        <v>3479</v>
      </c>
      <c r="F8" s="41">
        <v>4</v>
      </c>
      <c r="G8" s="39">
        <v>39856.571932870371</v>
      </c>
      <c r="H8" s="41" t="s">
        <v>491</v>
      </c>
      <c r="I8" s="41" t="s">
        <v>2071</v>
      </c>
    </row>
    <row r="9" spans="1:9" ht="17.100000000000001" customHeight="1" x14ac:dyDescent="0.2">
      <c r="A9" s="39">
        <v>39358</v>
      </c>
      <c r="B9" s="40" t="s">
        <v>2733</v>
      </c>
      <c r="C9" s="41" t="s">
        <v>2373</v>
      </c>
      <c r="D9" s="43">
        <v>1736</v>
      </c>
      <c r="E9" s="41" t="s">
        <v>2789</v>
      </c>
      <c r="G9" s="39">
        <v>39856.563206018516</v>
      </c>
      <c r="H9" s="41" t="s">
        <v>417</v>
      </c>
      <c r="I9" s="41" t="s">
        <v>492</v>
      </c>
    </row>
    <row r="10" spans="1:9" ht="17.100000000000001" customHeight="1" x14ac:dyDescent="0.2">
      <c r="A10" s="39">
        <v>39182</v>
      </c>
      <c r="B10" s="40" t="s">
        <v>354</v>
      </c>
      <c r="C10" s="41" t="s">
        <v>3361</v>
      </c>
      <c r="D10" s="43">
        <v>1955</v>
      </c>
      <c r="E10" s="41" t="s">
        <v>3485</v>
      </c>
      <c r="G10" s="39">
        <v>39828.596388888887</v>
      </c>
      <c r="H10" s="41" t="s">
        <v>491</v>
      </c>
      <c r="I10" s="41" t="s">
        <v>492</v>
      </c>
    </row>
    <row r="11" spans="1:9" ht="17.100000000000001" customHeight="1" x14ac:dyDescent="0.2">
      <c r="A11" s="39">
        <v>39269</v>
      </c>
      <c r="B11" s="40" t="s">
        <v>307</v>
      </c>
      <c r="C11" s="41" t="s">
        <v>3647</v>
      </c>
      <c r="D11" s="43">
        <v>2060</v>
      </c>
      <c r="E11" s="41" t="s">
        <v>2789</v>
      </c>
      <c r="G11" s="39">
        <v>39828.581111111111</v>
      </c>
      <c r="H11" s="41" t="s">
        <v>1322</v>
      </c>
      <c r="I11" s="41" t="s">
        <v>3772</v>
      </c>
    </row>
    <row r="12" spans="1:9" ht="17.100000000000001" customHeight="1" x14ac:dyDescent="0.2">
      <c r="A12" s="39">
        <v>39258</v>
      </c>
      <c r="B12" s="40" t="s">
        <v>3256</v>
      </c>
      <c r="C12" s="41" t="s">
        <v>3361</v>
      </c>
      <c r="D12" s="43">
        <v>2062</v>
      </c>
      <c r="E12" s="41" t="s">
        <v>3482</v>
      </c>
      <c r="G12" s="39">
        <v>39877.808078703703</v>
      </c>
      <c r="H12" s="41" t="s">
        <v>491</v>
      </c>
      <c r="I12" s="41" t="s">
        <v>492</v>
      </c>
    </row>
    <row r="13" spans="1:9" ht="17.100000000000001" customHeight="1" x14ac:dyDescent="0.2">
      <c r="A13" s="39">
        <v>39322</v>
      </c>
      <c r="B13" s="40" t="s">
        <v>3019</v>
      </c>
      <c r="D13" s="43">
        <v>2121</v>
      </c>
      <c r="E13" s="41" t="s">
        <v>3484</v>
      </c>
      <c r="G13" s="39">
        <v>39877.81826388889</v>
      </c>
      <c r="H13" s="41" t="s">
        <v>491</v>
      </c>
      <c r="I13" s="41" t="s">
        <v>1381</v>
      </c>
    </row>
    <row r="14" spans="1:9" ht="17.100000000000001" customHeight="1" x14ac:dyDescent="0.2">
      <c r="A14" s="39">
        <v>39373</v>
      </c>
      <c r="B14" s="40" t="s">
        <v>2334</v>
      </c>
      <c r="C14" s="41" t="s">
        <v>2050</v>
      </c>
      <c r="D14" s="43">
        <v>2280</v>
      </c>
      <c r="E14" s="41" t="s">
        <v>3162</v>
      </c>
      <c r="F14" s="41" t="s">
        <v>3506</v>
      </c>
      <c r="G14" s="39">
        <v>39828.566180555557</v>
      </c>
      <c r="H14" s="41" t="s">
        <v>3771</v>
      </c>
      <c r="I14" s="41" t="s">
        <v>3254</v>
      </c>
    </row>
    <row r="15" spans="1:9" ht="17.100000000000001" customHeight="1" x14ac:dyDescent="0.2">
      <c r="A15" s="39">
        <v>39400</v>
      </c>
      <c r="B15" s="40" t="s">
        <v>2926</v>
      </c>
      <c r="C15" s="41" t="s">
        <v>3362</v>
      </c>
      <c r="D15" s="43">
        <v>2609</v>
      </c>
      <c r="E15" s="41" t="s">
        <v>2007</v>
      </c>
      <c r="G15" s="39">
        <v>39856.575462962966</v>
      </c>
      <c r="H15" s="41" t="s">
        <v>114</v>
      </c>
      <c r="I15" s="41" t="s">
        <v>492</v>
      </c>
    </row>
    <row r="16" spans="1:9" ht="17.100000000000001" customHeight="1" x14ac:dyDescent="0.2">
      <c r="A16" s="39">
        <v>39402</v>
      </c>
      <c r="B16" s="40" t="s">
        <v>2768</v>
      </c>
      <c r="C16" s="41" t="s">
        <v>2213</v>
      </c>
      <c r="D16" s="43">
        <v>2610</v>
      </c>
      <c r="E16" s="41" t="s">
        <v>2007</v>
      </c>
      <c r="G16" s="39">
        <v>39856.575914351852</v>
      </c>
      <c r="H16" s="41" t="s">
        <v>114</v>
      </c>
      <c r="I16" s="41" t="s">
        <v>492</v>
      </c>
    </row>
    <row r="17" spans="1:9" ht="17.100000000000001" customHeight="1" x14ac:dyDescent="0.2">
      <c r="A17" s="39">
        <v>39524</v>
      </c>
      <c r="B17" s="40" t="s">
        <v>3147</v>
      </c>
      <c r="C17" s="41" t="s">
        <v>3963</v>
      </c>
      <c r="D17" s="43">
        <v>2684</v>
      </c>
      <c r="E17" s="41" t="s">
        <v>3176</v>
      </c>
      <c r="G17" s="39">
        <v>39927.788599537038</v>
      </c>
      <c r="H17" s="41" t="s">
        <v>723</v>
      </c>
      <c r="I17" s="41" t="s">
        <v>3254</v>
      </c>
    </row>
    <row r="18" spans="1:9" ht="17.100000000000001" customHeight="1" x14ac:dyDescent="0.2">
      <c r="A18" s="39">
        <v>39524</v>
      </c>
      <c r="B18" s="40" t="s">
        <v>656</v>
      </c>
      <c r="C18" s="41" t="s">
        <v>1841</v>
      </c>
      <c r="D18" s="43">
        <v>2685</v>
      </c>
      <c r="E18" s="41" t="s">
        <v>3162</v>
      </c>
      <c r="G18" s="39">
        <v>39828.565381944441</v>
      </c>
      <c r="H18" s="41" t="s">
        <v>1322</v>
      </c>
      <c r="I18" s="41" t="s">
        <v>3254</v>
      </c>
    </row>
    <row r="19" spans="1:9" ht="17.100000000000001" customHeight="1" x14ac:dyDescent="0.2">
      <c r="A19" s="39">
        <v>39093</v>
      </c>
      <c r="B19" s="40" t="s">
        <v>3540</v>
      </c>
      <c r="C19" s="41" t="s">
        <v>1819</v>
      </c>
      <c r="D19" s="43">
        <v>2874</v>
      </c>
      <c r="E19" s="41" t="s">
        <v>1758</v>
      </c>
      <c r="G19" s="39">
        <v>39877.771585648145</v>
      </c>
      <c r="H19" s="41" t="s">
        <v>2022</v>
      </c>
      <c r="I19" s="41" t="s">
        <v>2071</v>
      </c>
    </row>
    <row r="20" spans="1:9" ht="17.100000000000001" customHeight="1" x14ac:dyDescent="0.2">
      <c r="A20" s="39">
        <v>39591</v>
      </c>
      <c r="B20" s="40" t="s">
        <v>1084</v>
      </c>
      <c r="C20" s="41" t="s">
        <v>1819</v>
      </c>
      <c r="D20" s="43">
        <v>3031</v>
      </c>
      <c r="E20" s="41" t="s">
        <v>1562</v>
      </c>
      <c r="G20" s="39">
        <v>39877.754212962966</v>
      </c>
      <c r="H20" s="41" t="s">
        <v>3520</v>
      </c>
      <c r="I20" s="41" t="s">
        <v>2071</v>
      </c>
    </row>
    <row r="21" spans="1:9" ht="17.100000000000001" customHeight="1" x14ac:dyDescent="0.2">
      <c r="A21" s="39">
        <v>39590</v>
      </c>
      <c r="B21" s="40" t="s">
        <v>770</v>
      </c>
      <c r="C21" s="41" t="s">
        <v>2746</v>
      </c>
      <c r="D21" s="43">
        <v>3032</v>
      </c>
      <c r="E21" s="41" t="s">
        <v>3485</v>
      </c>
      <c r="G21" s="39">
        <v>39828.583460648151</v>
      </c>
      <c r="H21" s="41" t="s">
        <v>1803</v>
      </c>
      <c r="I21" s="41" t="s">
        <v>3772</v>
      </c>
    </row>
    <row r="22" spans="1:9" ht="17.100000000000001" customHeight="1" x14ac:dyDescent="0.2">
      <c r="A22" s="39">
        <v>39588</v>
      </c>
      <c r="B22" s="40" t="s">
        <v>784</v>
      </c>
      <c r="C22" s="41" t="s">
        <v>1841</v>
      </c>
      <c r="D22" s="43">
        <v>3094</v>
      </c>
      <c r="E22" s="41" t="s">
        <v>2789</v>
      </c>
      <c r="G22" s="39">
        <v>39927.790451388886</v>
      </c>
      <c r="H22" s="41" t="s">
        <v>724</v>
      </c>
      <c r="I22" s="41" t="s">
        <v>3254</v>
      </c>
    </row>
    <row r="23" spans="1:9" ht="17.100000000000001" customHeight="1" x14ac:dyDescent="0.2">
      <c r="A23" s="39">
        <v>39549</v>
      </c>
      <c r="B23" s="40" t="s">
        <v>2070</v>
      </c>
      <c r="C23" s="41" t="s">
        <v>451</v>
      </c>
      <c r="D23" s="43">
        <v>3190</v>
      </c>
      <c r="E23" s="41" t="s">
        <v>3162</v>
      </c>
      <c r="G23" s="39">
        <v>39877.737615740742</v>
      </c>
      <c r="H23" s="41" t="s">
        <v>3519</v>
      </c>
      <c r="I23" s="41" t="s">
        <v>2071</v>
      </c>
    </row>
    <row r="24" spans="1:9" ht="17.100000000000001" customHeight="1" x14ac:dyDescent="0.2">
      <c r="A24" s="39">
        <v>39542</v>
      </c>
      <c r="B24" s="40" t="s">
        <v>2840</v>
      </c>
      <c r="C24" s="41" t="s">
        <v>3357</v>
      </c>
      <c r="D24" s="43">
        <v>3270</v>
      </c>
      <c r="E24" s="41" t="s">
        <v>3175</v>
      </c>
      <c r="G24" s="39">
        <v>39856.565740740742</v>
      </c>
      <c r="H24" s="41" t="s">
        <v>540</v>
      </c>
      <c r="I24" s="41" t="s">
        <v>492</v>
      </c>
    </row>
    <row r="25" spans="1:9" ht="17.100000000000001" customHeight="1" x14ac:dyDescent="0.2">
      <c r="A25" s="39">
        <v>39657</v>
      </c>
      <c r="B25" s="40" t="s">
        <v>1790</v>
      </c>
      <c r="C25" s="41" t="s">
        <v>2746</v>
      </c>
      <c r="D25" s="43">
        <v>4017</v>
      </c>
      <c r="E25" s="41" t="s">
        <v>3485</v>
      </c>
      <c r="G25" s="39">
        <v>39828.628865740742</v>
      </c>
      <c r="H25" s="41" t="s">
        <v>3252</v>
      </c>
      <c r="I25" s="41" t="s">
        <v>3772</v>
      </c>
    </row>
    <row r="26" spans="1:9" ht="17.100000000000001" customHeight="1" x14ac:dyDescent="0.2">
      <c r="A26" s="39">
        <v>39727</v>
      </c>
      <c r="B26" s="40" t="s">
        <v>1023</v>
      </c>
      <c r="C26" s="41" t="s">
        <v>3433</v>
      </c>
      <c r="D26" s="43">
        <v>4154</v>
      </c>
      <c r="E26" s="41" t="s">
        <v>2789</v>
      </c>
      <c r="G26" s="39">
        <v>39857.730902777781</v>
      </c>
      <c r="H26" s="41" t="s">
        <v>3843</v>
      </c>
      <c r="I26" s="41" t="s">
        <v>2071</v>
      </c>
    </row>
    <row r="27" spans="1:9" ht="17.100000000000001" customHeight="1" x14ac:dyDescent="0.2">
      <c r="A27" s="39">
        <v>39769</v>
      </c>
      <c r="B27" s="40" t="s">
        <v>4007</v>
      </c>
      <c r="C27" s="41" t="s">
        <v>3963</v>
      </c>
      <c r="D27" s="43">
        <v>4242</v>
      </c>
      <c r="E27" s="41" t="s">
        <v>3478</v>
      </c>
      <c r="G27" s="39">
        <v>39877.800127314818</v>
      </c>
      <c r="H27" s="41" t="s">
        <v>3292</v>
      </c>
      <c r="I27" s="41" t="s">
        <v>3254</v>
      </c>
    </row>
    <row r="28" spans="1:9" ht="17.100000000000001" customHeight="1" x14ac:dyDescent="0.2">
      <c r="A28" s="39">
        <v>39769</v>
      </c>
      <c r="B28" s="40" t="s">
        <v>99</v>
      </c>
      <c r="C28" s="41" t="s">
        <v>1841</v>
      </c>
      <c r="D28" s="43">
        <v>4243</v>
      </c>
      <c r="E28" s="41" t="s">
        <v>3162</v>
      </c>
      <c r="G28" s="39">
        <v>39856.573472222219</v>
      </c>
      <c r="H28" s="41" t="s">
        <v>491</v>
      </c>
      <c r="I28" s="41" t="s">
        <v>3254</v>
      </c>
    </row>
    <row r="29" spans="1:9" ht="17.100000000000001" customHeight="1" x14ac:dyDescent="0.2">
      <c r="A29" s="39">
        <v>39848</v>
      </c>
      <c r="B29" s="40" t="s">
        <v>3682</v>
      </c>
      <c r="C29" s="41" t="s">
        <v>4027</v>
      </c>
      <c r="D29" s="43">
        <v>4285</v>
      </c>
      <c r="G29" s="39">
        <v>39856.555937500001</v>
      </c>
      <c r="H29" s="41" t="s">
        <v>1014</v>
      </c>
      <c r="I29" s="41" t="s">
        <v>2071</v>
      </c>
    </row>
    <row r="30" spans="1:9" ht="17.100000000000001" customHeight="1" x14ac:dyDescent="0.2">
      <c r="A30" s="39">
        <v>39774</v>
      </c>
      <c r="B30" s="40" t="s">
        <v>2377</v>
      </c>
      <c r="C30" s="41" t="s">
        <v>3433</v>
      </c>
      <c r="D30" s="43">
        <v>4308</v>
      </c>
      <c r="E30" s="41" t="s">
        <v>3480</v>
      </c>
      <c r="G30" s="39">
        <v>39919.747071759259</v>
      </c>
      <c r="H30" s="41" t="s">
        <v>3771</v>
      </c>
      <c r="I30" s="41" t="s">
        <v>2071</v>
      </c>
    </row>
    <row r="31" spans="1:9" ht="17.100000000000001" customHeight="1" x14ac:dyDescent="0.2">
      <c r="A31" s="39">
        <v>39776</v>
      </c>
      <c r="B31" s="40" t="s">
        <v>1260</v>
      </c>
      <c r="C31" s="41" t="s">
        <v>3433</v>
      </c>
      <c r="D31" s="43">
        <v>4337</v>
      </c>
      <c r="G31" s="39">
        <v>39855.794247685182</v>
      </c>
      <c r="H31" s="41" t="s">
        <v>1322</v>
      </c>
      <c r="I31" s="41" t="s">
        <v>2071</v>
      </c>
    </row>
    <row r="32" spans="1:9" ht="17.100000000000001" customHeight="1" x14ac:dyDescent="0.2">
      <c r="A32" s="39">
        <v>39842</v>
      </c>
      <c r="B32" s="40" t="s">
        <v>1415</v>
      </c>
      <c r="C32" s="41" t="s">
        <v>3409</v>
      </c>
      <c r="D32" s="43">
        <v>4582</v>
      </c>
      <c r="G32" s="39">
        <v>39856.57440972222</v>
      </c>
      <c r="H32" s="41" t="s">
        <v>1416</v>
      </c>
      <c r="I32" s="41" t="s">
        <v>3772</v>
      </c>
    </row>
    <row r="33" spans="1:9" ht="17.100000000000001" customHeight="1" x14ac:dyDescent="0.2">
      <c r="A33" s="39">
        <v>39821</v>
      </c>
      <c r="B33" s="40" t="s">
        <v>148</v>
      </c>
      <c r="C33" s="41" t="s">
        <v>2746</v>
      </c>
      <c r="D33" s="43">
        <v>4856</v>
      </c>
      <c r="E33" s="41" t="s">
        <v>3482</v>
      </c>
      <c r="G33" s="39">
        <v>39832.642534722225</v>
      </c>
      <c r="H33" s="41" t="s">
        <v>1159</v>
      </c>
      <c r="I33" s="41" t="s">
        <v>3772</v>
      </c>
    </row>
    <row r="34" spans="1:9" ht="17.100000000000001" customHeight="1" x14ac:dyDescent="0.2">
      <c r="A34" s="39">
        <v>39972</v>
      </c>
      <c r="B34" s="40" t="s">
        <v>948</v>
      </c>
      <c r="C34" s="41" t="s">
        <v>3987</v>
      </c>
      <c r="D34" s="43">
        <v>5083</v>
      </c>
      <c r="G34" s="39">
        <v>39987.667847222219</v>
      </c>
      <c r="H34" s="41" t="s">
        <v>1831</v>
      </c>
      <c r="I34" s="41" t="s">
        <v>1381</v>
      </c>
    </row>
    <row r="35" spans="1:9" ht="17.100000000000001" customHeight="1" x14ac:dyDescent="0.2">
      <c r="A35" s="39">
        <v>39464</v>
      </c>
      <c r="B35" s="40" t="s">
        <v>3833</v>
      </c>
      <c r="C35" s="41" t="s">
        <v>3354</v>
      </c>
      <c r="D35" s="43">
        <v>2700</v>
      </c>
      <c r="E35" s="41" t="s">
        <v>3479</v>
      </c>
      <c r="G35" s="39">
        <v>40122.745370370372</v>
      </c>
      <c r="H35" s="41" t="s">
        <v>491</v>
      </c>
      <c r="I35" s="41" t="s">
        <v>2071</v>
      </c>
    </row>
    <row r="36" spans="1:9" ht="17.100000000000001" customHeight="1" x14ac:dyDescent="0.2">
      <c r="A36" s="39">
        <v>40736</v>
      </c>
      <c r="B36" s="40" t="s">
        <v>418</v>
      </c>
      <c r="C36" s="41" t="s">
        <v>419</v>
      </c>
      <c r="D36" s="43">
        <v>8045</v>
      </c>
      <c r="E36" s="41" t="s">
        <v>1179</v>
      </c>
      <c r="F36" s="41" t="s">
        <v>2398</v>
      </c>
      <c r="G36" s="39">
        <v>40749.685115740744</v>
      </c>
      <c r="H36" s="41" t="s">
        <v>491</v>
      </c>
      <c r="I36" s="41" t="s">
        <v>3772</v>
      </c>
    </row>
    <row r="37" spans="1:9" ht="17.100000000000001" customHeight="1" x14ac:dyDescent="0.2">
      <c r="A37" s="39">
        <v>40736</v>
      </c>
      <c r="B37" s="40" t="s">
        <v>2429</v>
      </c>
      <c r="C37" s="41" t="s">
        <v>3772</v>
      </c>
      <c r="D37" s="43">
        <v>8039</v>
      </c>
      <c r="E37" s="41" t="s">
        <v>952</v>
      </c>
      <c r="F37" s="41">
        <v>3</v>
      </c>
      <c r="G37" s="39">
        <v>40749.685254629629</v>
      </c>
      <c r="H37" s="41" t="s">
        <v>491</v>
      </c>
      <c r="I37" s="41" t="s">
        <v>3772</v>
      </c>
    </row>
    <row r="38" spans="1:9" ht="17.100000000000001" customHeight="1" x14ac:dyDescent="0.2">
      <c r="A38" s="39">
        <v>40499</v>
      </c>
      <c r="B38" s="40" t="s">
        <v>3352</v>
      </c>
      <c r="C38" s="41" t="s">
        <v>3772</v>
      </c>
      <c r="D38" s="43">
        <v>7085</v>
      </c>
      <c r="F38" s="41">
        <v>5</v>
      </c>
      <c r="G38" s="39">
        <v>40749.685601851852</v>
      </c>
      <c r="H38" s="41" t="s">
        <v>491</v>
      </c>
      <c r="I38" s="41" t="s">
        <v>3772</v>
      </c>
    </row>
    <row r="39" spans="1:9" ht="17.100000000000001" customHeight="1" x14ac:dyDescent="0.2">
      <c r="A39" s="39">
        <v>41264</v>
      </c>
      <c r="B39" s="40" t="s">
        <v>2031</v>
      </c>
      <c r="D39" s="43">
        <v>55555</v>
      </c>
      <c r="G39" s="39">
        <v>41264.657777777778</v>
      </c>
      <c r="H39" s="41" t="s">
        <v>491</v>
      </c>
      <c r="I39" s="41" t="s">
        <v>3772</v>
      </c>
    </row>
    <row r="40" spans="1:9" ht="17.100000000000001" customHeight="1" x14ac:dyDescent="0.2">
      <c r="A40" s="39">
        <v>41264</v>
      </c>
      <c r="B40" s="40" t="s">
        <v>3021</v>
      </c>
      <c r="D40" s="43">
        <v>44444</v>
      </c>
      <c r="G40" s="39">
        <v>41264.658842592595</v>
      </c>
      <c r="H40" s="41" t="s">
        <v>491</v>
      </c>
      <c r="I40" s="41" t="s">
        <v>492</v>
      </c>
    </row>
    <row r="41" spans="1:9" ht="17.100000000000001" customHeight="1" x14ac:dyDescent="0.2">
      <c r="A41" s="39">
        <v>41264</v>
      </c>
      <c r="B41" s="40" t="s">
        <v>3022</v>
      </c>
      <c r="D41" s="43">
        <v>66666</v>
      </c>
      <c r="G41" s="39">
        <v>41264.661759259259</v>
      </c>
      <c r="H41" s="41" t="s">
        <v>491</v>
      </c>
      <c r="I41" s="41" t="s">
        <v>492</v>
      </c>
    </row>
  </sheetData>
  <autoFilter ref="A1:I12"/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32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10</vt:i4>
      </vt:variant>
    </vt:vector>
  </HeadingPairs>
  <TitlesOfParts>
    <vt:vector size="43" baseType="lpstr">
      <vt:lpstr>Accueil</vt:lpstr>
      <vt:lpstr>suivi réalisation</vt:lpstr>
      <vt:lpstr>Graphs ateliers</vt:lpstr>
      <vt:lpstr>refente à faire</vt:lpstr>
      <vt:lpstr>refente fait</vt:lpstr>
      <vt:lpstr>PAG à faire</vt:lpstr>
      <vt:lpstr>PAG fait</vt:lpstr>
      <vt:lpstr>scierie à faire</vt:lpstr>
      <vt:lpstr>scierie fait</vt:lpstr>
      <vt:lpstr>trieur à faire</vt:lpstr>
      <vt:lpstr>trieur fait</vt:lpstr>
      <vt:lpstr>expédition à faire</vt:lpstr>
      <vt:lpstr>expédition fait</vt:lpstr>
      <vt:lpstr>bureaux à faire</vt:lpstr>
      <vt:lpstr>bureaux fait</vt:lpstr>
      <vt:lpstr>engins à faire</vt:lpstr>
      <vt:lpstr>engins fait</vt:lpstr>
      <vt:lpstr>Brucks à faire</vt:lpstr>
      <vt:lpstr>Brucks fait</vt:lpstr>
      <vt:lpstr>SRM à faire</vt:lpstr>
      <vt:lpstr>SRM fait</vt:lpstr>
      <vt:lpstr>PBL à faire</vt:lpstr>
      <vt:lpstr>PBL fait</vt:lpstr>
      <vt:lpstr>SKE à faire</vt:lpstr>
      <vt:lpstr>SKE fait</vt:lpstr>
      <vt:lpstr>PGB à faire</vt:lpstr>
      <vt:lpstr>PGB fait</vt:lpstr>
      <vt:lpstr>Divers Hg à faire</vt:lpstr>
      <vt:lpstr>Divers Hg fait</vt:lpstr>
      <vt:lpstr>Liste</vt:lpstr>
      <vt:lpstr>Etiquette</vt:lpstr>
      <vt:lpstr>Annuler</vt:lpstr>
      <vt:lpstr>Graph</vt:lpstr>
      <vt:lpstr>'Brucks à faire'!Zone_d_impression</vt:lpstr>
      <vt:lpstr>'Graphs ateliers'!Zone_d_impression</vt:lpstr>
      <vt:lpstr>Liste!Zone_d_impression</vt:lpstr>
      <vt:lpstr>'PAG à faire'!Zone_d_impression</vt:lpstr>
      <vt:lpstr>'PBL à faire'!Zone_d_impression</vt:lpstr>
      <vt:lpstr>'refente à faire'!Zone_d_impression</vt:lpstr>
      <vt:lpstr>'refente fait'!Zone_d_impression</vt:lpstr>
      <vt:lpstr>'scierie à faire'!Zone_d_impression</vt:lpstr>
      <vt:lpstr>'SKE à faire'!Zone_d_impression</vt:lpstr>
      <vt:lpstr>'trieur à faire'!Zone_d_impression</vt:lpstr>
    </vt:vector>
  </TitlesOfParts>
  <Manager>Jérôme SITTLER</Manager>
  <Company>SIAT- BRAUN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Fiche Rouge</dc:title>
  <dc:subject>Gestion des travaux maintenance par les étiquettes rouges pour Siat-Braun</dc:subject>
  <dc:creator>Thomas Pfeiffer</dc:creator>
  <cp:keywords/>
  <dc:description>Gestion des travaux maintenance par les étiquettes rouges pour Siat-Braun Urmatt</dc:description>
  <cp:lastModifiedBy>Jean-Philippe TUMA</cp:lastModifiedBy>
  <cp:lastPrinted>2013-02-26T13:24:40Z</cp:lastPrinted>
  <dcterms:created xsi:type="dcterms:W3CDTF">2005-10-31T10:57:07Z</dcterms:created>
  <dcterms:modified xsi:type="dcterms:W3CDTF">2013-03-05T14:09:36Z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éférence">
    <vt:lpwstr>V2.1.1</vt:lpwstr>
  </property>
  <property fmtid="{D5CDD505-2E9C-101B-9397-08002B2CF9AE}" pid="3" name="Bureau">
    <vt:lpwstr>Maintenance Urmatt</vt:lpwstr>
  </property>
  <property fmtid="{D5CDD505-2E9C-101B-9397-08002B2CF9AE}" pid="4" name="Responsable">
    <vt:lpwstr>Jerome Sittler</vt:lpwstr>
  </property>
</Properties>
</file>